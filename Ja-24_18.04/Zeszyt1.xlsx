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24_18.04\"/>
    </mc:Choice>
  </mc:AlternateContent>
  <bookViews>
    <workbookView xWindow="0" yWindow="0" windowWidth="28800" windowHeight="12180"/>
  </bookViews>
  <sheets>
    <sheet name="5.5" sheetId="8" r:id="rId1"/>
    <sheet name="5.4" sheetId="7" r:id="rId2"/>
    <sheet name="5.3" sheetId="6" r:id="rId3"/>
    <sheet name="5.2" sheetId="5" r:id="rId4"/>
    <sheet name="5.1" sheetId="3" r:id="rId5"/>
    <sheet name="Baza" sheetId="2" r:id="rId6"/>
  </sheets>
  <definedNames>
    <definedName name="matura" localSheetId="4">'5.1'!$A$1:$U$153</definedName>
    <definedName name="matura" localSheetId="3">'5.2'!$A$1:$U$156</definedName>
    <definedName name="matura" localSheetId="2">'5.3'!$A$1:$C$153</definedName>
    <definedName name="matura" localSheetId="1">'5.4'!$A$1:$D$153</definedName>
    <definedName name="matura" localSheetId="0">'5.5'!$A$1:$O$153</definedName>
    <definedName name="matura" localSheetId="5">Baza!$A$1:$U$153</definedName>
  </definedNames>
  <calcPr calcId="162913"/>
  <pivotCaches>
    <pivotCache cacheId="10" r:id="rId7"/>
    <pivotCache cacheId="36" r:id="rId8"/>
    <pivotCache cacheId="46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8" l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R2" i="8"/>
  <c r="Q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2" i="8"/>
  <c r="F8" i="7"/>
  <c r="F9" i="7"/>
  <c r="F11" i="7"/>
  <c r="F12" i="7"/>
  <c r="F19" i="7"/>
  <c r="F20" i="7"/>
  <c r="F21" i="7"/>
  <c r="F22" i="7"/>
  <c r="F23" i="7"/>
  <c r="F24" i="7"/>
  <c r="F31" i="7"/>
  <c r="F32" i="7"/>
  <c r="F33" i="7"/>
  <c r="F34" i="7"/>
  <c r="F35" i="7"/>
  <c r="F36" i="7"/>
  <c r="F43" i="7"/>
  <c r="F44" i="7"/>
  <c r="F45" i="7"/>
  <c r="F46" i="7"/>
  <c r="F47" i="7"/>
  <c r="F48" i="7"/>
  <c r="F55" i="7"/>
  <c r="F56" i="7"/>
  <c r="F57" i="7"/>
  <c r="F58" i="7"/>
  <c r="F59" i="7"/>
  <c r="F60" i="7"/>
  <c r="F67" i="7"/>
  <c r="F68" i="7"/>
  <c r="F69" i="7"/>
  <c r="F70" i="7"/>
  <c r="F71" i="7"/>
  <c r="F72" i="7"/>
  <c r="F79" i="7"/>
  <c r="F80" i="7"/>
  <c r="F81" i="7"/>
  <c r="F82" i="7"/>
  <c r="F83" i="7"/>
  <c r="F84" i="7"/>
  <c r="F91" i="7"/>
  <c r="F92" i="7"/>
  <c r="F93" i="7"/>
  <c r="F94" i="7"/>
  <c r="F95" i="7"/>
  <c r="F96" i="7"/>
  <c r="F103" i="7"/>
  <c r="F104" i="7"/>
  <c r="F105" i="7"/>
  <c r="F106" i="7"/>
  <c r="F107" i="7"/>
  <c r="F108" i="7"/>
  <c r="F115" i="7"/>
  <c r="F116" i="7"/>
  <c r="F117" i="7"/>
  <c r="F118" i="7"/>
  <c r="F119" i="7"/>
  <c r="F120" i="7"/>
  <c r="F127" i="7"/>
  <c r="F128" i="7"/>
  <c r="F129" i="7"/>
  <c r="F130" i="7"/>
  <c r="F131" i="7"/>
  <c r="F132" i="7"/>
  <c r="F134" i="7"/>
  <c r="F139" i="7"/>
  <c r="F140" i="7"/>
  <c r="F141" i="7"/>
  <c r="F142" i="7"/>
  <c r="F143" i="7"/>
  <c r="F144" i="7"/>
  <c r="F146" i="7"/>
  <c r="F151" i="7"/>
  <c r="F152" i="7"/>
  <c r="F153" i="7"/>
  <c r="E2" i="7"/>
  <c r="F2" i="7" s="1"/>
  <c r="E3" i="7"/>
  <c r="F3" i="7" s="1"/>
  <c r="E4" i="7"/>
  <c r="F4" i="7" s="1"/>
  <c r="E5" i="7"/>
  <c r="F5" i="7" s="1"/>
  <c r="E6" i="7"/>
  <c r="F6" i="7" s="1"/>
  <c r="E7" i="7"/>
  <c r="F7" i="7" s="1"/>
  <c r="E8" i="7"/>
  <c r="E9" i="7"/>
  <c r="E10" i="7"/>
  <c r="F10" i="7" s="1"/>
  <c r="E11" i="7"/>
  <c r="E12" i="7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E20" i="7"/>
  <c r="E21" i="7"/>
  <c r="E22" i="7"/>
  <c r="E23" i="7"/>
  <c r="E24" i="7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E32" i="7"/>
  <c r="E33" i="7"/>
  <c r="E34" i="7"/>
  <c r="E35" i="7"/>
  <c r="E36" i="7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E44" i="7"/>
  <c r="E45" i="7"/>
  <c r="E46" i="7"/>
  <c r="E47" i="7"/>
  <c r="E48" i="7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E56" i="7"/>
  <c r="E57" i="7"/>
  <c r="E58" i="7"/>
  <c r="E59" i="7"/>
  <c r="E60" i="7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E68" i="7"/>
  <c r="E69" i="7"/>
  <c r="E70" i="7"/>
  <c r="E71" i="7"/>
  <c r="E72" i="7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E80" i="7"/>
  <c r="E81" i="7"/>
  <c r="E82" i="7"/>
  <c r="E83" i="7"/>
  <c r="E84" i="7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E92" i="7"/>
  <c r="E93" i="7"/>
  <c r="E94" i="7"/>
  <c r="E95" i="7"/>
  <c r="E96" i="7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E104" i="7"/>
  <c r="E105" i="7"/>
  <c r="E106" i="7"/>
  <c r="E107" i="7"/>
  <c r="E108" i="7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E116" i="7"/>
  <c r="E117" i="7"/>
  <c r="E118" i="7"/>
  <c r="E119" i="7"/>
  <c r="E120" i="7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E128" i="7"/>
  <c r="E129" i="7"/>
  <c r="E130" i="7"/>
  <c r="E131" i="7"/>
  <c r="E132" i="7"/>
  <c r="E133" i="7"/>
  <c r="F133" i="7" s="1"/>
  <c r="E134" i="7"/>
  <c r="E135" i="7"/>
  <c r="F135" i="7" s="1"/>
  <c r="E136" i="7"/>
  <c r="F136" i="7" s="1"/>
  <c r="E137" i="7"/>
  <c r="F137" i="7" s="1"/>
  <c r="E138" i="7"/>
  <c r="F138" i="7" s="1"/>
  <c r="E139" i="7"/>
  <c r="E140" i="7"/>
  <c r="E141" i="7"/>
  <c r="E142" i="7"/>
  <c r="E143" i="7"/>
  <c r="E144" i="7"/>
  <c r="E145" i="7"/>
  <c r="F145" i="7" s="1"/>
  <c r="E146" i="7"/>
  <c r="E147" i="7"/>
  <c r="F147" i="7" s="1"/>
  <c r="E148" i="7"/>
  <c r="F148" i="7" s="1"/>
  <c r="E149" i="7"/>
  <c r="F149" i="7" s="1"/>
  <c r="E150" i="7"/>
  <c r="F150" i="7" s="1"/>
  <c r="E151" i="7"/>
  <c r="E152" i="7"/>
  <c r="E153" i="7"/>
  <c r="L4" i="6"/>
  <c r="L5" i="6"/>
  <c r="L6" i="6"/>
  <c r="L7" i="6"/>
  <c r="L8" i="6"/>
  <c r="L9" i="6"/>
  <c r="N4" i="6"/>
  <c r="K9" i="6"/>
  <c r="K8" i="6"/>
  <c r="K7" i="6"/>
  <c r="K6" i="6"/>
  <c r="K5" i="6"/>
  <c r="K4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2" i="6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C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C3" i="5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2" i="3"/>
</calcChain>
</file>

<file path=xl/connections.xml><?xml version="1.0" encoding="utf-8"?>
<connections xmlns="http://schemas.openxmlformats.org/spreadsheetml/2006/main">
  <connection id="1" name="matura1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matura11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matura12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matura13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matura14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matura15" type="6" refreshedVersion="6" background="1" saveData="1">
    <textPr codePage="1250" sourceFile="C:\Users\grzegorz.tereszkiewi\Documents\GitHub\InfScul\Ja-24_18.04\matura.txt" thousands=" ">
      <textFields count="21"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<sst xmlns="http://schemas.openxmlformats.org/spreadsheetml/2006/main" count="1968" uniqueCount="207">
  <si>
    <t>KLASA</t>
  </si>
  <si>
    <t>PESEL</t>
  </si>
  <si>
    <t>Biologia-R</t>
  </si>
  <si>
    <t>Chemia-R</t>
  </si>
  <si>
    <t>Fizyka-R</t>
  </si>
  <si>
    <t>Geografia-R</t>
  </si>
  <si>
    <t>Historia-R</t>
  </si>
  <si>
    <t>Informatyka-R</t>
  </si>
  <si>
    <t>Angielski-P</t>
  </si>
  <si>
    <t>Angielski-R</t>
  </si>
  <si>
    <t>Francuski-P</t>
  </si>
  <si>
    <t>Francuski-R</t>
  </si>
  <si>
    <t>Hiszpański-P</t>
  </si>
  <si>
    <t>Hiszpański-R</t>
  </si>
  <si>
    <t>Niemiecki-P</t>
  </si>
  <si>
    <t>Niemiecki-R</t>
  </si>
  <si>
    <t>Matematyka-P</t>
  </si>
  <si>
    <t>Matematyka-R</t>
  </si>
  <si>
    <t>Polski-P</t>
  </si>
  <si>
    <t>Polski-R</t>
  </si>
  <si>
    <t>WOS-R</t>
  </si>
  <si>
    <t>A</t>
  </si>
  <si>
    <t>B</t>
  </si>
  <si>
    <t>C</t>
  </si>
  <si>
    <t>E</t>
  </si>
  <si>
    <t>H</t>
  </si>
  <si>
    <t>95010405222</t>
  </si>
  <si>
    <t>95011310048</t>
  </si>
  <si>
    <t>95012311345</t>
  </si>
  <si>
    <t>95030607404</t>
  </si>
  <si>
    <t>95031506511</t>
  </si>
  <si>
    <t>95031714219</t>
  </si>
  <si>
    <t>95032402083</t>
  </si>
  <si>
    <t>95032701960</t>
  </si>
  <si>
    <t>95040412034</t>
  </si>
  <si>
    <t>95040908766</t>
  </si>
  <si>
    <t>95041309368</t>
  </si>
  <si>
    <t>95052600643</t>
  </si>
  <si>
    <t>95061500402</t>
  </si>
  <si>
    <t>95061702842</t>
  </si>
  <si>
    <t>95062301712</t>
  </si>
  <si>
    <t>95071508265</t>
  </si>
  <si>
    <t>95071807500</t>
  </si>
  <si>
    <t>95072900844</t>
  </si>
  <si>
    <t>95073111506</t>
  </si>
  <si>
    <t>95080409087</t>
  </si>
  <si>
    <t>95081008322</t>
  </si>
  <si>
    <t>95081802841</t>
  </si>
  <si>
    <t>95082400949</t>
  </si>
  <si>
    <t>95082502641</t>
  </si>
  <si>
    <t>95090501360</t>
  </si>
  <si>
    <t>95091604864</t>
  </si>
  <si>
    <t>95110304166</t>
  </si>
  <si>
    <t>95110400947</t>
  </si>
  <si>
    <t>95111004447</t>
  </si>
  <si>
    <t>95112301543</t>
  </si>
  <si>
    <t>95120101108</t>
  </si>
  <si>
    <t>95120600768</t>
  </si>
  <si>
    <t>95120903939</t>
  </si>
  <si>
    <t>95122401008</t>
  </si>
  <si>
    <t>95011505013</t>
  </si>
  <si>
    <t>95012403389</t>
  </si>
  <si>
    <t>95020804428</t>
  </si>
  <si>
    <t>95021807901</t>
  </si>
  <si>
    <t>95022105039</t>
  </si>
  <si>
    <t>95031012300</t>
  </si>
  <si>
    <t>95032101746</t>
  </si>
  <si>
    <t>95032204296</t>
  </si>
  <si>
    <t>95042205755</t>
  </si>
  <si>
    <t>95050205185</t>
  </si>
  <si>
    <t>95050904503</t>
  </si>
  <si>
    <t>95051201982</t>
  </si>
  <si>
    <t>95052501302</t>
  </si>
  <si>
    <t>95060201793</t>
  </si>
  <si>
    <t>95062400343</t>
  </si>
  <si>
    <t>95070400070</t>
  </si>
  <si>
    <t>95080101408</t>
  </si>
  <si>
    <t>95080902016</t>
  </si>
  <si>
    <t>95081001141</t>
  </si>
  <si>
    <t>95081600739</t>
  </si>
  <si>
    <t>95083106189</t>
  </si>
  <si>
    <t>95092111585</t>
  </si>
  <si>
    <t>95092712281</t>
  </si>
  <si>
    <t>95100600025</t>
  </si>
  <si>
    <t>95100606458</t>
  </si>
  <si>
    <t>95100700282</t>
  </si>
  <si>
    <t>95101000947</t>
  </si>
  <si>
    <t>95110605809</t>
  </si>
  <si>
    <t>95110704362</t>
  </si>
  <si>
    <t>95111800425</t>
  </si>
  <si>
    <t>95112902461</t>
  </si>
  <si>
    <t>94120209724</t>
  </si>
  <si>
    <t>95011303864</t>
  </si>
  <si>
    <t>95012701920</t>
  </si>
  <si>
    <t>95012707551</t>
  </si>
  <si>
    <t>95021105139</t>
  </si>
  <si>
    <t>95021201255</t>
  </si>
  <si>
    <t>95021303223</t>
  </si>
  <si>
    <t>95030407844</t>
  </si>
  <si>
    <t>95040309147</t>
  </si>
  <si>
    <t>95040502267</t>
  </si>
  <si>
    <t>95040601874</t>
  </si>
  <si>
    <t>95062703248</t>
  </si>
  <si>
    <t>95062704850</t>
  </si>
  <si>
    <t>95070400629</t>
  </si>
  <si>
    <t>95070600715</t>
  </si>
  <si>
    <t>95071306764</t>
  </si>
  <si>
    <t>95071307406</t>
  </si>
  <si>
    <t>95072805323</t>
  </si>
  <si>
    <t>95072901340</t>
  </si>
  <si>
    <t>95072901364</t>
  </si>
  <si>
    <t>95082206507</t>
  </si>
  <si>
    <t>95091103271</t>
  </si>
  <si>
    <t>95092301371</t>
  </si>
  <si>
    <t>95100703063</t>
  </si>
  <si>
    <t>95102509322</t>
  </si>
  <si>
    <t>95121002200</t>
  </si>
  <si>
    <t>96010806327</t>
  </si>
  <si>
    <t>95010400678</t>
  </si>
  <si>
    <t>95012402890</t>
  </si>
  <si>
    <t>95012801194</t>
  </si>
  <si>
    <t>95012904927</t>
  </si>
  <si>
    <t>95020904777</t>
  </si>
  <si>
    <t>95021601338</t>
  </si>
  <si>
    <t>95032801943</t>
  </si>
  <si>
    <t>95032801950</t>
  </si>
  <si>
    <t>95040804338</t>
  </si>
  <si>
    <t>95050803734</t>
  </si>
  <si>
    <t>95052200645</t>
  </si>
  <si>
    <t>95052901713</t>
  </si>
  <si>
    <t>95060303600</t>
  </si>
  <si>
    <t>95060705327</t>
  </si>
  <si>
    <t>95060913018</t>
  </si>
  <si>
    <t>95072510054</t>
  </si>
  <si>
    <t>95080407818</t>
  </si>
  <si>
    <t>95080805098</t>
  </si>
  <si>
    <t>95081600791</t>
  </si>
  <si>
    <t>95082906797</t>
  </si>
  <si>
    <t>95083100398</t>
  </si>
  <si>
    <t>95091803737</t>
  </si>
  <si>
    <t>95100400649</t>
  </si>
  <si>
    <t>95101104184</t>
  </si>
  <si>
    <t>95101303842</t>
  </si>
  <si>
    <t>95101902775</t>
  </si>
  <si>
    <t>95102002757</t>
  </si>
  <si>
    <t>95102301894</t>
  </si>
  <si>
    <t>95112306692</t>
  </si>
  <si>
    <t>95112702337</t>
  </si>
  <si>
    <t>95122110962</t>
  </si>
  <si>
    <t>95123001771</t>
  </si>
  <si>
    <t>96011200502</t>
  </si>
  <si>
    <t>94011110436</t>
  </si>
  <si>
    <t>94013113642</t>
  </si>
  <si>
    <t>94020211283</t>
  </si>
  <si>
    <t>94021306625</t>
  </si>
  <si>
    <t>94030804224</t>
  </si>
  <si>
    <t>94031410644</t>
  </si>
  <si>
    <t>94040607118</t>
  </si>
  <si>
    <t>94042912726</t>
  </si>
  <si>
    <t>94060604247</t>
  </si>
  <si>
    <t>94062703166</t>
  </si>
  <si>
    <t>94063002080</t>
  </si>
  <si>
    <t>94081102166</t>
  </si>
  <si>
    <t>94082703588</t>
  </si>
  <si>
    <t>94082901146</t>
  </si>
  <si>
    <t>94082905447</t>
  </si>
  <si>
    <t>94083000868</t>
  </si>
  <si>
    <t>94090909307</t>
  </si>
  <si>
    <t>94091301085</t>
  </si>
  <si>
    <t>94092207960</t>
  </si>
  <si>
    <t>94100706007</t>
  </si>
  <si>
    <t>94102604723</t>
  </si>
  <si>
    <t>94103100907</t>
  </si>
  <si>
    <t>94110205866</t>
  </si>
  <si>
    <t>94121203482</t>
  </si>
  <si>
    <t>94121709025</t>
  </si>
  <si>
    <t>95011300625</t>
  </si>
  <si>
    <t>95032804489</t>
  </si>
  <si>
    <t>Etykiety wierszy</t>
  </si>
  <si>
    <t>Suma końcowa</t>
  </si>
  <si>
    <t>Suma z 100%</t>
  </si>
  <si>
    <t>100%</t>
  </si>
  <si>
    <t>Etykiety kolumn</t>
  </si>
  <si>
    <t>(Wiele elementów)</t>
  </si>
  <si>
    <t>Przedmiot</t>
  </si>
  <si>
    <t>średnia</t>
  </si>
  <si>
    <t>Ile zdających</t>
  </si>
  <si>
    <t>[0..30]</t>
  </si>
  <si>
    <t>[31..50]</t>
  </si>
  <si>
    <t>[51..75]</t>
  </si>
  <si>
    <t>[76..90]</t>
  </si>
  <si>
    <t>[91..99]</t>
  </si>
  <si>
    <t>[100]</t>
  </si>
  <si>
    <t>min</t>
  </si>
  <si>
    <t>przedzial</t>
  </si>
  <si>
    <t>ile</t>
  </si>
  <si>
    <t>%</t>
  </si>
  <si>
    <t>Przedzial</t>
  </si>
  <si>
    <t>uczniów</t>
  </si>
  <si>
    <t>Płeć</t>
  </si>
  <si>
    <t>Moduł</t>
  </si>
  <si>
    <t>Średnia z Polski-P</t>
  </si>
  <si>
    <t>Średnia z Matematyka-P</t>
  </si>
  <si>
    <t>kobieta</t>
  </si>
  <si>
    <t>mężczyzna</t>
  </si>
  <si>
    <t>ile przedmiotów</t>
  </si>
  <si>
    <t>Liczba z ile przedmiotów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</si>
</sst>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9" fontId="2" fillId="2" borderId="0" xfId="0" applyNumberFormat="1" applyFont="1" applyFill="1"/>
    <xf numFmtId="0" fontId="3" fillId="3" borderId="0" xfId="0" applyFont="1" applyFill="1"/>
    <xf numFmtId="0" fontId="3" fillId="4" borderId="0" xfId="0" applyFont="1" applyFill="1"/>
    <xf numFmtId="43" fontId="3" fillId="4" borderId="0" xfId="1" applyFont="1" applyFill="1"/>
    <xf numFmtId="0" fontId="0" fillId="4" borderId="0" xfId="0" applyFill="1"/>
    <xf numFmtId="0" fontId="0" fillId="5" borderId="0" xfId="0" applyFill="1"/>
    <xf numFmtId="10" fontId="0" fillId="4" borderId="0" xfId="2" applyNumberFormat="1" applyFont="1" applyFill="1"/>
    <xf numFmtId="0" fontId="0" fillId="4" borderId="0" xfId="0" applyFill="1" applyAlignment="1">
      <alignment horizontal="left"/>
    </xf>
    <xf numFmtId="2" fontId="0" fillId="4" borderId="0" xfId="0" applyNumberFormat="1" applyFill="1"/>
  </cellXfs>
  <cellStyles count="3">
    <cellStyle name="Dziesiętny" xfId="1" builtinId="3"/>
    <cellStyle name="Normalny" xfId="0" builtinId="0"/>
    <cellStyle name="Procentowy" xfId="2" builtinId="5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Matematyka</a:t>
            </a:r>
            <a:r>
              <a:rPr lang="pl-PL" baseline="0"/>
              <a:t> PP przedziały punktowe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'5.3'!$K$3</c:f>
              <c:strCache>
                <c:ptCount val="1"/>
                <c:pt idx="0">
                  <c:v>ile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'5.3'!$J$4:$J$9</c:f>
              <c:strCache>
                <c:ptCount val="6"/>
                <c:pt idx="0">
                  <c:v>[0..30]</c:v>
                </c:pt>
                <c:pt idx="1">
                  <c:v>[31..50]</c:v>
                </c:pt>
                <c:pt idx="2">
                  <c:v>[51..75]</c:v>
                </c:pt>
                <c:pt idx="3">
                  <c:v>[76..90]</c:v>
                </c:pt>
                <c:pt idx="4">
                  <c:v>[91..99]</c:v>
                </c:pt>
                <c:pt idx="5">
                  <c:v>[100]</c:v>
                </c:pt>
              </c:strCache>
            </c:strRef>
          </c:cat>
          <c:val>
            <c:numRef>
              <c:f>'5.3'!$K$4:$K$9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59</c:v>
                </c:pt>
                <c:pt idx="3">
                  <c:v>42</c:v>
                </c:pt>
                <c:pt idx="4">
                  <c:v>27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2-4C89-AC85-6D1AC371B080}"/>
            </c:ext>
          </c:extLst>
        </c:ser>
        <c:ser>
          <c:idx val="1"/>
          <c:order val="1"/>
          <c:tx>
            <c:strRef>
              <c:f>'5.3'!$L$3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'5.3'!$J$4:$J$9</c:f>
              <c:strCache>
                <c:ptCount val="6"/>
                <c:pt idx="0">
                  <c:v>[0..30]</c:v>
                </c:pt>
                <c:pt idx="1">
                  <c:v>[31..50]</c:v>
                </c:pt>
                <c:pt idx="2">
                  <c:v>[51..75]</c:v>
                </c:pt>
                <c:pt idx="3">
                  <c:v>[76..90]</c:v>
                </c:pt>
                <c:pt idx="4">
                  <c:v>[91..99]</c:v>
                </c:pt>
                <c:pt idx="5">
                  <c:v>[100]</c:v>
                </c:pt>
              </c:strCache>
            </c:strRef>
          </c:cat>
          <c:val>
            <c:numRef>
              <c:f>'5.3'!$L$4:$L$9</c:f>
              <c:numCache>
                <c:formatCode>0.00%</c:formatCode>
                <c:ptCount val="6"/>
                <c:pt idx="0">
                  <c:v>0</c:v>
                </c:pt>
                <c:pt idx="1">
                  <c:v>0.1118421052631579</c:v>
                </c:pt>
                <c:pt idx="2">
                  <c:v>0.38815789473684209</c:v>
                </c:pt>
                <c:pt idx="3">
                  <c:v>0.27631578947368424</c:v>
                </c:pt>
                <c:pt idx="4">
                  <c:v>0.17763157894736842</c:v>
                </c:pt>
                <c:pt idx="5">
                  <c:v>4.6052631578947366E-2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2-4C89-AC85-6D1AC371B0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osób zdających i średni</a:t>
            </a:r>
            <a:r>
              <a:rPr lang="pl-PL" baseline="0"/>
              <a:t> wynik z każdego przedmiotu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'5.2'!$B$2</c:f>
              <c:strCache>
                <c:ptCount val="1"/>
                <c:pt idx="0">
                  <c:v>średnia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'5.2'!$C$1:$U$1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'5.2'!$C$2:$U$2</c:f>
              <c:numCache>
                <c:formatCode>_(* #,##0.00_);_(* \(#,##0.00\);_(* "-"??_);_(@_)</c:formatCode>
                <c:ptCount val="19"/>
                <c:pt idx="0">
                  <c:v>66.599999999999994</c:v>
                </c:pt>
                <c:pt idx="1">
                  <c:v>59.545454545454547</c:v>
                </c:pt>
                <c:pt idx="2">
                  <c:v>63.25925925925926</c:v>
                </c:pt>
                <c:pt idx="3">
                  <c:v>65.5625</c:v>
                </c:pt>
                <c:pt idx="4">
                  <c:v>77.8</c:v>
                </c:pt>
                <c:pt idx="5">
                  <c:v>77.2</c:v>
                </c:pt>
                <c:pt idx="6">
                  <c:v>92.705479452054789</c:v>
                </c:pt>
                <c:pt idx="7">
                  <c:v>77.643564356435647</c:v>
                </c:pt>
                <c:pt idx="8">
                  <c:v>79.400000000000006</c:v>
                </c:pt>
                <c:pt idx="9">
                  <c:v>80.5</c:v>
                </c:pt>
                <c:pt idx="10">
                  <c:v>89.89473684210526</c:v>
                </c:pt>
                <c:pt idx="11">
                  <c:v>70.2</c:v>
                </c:pt>
                <c:pt idx="12">
                  <c:v>98.4</c:v>
                </c:pt>
                <c:pt idx="13">
                  <c:v>79.5</c:v>
                </c:pt>
                <c:pt idx="14">
                  <c:v>73.78947368421052</c:v>
                </c:pt>
                <c:pt idx="15">
                  <c:v>59.442622950819676</c:v>
                </c:pt>
                <c:pt idx="16">
                  <c:v>61.907894736842103</c:v>
                </c:pt>
                <c:pt idx="17">
                  <c:v>67.547169811320757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5-49E7-900B-1C7CF60C0B1C}"/>
            </c:ext>
          </c:extLst>
        </c:ser>
        <c:ser>
          <c:idx val="1"/>
          <c:order val="1"/>
          <c:tx>
            <c:strRef>
              <c:f>'5.2'!$B$3</c:f>
              <c:strCache>
                <c:ptCount val="1"/>
                <c:pt idx="0">
                  <c:v>Ile zdających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'5.2'!$C$1:$U$1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'5.2'!$C$3:$U$3</c:f>
              <c:numCache>
                <c:formatCode>General</c:formatCode>
                <c:ptCount val="19"/>
                <c:pt idx="0">
                  <c:v>40</c:v>
                </c:pt>
                <c:pt idx="1">
                  <c:v>33</c:v>
                </c:pt>
                <c:pt idx="2">
                  <c:v>27</c:v>
                </c:pt>
                <c:pt idx="3">
                  <c:v>32</c:v>
                </c:pt>
                <c:pt idx="4">
                  <c:v>20</c:v>
                </c:pt>
                <c:pt idx="5">
                  <c:v>5</c:v>
                </c:pt>
                <c:pt idx="6">
                  <c:v>146</c:v>
                </c:pt>
                <c:pt idx="7">
                  <c:v>101</c:v>
                </c:pt>
                <c:pt idx="8">
                  <c:v>5</c:v>
                </c:pt>
                <c:pt idx="9">
                  <c:v>2</c:v>
                </c:pt>
                <c:pt idx="10">
                  <c:v>19</c:v>
                </c:pt>
                <c:pt idx="11">
                  <c:v>20</c:v>
                </c:pt>
                <c:pt idx="12">
                  <c:v>5</c:v>
                </c:pt>
                <c:pt idx="13">
                  <c:v>2</c:v>
                </c:pt>
                <c:pt idx="14">
                  <c:v>152</c:v>
                </c:pt>
                <c:pt idx="15">
                  <c:v>61</c:v>
                </c:pt>
                <c:pt idx="16">
                  <c:v>152</c:v>
                </c:pt>
                <c:pt idx="17">
                  <c:v>53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5-49E7-900B-1C7CF60C0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83424"/>
        <c:axId val="121675936"/>
      </c:barChart>
      <c:catAx>
        <c:axId val="12168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Przedmioty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75936"/>
        <c:crosses val="autoZero"/>
        <c:auto val="1"/>
        <c:lblAlgn val="ctr"/>
        <c:lblOffset val="100"/>
        <c:noMultiLvlLbl val="0"/>
      </c:catAx>
      <c:valAx>
        <c:axId val="1216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zdającycj i</a:t>
                </a:r>
                <a:r>
                  <a:rPr lang="pl-PL" baseline="0"/>
                  <a:t> średni wynik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328612</xdr:colOff>
      <xdr:row>12</xdr:row>
      <xdr:rowOff>76200</xdr:rowOff>
    </xdr:from>
    <xdr:to>
      <xdr:col>13</xdr:col>
      <xdr:colOff>585787</xdr:colOff>
      <xdr:row>26</xdr:row>
      <xdr:rowOff>152400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180975</xdr:rowOff>
    </xdr:from>
    <xdr:to>
      <xdr:col>29</xdr:col>
      <xdr:colOff>514350</xdr:colOff>
      <xdr:row>18</xdr:row>
      <xdr:rowOff>9525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6130.375111226851" createdVersion="6" refreshedVersion="6" minRefreshableVersion="3" recordCount="152">
  <cacheSource type="worksheet">
    <worksheetSource ref="A1:V153" sheet="5.1"/>
  </cacheSource>
  <cacheFields count="22">
    <cacheField name="KLASA" numFmtId="0">
      <sharedItems count="5">
        <s v="A"/>
        <s v="B"/>
        <s v="C"/>
        <s v="E"/>
        <s v="H"/>
      </sharedItems>
    </cacheField>
    <cacheField name="PESEL" numFmtId="49">
      <sharedItems count="152">
        <s v="95010405222"/>
        <s v="95011310048"/>
        <s v="95012311345"/>
        <s v="95030607404"/>
        <s v="95031506511"/>
        <s v="95031714219"/>
        <s v="95032402083"/>
        <s v="95032701960"/>
        <s v="95040412034"/>
        <s v="95040908766"/>
        <s v="95041309368"/>
        <s v="95052600643"/>
        <s v="95061500402"/>
        <s v="95061702842"/>
        <s v="95062301712"/>
        <s v="95071508265"/>
        <s v="95071807500"/>
        <s v="95072900844"/>
        <s v="95073111506"/>
        <s v="95080409087"/>
        <s v="95081008322"/>
        <s v="95081802841"/>
        <s v="95082400949"/>
        <s v="95082502641"/>
        <s v="95090501360"/>
        <s v="95091604864"/>
        <s v="95110304166"/>
        <s v="95110400947"/>
        <s v="95111004447"/>
        <s v="95112301543"/>
        <s v="95120101108"/>
        <s v="95120600768"/>
        <s v="95120903939"/>
        <s v="95122401008"/>
        <s v="95011505013"/>
        <s v="95012403389"/>
        <s v="95020804428"/>
        <s v="95021807901"/>
        <s v="95022105039"/>
        <s v="95031012300"/>
        <s v="95032101746"/>
        <s v="95032204296"/>
        <s v="95042205755"/>
        <s v="95050205185"/>
        <s v="95050904503"/>
        <s v="95051201982"/>
        <s v="95052501302"/>
        <s v="95060201793"/>
        <s v="95062400343"/>
        <s v="95070400070"/>
        <s v="95080101408"/>
        <s v="95080902016"/>
        <s v="95081001141"/>
        <s v="95081600739"/>
        <s v="95083106189"/>
        <s v="95092111585"/>
        <s v="95092712281"/>
        <s v="95100600025"/>
        <s v="95100606458"/>
        <s v="95100700282"/>
        <s v="95101000947"/>
        <s v="95110605809"/>
        <s v="95110704362"/>
        <s v="95111800425"/>
        <s v="95112902461"/>
        <s v="94120209724"/>
        <s v="95011303864"/>
        <s v="95012701920"/>
        <s v="95012707551"/>
        <s v="95021105139"/>
        <s v="95021201255"/>
        <s v="95021303223"/>
        <s v="95030407844"/>
        <s v="95040309147"/>
        <s v="95040502267"/>
        <s v="95040601874"/>
        <s v="95062703248"/>
        <s v="95062704850"/>
        <s v="95070400629"/>
        <s v="95070600715"/>
        <s v="95071306764"/>
        <s v="95071307406"/>
        <s v="95072805323"/>
        <s v="95072901340"/>
        <s v="95072901364"/>
        <s v="95082206507"/>
        <s v="95091103271"/>
        <s v="95092301371"/>
        <s v="95100703063"/>
        <s v="95102509322"/>
        <s v="95121002200"/>
        <s v="96010806327"/>
        <s v="95010400678"/>
        <s v="95012402890"/>
        <s v="95012801194"/>
        <s v="95012904927"/>
        <s v="95020904777"/>
        <s v="95021601338"/>
        <s v="95032801943"/>
        <s v="95032801950"/>
        <s v="95040804338"/>
        <s v="95050803734"/>
        <s v="95052200645"/>
        <s v="95052901713"/>
        <s v="95060303600"/>
        <s v="95060705327"/>
        <s v="95060913018"/>
        <s v="95072510054"/>
        <s v="95080407818"/>
        <s v="95080805098"/>
        <s v="95081600791"/>
        <s v="95082906797"/>
        <s v="95083100398"/>
        <s v="95091803737"/>
        <s v="95100400649"/>
        <s v="95101104184"/>
        <s v="95101303842"/>
        <s v="95101902775"/>
        <s v="95102002757"/>
        <s v="95102301894"/>
        <s v="95112306692"/>
        <s v="95112702337"/>
        <s v="95122110962"/>
        <s v="95123001771"/>
        <s v="96011200502"/>
        <s v="94011110436"/>
        <s v="94013113642"/>
        <s v="94020211283"/>
        <s v="94021306625"/>
        <s v="94030804224"/>
        <s v="94031410644"/>
        <s v="94040607118"/>
        <s v="94042912726"/>
        <s v="94060604247"/>
        <s v="94062703166"/>
        <s v="94063002080"/>
        <s v="94081102166"/>
        <s v="94082703588"/>
        <s v="94082901146"/>
        <s v="94082905447"/>
        <s v="94083000868"/>
        <s v="94090909307"/>
        <s v="94091301085"/>
        <s v="94092207960"/>
        <s v="94100706007"/>
        <s v="94102604723"/>
        <s v="94103100907"/>
        <s v="94110205866"/>
        <s v="94121203482"/>
        <s v="94121709025"/>
        <s v="95011300625"/>
        <s v="95032804489"/>
      </sharedItems>
    </cacheField>
    <cacheField name="Biologia-R" numFmtId="0">
      <sharedItems containsString="0" containsBlank="1" containsNumber="1" containsInteger="1" minValue="18" maxValue="95"/>
    </cacheField>
    <cacheField name="Chemia-R" numFmtId="0">
      <sharedItems containsString="0" containsBlank="1" containsNumber="1" containsInteger="1" minValue="12" maxValue="93"/>
    </cacheField>
    <cacheField name="Fizyka-R" numFmtId="0">
      <sharedItems containsString="0" containsBlank="1" containsNumber="1" containsInteger="1" minValue="32" maxValue="92"/>
    </cacheField>
    <cacheField name="Geografia-R" numFmtId="0">
      <sharedItems containsString="0" containsBlank="1" containsNumber="1" containsInteger="1" minValue="38" maxValue="93"/>
    </cacheField>
    <cacheField name="Historia-R" numFmtId="0">
      <sharedItems containsString="0" containsBlank="1" containsNumber="1" containsInteger="1" minValue="24" maxValue="96"/>
    </cacheField>
    <cacheField name="Informatyka-R" numFmtId="0">
      <sharedItems containsString="0" containsBlank="1" containsNumber="1" containsInteger="1" minValue="52" maxValue="98"/>
    </cacheField>
    <cacheField name="Angielski-P" numFmtId="0">
      <sharedItems containsString="0" containsBlank="1" containsNumber="1" containsInteger="1" minValue="51" maxValue="100"/>
    </cacheField>
    <cacheField name="Angielski-R" numFmtId="0">
      <sharedItems containsString="0" containsBlank="1" containsNumber="1" containsInteger="1" minValue="28" maxValue="100"/>
    </cacheField>
    <cacheField name="Francuski-P" numFmtId="0">
      <sharedItems containsString="0" containsBlank="1" containsNumber="1" containsInteger="1" minValue="68" maxValue="99"/>
    </cacheField>
    <cacheField name="Francuski-R" numFmtId="0">
      <sharedItems containsString="0" containsBlank="1" containsNumber="1" containsInteger="1" minValue="73" maxValue="88"/>
    </cacheField>
    <cacheField name="Hiszpański-P" numFmtId="0">
      <sharedItems containsString="0" containsBlank="1" containsNumber="1" containsInteger="1" minValue="51" maxValue="100"/>
    </cacheField>
    <cacheField name="Hiszpański-R" numFmtId="0">
      <sharedItems containsString="0" containsBlank="1" containsNumber="1" containsInteger="1" minValue="45" maxValue="96"/>
    </cacheField>
    <cacheField name="Niemiecki-P" numFmtId="0">
      <sharedItems containsString="0" containsBlank="1" containsNumber="1" containsInteger="1" minValue="96" maxValue="100"/>
    </cacheField>
    <cacheField name="Niemiecki-R" numFmtId="0">
      <sharedItems containsString="0" containsBlank="1" containsNumber="1" containsInteger="1" minValue="69" maxValue="90"/>
    </cacheField>
    <cacheField name="Matematyka-P" numFmtId="0">
      <sharedItems containsSemiMixedTypes="0" containsString="0" containsNumber="1" containsInteger="1" minValue="32" maxValue="100"/>
    </cacheField>
    <cacheField name="Matematyka-R" numFmtId="0">
      <sharedItems containsString="0" containsBlank="1" containsNumber="1" containsInteger="1" minValue="14" maxValue="94"/>
    </cacheField>
    <cacheField name="Polski-P" numFmtId="0">
      <sharedItems containsSemiMixedTypes="0" containsString="0" containsNumber="1" containsInteger="1" minValue="30" maxValue="91"/>
    </cacheField>
    <cacheField name="Polski-R" numFmtId="0">
      <sharedItems containsString="0" containsBlank="1" containsNumber="1" containsInteger="1" minValue="25" maxValue="100"/>
    </cacheField>
    <cacheField name="WOS-R" numFmtId="0">
      <sharedItems containsString="0" containsBlank="1" containsNumber="1" containsInteger="1" minValue="16" maxValue="100"/>
    </cacheField>
    <cacheField name="100%" numFmtId="0">
      <sharedItems containsSemiMixedTypes="0" containsString="0" containsNumber="1" containsInteger="1" minValue="0" maxValue="3" count="4">
        <n v="1"/>
        <n v="0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rzegorz Tereszkiewicz" refreshedDate="46130.406353935185" createdVersion="6" refreshedVersion="6" minRefreshableVersion="3" recordCount="152">
  <cacheSource type="worksheet">
    <worksheetSource ref="A1:F153" sheet="5.4"/>
  </cacheSource>
  <cacheFields count="6">
    <cacheField name="KLASA" numFmtId="0">
      <sharedItems/>
    </cacheField>
    <cacheField name="PESEL" numFmtId="49">
      <sharedItems/>
    </cacheField>
    <cacheField name="Matematyka-P" numFmtId="0">
      <sharedItems containsSemiMixedTypes="0" containsString="0" containsNumber="1" containsInteger="1" minValue="32" maxValue="100"/>
    </cacheField>
    <cacheField name="Polski-P" numFmtId="0">
      <sharedItems containsSemiMixedTypes="0" containsString="0" containsNumber="1" containsInteger="1" minValue="30" maxValue="91"/>
    </cacheField>
    <cacheField name="Moduł" numFmtId="0">
      <sharedItems/>
    </cacheField>
    <cacheField name="Płeć" numFmtId="0">
      <sharedItems count="2">
        <s v="kobieta"/>
        <s v="mężczyz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rzegorz Tereszkiewicz" refreshedDate="46130.413928472219" createdVersion="6" refreshedVersion="6" minRefreshableVersion="3" recordCount="152">
  <cacheSource type="worksheet">
    <worksheetSource ref="A1:R153" sheet="5.5"/>
  </cacheSource>
  <cacheFields count="18">
    <cacheField name="KLASA" numFmtId="0">
      <sharedItems count="5">
        <s v="A"/>
        <s v="B"/>
        <s v="C"/>
        <s v="E"/>
        <s v="H"/>
      </sharedItems>
    </cacheField>
    <cacheField name="PESEL" numFmtId="49">
      <sharedItems/>
    </cacheField>
    <cacheField name="Biologia-R" numFmtId="0">
      <sharedItems containsString="0" containsBlank="1" containsNumber="1" containsInteger="1" minValue="18" maxValue="95"/>
    </cacheField>
    <cacheField name="Chemia-R" numFmtId="0">
      <sharedItems containsString="0" containsBlank="1" containsNumber="1" containsInteger="1" minValue="12" maxValue="93"/>
    </cacheField>
    <cacheField name="Fizyka-R" numFmtId="0">
      <sharedItems containsString="0" containsBlank="1" containsNumber="1" containsInteger="1" minValue="32" maxValue="92"/>
    </cacheField>
    <cacheField name="Geografia-R" numFmtId="0">
      <sharedItems containsString="0" containsBlank="1" containsNumber="1" containsInteger="1" minValue="38" maxValue="93"/>
    </cacheField>
    <cacheField name="Historia-R" numFmtId="0">
      <sharedItems containsString="0" containsBlank="1" containsNumber="1" containsInteger="1" minValue="24" maxValue="96"/>
    </cacheField>
    <cacheField name="Informatyka-R" numFmtId="0">
      <sharedItems containsString="0" containsBlank="1" containsNumber="1" containsInteger="1" minValue="52" maxValue="98"/>
    </cacheField>
    <cacheField name="Angielski-R" numFmtId="0">
      <sharedItems containsString="0" containsBlank="1" containsNumber="1" containsInteger="1" minValue="28" maxValue="100"/>
    </cacheField>
    <cacheField name="Francuski-R" numFmtId="0">
      <sharedItems containsString="0" containsBlank="1" containsNumber="1" containsInteger="1" minValue="73" maxValue="88"/>
    </cacheField>
    <cacheField name="Hiszpański-R" numFmtId="0">
      <sharedItems containsString="0" containsBlank="1" containsNumber="1" containsInteger="1" minValue="45" maxValue="96"/>
    </cacheField>
    <cacheField name="Niemiecki-R" numFmtId="0">
      <sharedItems containsString="0" containsBlank="1" containsNumber="1" containsInteger="1" minValue="69" maxValue="90"/>
    </cacheField>
    <cacheField name="Matematyka-R" numFmtId="0">
      <sharedItems containsString="0" containsBlank="1" containsNumber="1" containsInteger="1" minValue="14" maxValue="94"/>
    </cacheField>
    <cacheField name="Polski-R" numFmtId="0">
      <sharedItems containsString="0" containsBlank="1" containsNumber="1" containsInteger="1" minValue="25" maxValue="100"/>
    </cacheField>
    <cacheField name="WOS-R" numFmtId="0">
      <sharedItems containsString="0" containsBlank="1" containsNumber="1" containsInteger="1" minValue="16" maxValue="100"/>
    </cacheField>
    <cacheField name="Moduł" numFmtId="0">
      <sharedItems/>
    </cacheField>
    <cacheField name="Płeć" numFmtId="0">
      <sharedItems count="2">
        <s v="kobieta"/>
        <s v="mężczyzna"/>
      </sharedItems>
    </cacheField>
    <cacheField name="ile przedmiotów" numFmtId="0">
      <sharedItems containsSemiMixedTypes="0" containsString="0" containsNumber="1" containsInteger="1" minValue="1" maxValue="5" count="5">
        <n v="3"/>
        <n v="2"/>
        <n v="4"/>
        <n v="5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">
  <r>
    <x v="0"/>
    <x v="0"/>
    <n v="52"/>
    <m/>
    <m/>
    <m/>
    <m/>
    <m/>
    <n v="100"/>
    <n v="91"/>
    <m/>
    <n v="88"/>
    <m/>
    <m/>
    <m/>
    <m/>
    <n v="80"/>
    <m/>
    <n v="67"/>
    <m/>
    <m/>
    <x v="0"/>
  </r>
  <r>
    <x v="0"/>
    <x v="1"/>
    <n v="33"/>
    <n v="52"/>
    <m/>
    <m/>
    <m/>
    <m/>
    <n v="73"/>
    <m/>
    <m/>
    <m/>
    <m/>
    <m/>
    <m/>
    <m/>
    <n v="56"/>
    <m/>
    <n v="40"/>
    <m/>
    <m/>
    <x v="1"/>
  </r>
  <r>
    <x v="0"/>
    <x v="2"/>
    <n v="70"/>
    <n v="58"/>
    <m/>
    <m/>
    <m/>
    <m/>
    <n v="92"/>
    <m/>
    <m/>
    <m/>
    <m/>
    <m/>
    <m/>
    <m/>
    <n v="60"/>
    <m/>
    <n v="61"/>
    <m/>
    <m/>
    <x v="1"/>
  </r>
  <r>
    <x v="0"/>
    <x v="3"/>
    <n v="90"/>
    <n v="78"/>
    <m/>
    <m/>
    <m/>
    <m/>
    <n v="98"/>
    <n v="68"/>
    <m/>
    <m/>
    <m/>
    <m/>
    <m/>
    <m/>
    <n v="70"/>
    <m/>
    <n v="73"/>
    <m/>
    <m/>
    <x v="1"/>
  </r>
  <r>
    <x v="0"/>
    <x v="4"/>
    <n v="62"/>
    <n v="62"/>
    <m/>
    <m/>
    <m/>
    <m/>
    <n v="87"/>
    <m/>
    <m/>
    <m/>
    <m/>
    <m/>
    <m/>
    <m/>
    <n v="70"/>
    <m/>
    <n v="51"/>
    <m/>
    <m/>
    <x v="1"/>
  </r>
  <r>
    <x v="0"/>
    <x v="5"/>
    <n v="65"/>
    <n v="65"/>
    <m/>
    <m/>
    <m/>
    <m/>
    <n v="75"/>
    <m/>
    <m/>
    <m/>
    <m/>
    <m/>
    <m/>
    <m/>
    <n v="48"/>
    <m/>
    <n v="40"/>
    <m/>
    <m/>
    <x v="1"/>
  </r>
  <r>
    <x v="0"/>
    <x v="6"/>
    <m/>
    <n v="58"/>
    <m/>
    <m/>
    <m/>
    <m/>
    <n v="96"/>
    <n v="61"/>
    <m/>
    <m/>
    <m/>
    <m/>
    <m/>
    <m/>
    <n v="94"/>
    <n v="34"/>
    <n v="74"/>
    <m/>
    <m/>
    <x v="1"/>
  </r>
  <r>
    <x v="0"/>
    <x v="7"/>
    <n v="77"/>
    <n v="85"/>
    <m/>
    <m/>
    <m/>
    <m/>
    <n v="96"/>
    <m/>
    <m/>
    <m/>
    <m/>
    <m/>
    <m/>
    <m/>
    <n v="96"/>
    <m/>
    <n v="77"/>
    <m/>
    <m/>
    <x v="1"/>
  </r>
  <r>
    <x v="0"/>
    <x v="8"/>
    <n v="93"/>
    <n v="67"/>
    <m/>
    <m/>
    <m/>
    <m/>
    <n v="84"/>
    <m/>
    <m/>
    <m/>
    <m/>
    <m/>
    <m/>
    <m/>
    <n v="86"/>
    <m/>
    <n v="73"/>
    <m/>
    <m/>
    <x v="1"/>
  </r>
  <r>
    <x v="0"/>
    <x v="9"/>
    <n v="57"/>
    <n v="47"/>
    <m/>
    <m/>
    <m/>
    <m/>
    <n v="87"/>
    <m/>
    <m/>
    <m/>
    <m/>
    <m/>
    <m/>
    <m/>
    <n v="40"/>
    <m/>
    <n v="43"/>
    <m/>
    <m/>
    <x v="1"/>
  </r>
  <r>
    <x v="0"/>
    <x v="10"/>
    <n v="60"/>
    <m/>
    <m/>
    <m/>
    <m/>
    <m/>
    <n v="96"/>
    <n v="89"/>
    <m/>
    <m/>
    <m/>
    <m/>
    <m/>
    <m/>
    <n v="70"/>
    <m/>
    <n v="76"/>
    <m/>
    <m/>
    <x v="1"/>
  </r>
  <r>
    <x v="0"/>
    <x v="11"/>
    <m/>
    <m/>
    <m/>
    <n v="90"/>
    <m/>
    <m/>
    <n v="100"/>
    <n v="100"/>
    <m/>
    <m/>
    <m/>
    <m/>
    <n v="100"/>
    <m/>
    <n v="98"/>
    <n v="86"/>
    <n v="80"/>
    <m/>
    <m/>
    <x v="2"/>
  </r>
  <r>
    <x v="0"/>
    <x v="12"/>
    <n v="95"/>
    <n v="88"/>
    <m/>
    <m/>
    <m/>
    <m/>
    <n v="92"/>
    <m/>
    <m/>
    <m/>
    <m/>
    <m/>
    <m/>
    <m/>
    <n v="92"/>
    <m/>
    <n v="79"/>
    <m/>
    <m/>
    <x v="1"/>
  </r>
  <r>
    <x v="0"/>
    <x v="13"/>
    <n v="75"/>
    <n v="67"/>
    <m/>
    <m/>
    <m/>
    <m/>
    <n v="91"/>
    <m/>
    <m/>
    <m/>
    <m/>
    <m/>
    <m/>
    <m/>
    <n v="88"/>
    <m/>
    <n v="59"/>
    <m/>
    <m/>
    <x v="1"/>
  </r>
  <r>
    <x v="0"/>
    <x v="14"/>
    <n v="85"/>
    <n v="83"/>
    <n v="48"/>
    <m/>
    <m/>
    <m/>
    <n v="94"/>
    <m/>
    <m/>
    <m/>
    <m/>
    <m/>
    <m/>
    <m/>
    <n v="92"/>
    <m/>
    <n v="56"/>
    <m/>
    <m/>
    <x v="1"/>
  </r>
  <r>
    <x v="0"/>
    <x v="15"/>
    <n v="62"/>
    <n v="48"/>
    <m/>
    <m/>
    <m/>
    <m/>
    <n v="85"/>
    <m/>
    <m/>
    <m/>
    <m/>
    <m/>
    <m/>
    <m/>
    <n v="58"/>
    <m/>
    <n v="59"/>
    <m/>
    <m/>
    <x v="1"/>
  </r>
  <r>
    <x v="0"/>
    <x v="16"/>
    <n v="68"/>
    <n v="62"/>
    <m/>
    <m/>
    <m/>
    <m/>
    <n v="99"/>
    <n v="93"/>
    <m/>
    <m/>
    <m/>
    <m/>
    <m/>
    <m/>
    <n v="78"/>
    <m/>
    <n v="54"/>
    <m/>
    <m/>
    <x v="1"/>
  </r>
  <r>
    <x v="0"/>
    <x v="17"/>
    <n v="55"/>
    <n v="62"/>
    <m/>
    <m/>
    <m/>
    <m/>
    <n v="96"/>
    <n v="86"/>
    <m/>
    <m/>
    <m/>
    <m/>
    <m/>
    <m/>
    <n v="92"/>
    <m/>
    <n v="73"/>
    <m/>
    <m/>
    <x v="1"/>
  </r>
  <r>
    <x v="0"/>
    <x v="18"/>
    <n v="68"/>
    <n v="45"/>
    <m/>
    <m/>
    <m/>
    <m/>
    <n v="92"/>
    <m/>
    <m/>
    <m/>
    <m/>
    <m/>
    <m/>
    <m/>
    <n v="78"/>
    <m/>
    <n v="56"/>
    <m/>
    <m/>
    <x v="1"/>
  </r>
  <r>
    <x v="0"/>
    <x v="19"/>
    <n v="78"/>
    <m/>
    <m/>
    <m/>
    <m/>
    <m/>
    <n v="95"/>
    <n v="77"/>
    <m/>
    <m/>
    <m/>
    <m/>
    <m/>
    <m/>
    <n v="64"/>
    <m/>
    <n v="84"/>
    <m/>
    <m/>
    <x v="1"/>
  </r>
  <r>
    <x v="0"/>
    <x v="20"/>
    <n v="72"/>
    <n v="68"/>
    <m/>
    <m/>
    <m/>
    <m/>
    <n v="92"/>
    <m/>
    <m/>
    <m/>
    <m/>
    <m/>
    <m/>
    <m/>
    <n v="70"/>
    <m/>
    <n v="64"/>
    <m/>
    <m/>
    <x v="1"/>
  </r>
  <r>
    <x v="0"/>
    <x v="21"/>
    <n v="55"/>
    <n v="50"/>
    <m/>
    <m/>
    <m/>
    <m/>
    <n v="84"/>
    <m/>
    <m/>
    <m/>
    <m/>
    <m/>
    <m/>
    <m/>
    <n v="58"/>
    <m/>
    <n v="54"/>
    <m/>
    <m/>
    <x v="1"/>
  </r>
  <r>
    <x v="0"/>
    <x v="22"/>
    <n v="67"/>
    <n v="60"/>
    <m/>
    <m/>
    <m/>
    <m/>
    <n v="92"/>
    <m/>
    <m/>
    <m/>
    <m/>
    <m/>
    <m/>
    <m/>
    <n v="76"/>
    <m/>
    <n v="50"/>
    <m/>
    <m/>
    <x v="1"/>
  </r>
  <r>
    <x v="0"/>
    <x v="23"/>
    <n v="45"/>
    <n v="30"/>
    <m/>
    <m/>
    <m/>
    <m/>
    <n v="61"/>
    <m/>
    <m/>
    <m/>
    <m/>
    <m/>
    <m/>
    <m/>
    <n v="50"/>
    <m/>
    <n v="33"/>
    <m/>
    <m/>
    <x v="1"/>
  </r>
  <r>
    <x v="0"/>
    <x v="24"/>
    <n v="83"/>
    <n v="50"/>
    <m/>
    <m/>
    <m/>
    <m/>
    <n v="100"/>
    <n v="83"/>
    <m/>
    <m/>
    <m/>
    <m/>
    <m/>
    <m/>
    <n v="62"/>
    <m/>
    <n v="76"/>
    <m/>
    <m/>
    <x v="0"/>
  </r>
  <r>
    <x v="0"/>
    <x v="25"/>
    <n v="80"/>
    <m/>
    <m/>
    <m/>
    <m/>
    <m/>
    <n v="99"/>
    <n v="83"/>
    <m/>
    <m/>
    <m/>
    <m/>
    <m/>
    <m/>
    <n v="72"/>
    <m/>
    <n v="84"/>
    <m/>
    <m/>
    <x v="1"/>
  </r>
  <r>
    <x v="0"/>
    <x v="26"/>
    <n v="70"/>
    <n v="60"/>
    <m/>
    <m/>
    <m/>
    <m/>
    <n v="91"/>
    <m/>
    <m/>
    <m/>
    <m/>
    <m/>
    <m/>
    <m/>
    <n v="80"/>
    <m/>
    <n v="74"/>
    <m/>
    <m/>
    <x v="1"/>
  </r>
  <r>
    <x v="0"/>
    <x v="27"/>
    <m/>
    <m/>
    <n v="55"/>
    <m/>
    <m/>
    <m/>
    <n v="96"/>
    <n v="86"/>
    <m/>
    <m/>
    <m/>
    <m/>
    <m/>
    <m/>
    <n v="86"/>
    <m/>
    <n v="64"/>
    <m/>
    <m/>
    <x v="1"/>
  </r>
  <r>
    <x v="0"/>
    <x v="28"/>
    <n v="73"/>
    <n v="78"/>
    <m/>
    <m/>
    <m/>
    <m/>
    <n v="96"/>
    <m/>
    <m/>
    <m/>
    <m/>
    <m/>
    <m/>
    <m/>
    <n v="82"/>
    <m/>
    <n v="60"/>
    <m/>
    <m/>
    <x v="1"/>
  </r>
  <r>
    <x v="0"/>
    <x v="29"/>
    <n v="80"/>
    <n v="60"/>
    <m/>
    <m/>
    <m/>
    <m/>
    <n v="88"/>
    <n v="67"/>
    <m/>
    <m/>
    <m/>
    <m/>
    <m/>
    <m/>
    <n v="80"/>
    <m/>
    <n v="63"/>
    <m/>
    <m/>
    <x v="1"/>
  </r>
  <r>
    <x v="0"/>
    <x v="30"/>
    <n v="93"/>
    <n v="88"/>
    <m/>
    <m/>
    <m/>
    <m/>
    <n v="100"/>
    <n v="76"/>
    <m/>
    <m/>
    <m/>
    <m/>
    <m/>
    <m/>
    <n v="92"/>
    <m/>
    <n v="76"/>
    <m/>
    <m/>
    <x v="0"/>
  </r>
  <r>
    <x v="0"/>
    <x v="31"/>
    <n v="85"/>
    <n v="93"/>
    <n v="82"/>
    <m/>
    <m/>
    <m/>
    <n v="96"/>
    <m/>
    <m/>
    <m/>
    <m/>
    <m/>
    <m/>
    <m/>
    <n v="94"/>
    <n v="74"/>
    <n v="66"/>
    <m/>
    <m/>
    <x v="1"/>
  </r>
  <r>
    <x v="0"/>
    <x v="32"/>
    <n v="90"/>
    <n v="82"/>
    <m/>
    <m/>
    <m/>
    <m/>
    <n v="92"/>
    <m/>
    <m/>
    <m/>
    <m/>
    <m/>
    <m/>
    <m/>
    <n v="86"/>
    <m/>
    <n v="63"/>
    <m/>
    <m/>
    <x v="1"/>
  </r>
  <r>
    <x v="0"/>
    <x v="33"/>
    <n v="87"/>
    <m/>
    <m/>
    <m/>
    <m/>
    <m/>
    <n v="100"/>
    <m/>
    <m/>
    <m/>
    <m/>
    <m/>
    <m/>
    <m/>
    <n v="82"/>
    <m/>
    <n v="79"/>
    <n v="73"/>
    <n v="64"/>
    <x v="0"/>
  </r>
  <r>
    <x v="1"/>
    <x v="34"/>
    <m/>
    <m/>
    <m/>
    <m/>
    <m/>
    <m/>
    <n v="93"/>
    <n v="60"/>
    <m/>
    <m/>
    <m/>
    <m/>
    <m/>
    <m/>
    <n v="46"/>
    <m/>
    <n v="60"/>
    <n v="75"/>
    <m/>
    <x v="1"/>
  </r>
  <r>
    <x v="1"/>
    <x v="35"/>
    <m/>
    <m/>
    <m/>
    <m/>
    <m/>
    <m/>
    <n v="96"/>
    <n v="87"/>
    <m/>
    <m/>
    <m/>
    <m/>
    <m/>
    <m/>
    <n v="50"/>
    <m/>
    <n v="40"/>
    <n v="70"/>
    <n v="44"/>
    <x v="1"/>
  </r>
  <r>
    <x v="1"/>
    <x v="36"/>
    <m/>
    <m/>
    <m/>
    <m/>
    <n v="92"/>
    <m/>
    <n v="100"/>
    <n v="81"/>
    <m/>
    <m/>
    <m/>
    <m/>
    <m/>
    <m/>
    <n v="88"/>
    <m/>
    <n v="57"/>
    <n v="70"/>
    <m/>
    <x v="0"/>
  </r>
  <r>
    <x v="1"/>
    <x v="37"/>
    <m/>
    <m/>
    <m/>
    <m/>
    <n v="86"/>
    <m/>
    <n v="100"/>
    <n v="90"/>
    <m/>
    <m/>
    <m/>
    <m/>
    <m/>
    <m/>
    <n v="70"/>
    <m/>
    <n v="56"/>
    <n v="68"/>
    <n v="78"/>
    <x v="0"/>
  </r>
  <r>
    <x v="1"/>
    <x v="38"/>
    <m/>
    <m/>
    <m/>
    <m/>
    <n v="90"/>
    <m/>
    <n v="96"/>
    <n v="93"/>
    <m/>
    <m/>
    <m/>
    <m/>
    <m/>
    <m/>
    <n v="86"/>
    <n v="36"/>
    <n v="53"/>
    <n v="73"/>
    <n v="100"/>
    <x v="0"/>
  </r>
  <r>
    <x v="1"/>
    <x v="39"/>
    <m/>
    <m/>
    <m/>
    <m/>
    <m/>
    <m/>
    <n v="59"/>
    <n v="44"/>
    <m/>
    <m/>
    <m/>
    <m/>
    <m/>
    <m/>
    <n v="34"/>
    <m/>
    <n v="30"/>
    <n v="53"/>
    <n v="34"/>
    <x v="1"/>
  </r>
  <r>
    <x v="1"/>
    <x v="40"/>
    <m/>
    <m/>
    <m/>
    <m/>
    <n v="88"/>
    <m/>
    <n v="98"/>
    <n v="95"/>
    <m/>
    <m/>
    <m/>
    <m/>
    <m/>
    <n v="69"/>
    <n v="68"/>
    <m/>
    <n v="70"/>
    <n v="80"/>
    <n v="72"/>
    <x v="1"/>
  </r>
  <r>
    <x v="1"/>
    <x v="41"/>
    <m/>
    <m/>
    <m/>
    <m/>
    <n v="92"/>
    <m/>
    <n v="93"/>
    <n v="95"/>
    <m/>
    <m/>
    <m/>
    <m/>
    <m/>
    <m/>
    <n v="56"/>
    <m/>
    <n v="79"/>
    <n v="55"/>
    <n v="72"/>
    <x v="1"/>
  </r>
  <r>
    <x v="1"/>
    <x v="42"/>
    <m/>
    <m/>
    <m/>
    <m/>
    <n v="94"/>
    <m/>
    <n v="90"/>
    <n v="67"/>
    <m/>
    <m/>
    <m/>
    <m/>
    <m/>
    <m/>
    <n v="40"/>
    <m/>
    <n v="80"/>
    <n v="60"/>
    <m/>
    <x v="1"/>
  </r>
  <r>
    <x v="1"/>
    <x v="43"/>
    <m/>
    <m/>
    <m/>
    <m/>
    <n v="66"/>
    <m/>
    <n v="98"/>
    <n v="67"/>
    <m/>
    <m/>
    <m/>
    <m/>
    <m/>
    <m/>
    <n v="50"/>
    <m/>
    <n v="54"/>
    <n v="80"/>
    <n v="68"/>
    <x v="1"/>
  </r>
  <r>
    <x v="1"/>
    <x v="44"/>
    <m/>
    <m/>
    <m/>
    <m/>
    <m/>
    <m/>
    <n v="100"/>
    <n v="92"/>
    <m/>
    <m/>
    <m/>
    <m/>
    <m/>
    <m/>
    <n v="70"/>
    <m/>
    <n v="63"/>
    <n v="45"/>
    <m/>
    <x v="0"/>
  </r>
  <r>
    <x v="1"/>
    <x v="45"/>
    <m/>
    <m/>
    <m/>
    <m/>
    <m/>
    <m/>
    <n v="96"/>
    <n v="63"/>
    <m/>
    <m/>
    <m/>
    <m/>
    <m/>
    <m/>
    <n v="64"/>
    <m/>
    <n v="63"/>
    <n v="58"/>
    <n v="48"/>
    <x v="1"/>
  </r>
  <r>
    <x v="1"/>
    <x v="46"/>
    <m/>
    <m/>
    <m/>
    <m/>
    <m/>
    <m/>
    <n v="96"/>
    <n v="69"/>
    <m/>
    <m/>
    <m/>
    <m/>
    <m/>
    <m/>
    <n v="68"/>
    <m/>
    <n v="51"/>
    <n v="70"/>
    <n v="38"/>
    <x v="1"/>
  </r>
  <r>
    <x v="1"/>
    <x v="47"/>
    <n v="73"/>
    <n v="65"/>
    <m/>
    <m/>
    <m/>
    <m/>
    <n v="80"/>
    <m/>
    <m/>
    <m/>
    <m/>
    <m/>
    <m/>
    <m/>
    <n v="52"/>
    <m/>
    <n v="56"/>
    <m/>
    <m/>
    <x v="1"/>
  </r>
  <r>
    <x v="1"/>
    <x v="48"/>
    <n v="50"/>
    <n v="47"/>
    <m/>
    <m/>
    <m/>
    <m/>
    <n v="92"/>
    <m/>
    <m/>
    <m/>
    <m/>
    <m/>
    <m/>
    <m/>
    <n v="58"/>
    <m/>
    <n v="51"/>
    <m/>
    <m/>
    <x v="1"/>
  </r>
  <r>
    <x v="1"/>
    <x v="49"/>
    <m/>
    <m/>
    <m/>
    <m/>
    <n v="92"/>
    <m/>
    <n v="92"/>
    <n v="59"/>
    <m/>
    <m/>
    <m/>
    <m/>
    <m/>
    <m/>
    <n v="72"/>
    <m/>
    <n v="41"/>
    <n v="60"/>
    <n v="68"/>
    <x v="1"/>
  </r>
  <r>
    <x v="1"/>
    <x v="50"/>
    <n v="73"/>
    <m/>
    <m/>
    <m/>
    <m/>
    <m/>
    <n v="97"/>
    <n v="74"/>
    <m/>
    <m/>
    <m/>
    <m/>
    <m/>
    <m/>
    <n v="56"/>
    <m/>
    <n v="60"/>
    <n v="73"/>
    <m/>
    <x v="1"/>
  </r>
  <r>
    <x v="1"/>
    <x v="51"/>
    <m/>
    <m/>
    <m/>
    <m/>
    <n v="80"/>
    <m/>
    <n v="97"/>
    <n v="83"/>
    <m/>
    <m/>
    <m/>
    <m/>
    <m/>
    <m/>
    <n v="44"/>
    <m/>
    <n v="66"/>
    <n v="63"/>
    <m/>
    <x v="1"/>
  </r>
  <r>
    <x v="1"/>
    <x v="52"/>
    <n v="35"/>
    <m/>
    <m/>
    <m/>
    <m/>
    <m/>
    <n v="96"/>
    <n v="84"/>
    <m/>
    <m/>
    <m/>
    <m/>
    <m/>
    <m/>
    <n v="32"/>
    <m/>
    <n v="51"/>
    <n v="63"/>
    <m/>
    <x v="1"/>
  </r>
  <r>
    <x v="1"/>
    <x v="53"/>
    <m/>
    <m/>
    <m/>
    <n v="47"/>
    <m/>
    <m/>
    <n v="86"/>
    <n v="60"/>
    <m/>
    <m/>
    <m/>
    <m/>
    <m/>
    <m/>
    <n v="66"/>
    <m/>
    <n v="34"/>
    <n v="58"/>
    <n v="58"/>
    <x v="1"/>
  </r>
  <r>
    <x v="1"/>
    <x v="54"/>
    <m/>
    <m/>
    <m/>
    <m/>
    <n v="42"/>
    <m/>
    <n v="66"/>
    <m/>
    <m/>
    <m/>
    <m/>
    <m/>
    <m/>
    <m/>
    <n v="64"/>
    <m/>
    <n v="56"/>
    <n v="75"/>
    <m/>
    <x v="1"/>
  </r>
  <r>
    <x v="1"/>
    <x v="55"/>
    <m/>
    <m/>
    <m/>
    <m/>
    <n v="76"/>
    <m/>
    <n v="97"/>
    <n v="78"/>
    <m/>
    <m/>
    <m/>
    <m/>
    <m/>
    <m/>
    <n v="72"/>
    <m/>
    <n v="60"/>
    <n v="80"/>
    <m/>
    <x v="1"/>
  </r>
  <r>
    <x v="1"/>
    <x v="56"/>
    <m/>
    <m/>
    <m/>
    <m/>
    <n v="80"/>
    <m/>
    <n v="78"/>
    <n v="34"/>
    <m/>
    <m/>
    <m/>
    <m/>
    <m/>
    <m/>
    <n v="52"/>
    <m/>
    <n v="46"/>
    <n v="80"/>
    <n v="62"/>
    <x v="1"/>
  </r>
  <r>
    <x v="1"/>
    <x v="57"/>
    <m/>
    <m/>
    <m/>
    <m/>
    <m/>
    <m/>
    <n v="65"/>
    <m/>
    <m/>
    <m/>
    <m/>
    <m/>
    <m/>
    <m/>
    <n v="50"/>
    <m/>
    <n v="43"/>
    <n v="78"/>
    <n v="24"/>
    <x v="1"/>
  </r>
  <r>
    <x v="1"/>
    <x v="58"/>
    <m/>
    <m/>
    <m/>
    <m/>
    <n v="88"/>
    <m/>
    <n v="96"/>
    <n v="92"/>
    <m/>
    <m/>
    <m/>
    <m/>
    <m/>
    <m/>
    <n v="58"/>
    <m/>
    <n v="59"/>
    <n v="53"/>
    <n v="72"/>
    <x v="1"/>
  </r>
  <r>
    <x v="1"/>
    <x v="59"/>
    <m/>
    <m/>
    <m/>
    <m/>
    <n v="76"/>
    <m/>
    <n v="100"/>
    <n v="90"/>
    <m/>
    <m/>
    <m/>
    <m/>
    <n v="100"/>
    <m/>
    <n v="78"/>
    <m/>
    <n v="66"/>
    <n v="75"/>
    <m/>
    <x v="3"/>
  </r>
  <r>
    <x v="1"/>
    <x v="60"/>
    <m/>
    <m/>
    <m/>
    <m/>
    <n v="96"/>
    <m/>
    <n v="98"/>
    <n v="91"/>
    <m/>
    <m/>
    <m/>
    <m/>
    <m/>
    <m/>
    <n v="72"/>
    <m/>
    <n v="69"/>
    <n v="85"/>
    <m/>
    <x v="1"/>
  </r>
  <r>
    <x v="1"/>
    <x v="61"/>
    <m/>
    <m/>
    <m/>
    <m/>
    <n v="76"/>
    <m/>
    <n v="99"/>
    <n v="84"/>
    <n v="78"/>
    <m/>
    <m/>
    <m/>
    <m/>
    <m/>
    <n v="70"/>
    <m/>
    <n v="53"/>
    <n v="73"/>
    <m/>
    <x v="1"/>
  </r>
  <r>
    <x v="1"/>
    <x v="62"/>
    <n v="48"/>
    <n v="17"/>
    <m/>
    <m/>
    <m/>
    <m/>
    <n v="100"/>
    <n v="92"/>
    <m/>
    <m/>
    <m/>
    <m/>
    <m/>
    <m/>
    <n v="60"/>
    <m/>
    <n v="47"/>
    <m/>
    <m/>
    <x v="0"/>
  </r>
  <r>
    <x v="1"/>
    <x v="63"/>
    <m/>
    <m/>
    <m/>
    <m/>
    <n v="80"/>
    <m/>
    <n v="98"/>
    <n v="79"/>
    <m/>
    <m/>
    <m/>
    <m/>
    <m/>
    <m/>
    <n v="66"/>
    <m/>
    <n v="66"/>
    <n v="63"/>
    <n v="60"/>
    <x v="1"/>
  </r>
  <r>
    <x v="1"/>
    <x v="64"/>
    <m/>
    <m/>
    <m/>
    <m/>
    <m/>
    <m/>
    <n v="94"/>
    <n v="66"/>
    <m/>
    <m/>
    <m/>
    <m/>
    <m/>
    <m/>
    <n v="76"/>
    <n v="24"/>
    <n v="44"/>
    <n v="40"/>
    <m/>
    <x v="1"/>
  </r>
  <r>
    <x v="2"/>
    <x v="65"/>
    <m/>
    <m/>
    <m/>
    <m/>
    <m/>
    <m/>
    <n v="95"/>
    <n v="70"/>
    <m/>
    <m/>
    <n v="51"/>
    <m/>
    <m/>
    <m/>
    <n v="76"/>
    <n v="52"/>
    <n v="49"/>
    <m/>
    <m/>
    <x v="1"/>
  </r>
  <r>
    <x v="2"/>
    <x v="66"/>
    <m/>
    <m/>
    <m/>
    <n v="42"/>
    <m/>
    <m/>
    <n v="52"/>
    <m/>
    <m/>
    <m/>
    <m/>
    <m/>
    <m/>
    <m/>
    <n v="76"/>
    <n v="40"/>
    <n v="36"/>
    <m/>
    <m/>
    <x v="1"/>
  </r>
  <r>
    <x v="2"/>
    <x v="67"/>
    <m/>
    <m/>
    <m/>
    <n v="77"/>
    <m/>
    <m/>
    <n v="92"/>
    <n v="80"/>
    <n v="68"/>
    <m/>
    <m/>
    <m/>
    <m/>
    <m/>
    <n v="66"/>
    <n v="44"/>
    <n v="54"/>
    <m/>
    <m/>
    <x v="1"/>
  </r>
  <r>
    <x v="2"/>
    <x v="68"/>
    <m/>
    <m/>
    <m/>
    <n v="55"/>
    <m/>
    <m/>
    <n v="88"/>
    <m/>
    <m/>
    <m/>
    <m/>
    <m/>
    <m/>
    <m/>
    <n v="72"/>
    <n v="42"/>
    <n v="49"/>
    <m/>
    <m/>
    <x v="1"/>
  </r>
  <r>
    <x v="2"/>
    <x v="69"/>
    <m/>
    <m/>
    <m/>
    <n v="85"/>
    <m/>
    <m/>
    <n v="100"/>
    <n v="81"/>
    <m/>
    <m/>
    <n v="94"/>
    <m/>
    <m/>
    <m/>
    <n v="94"/>
    <n v="52"/>
    <n v="71"/>
    <m/>
    <m/>
    <x v="0"/>
  </r>
  <r>
    <x v="2"/>
    <x v="70"/>
    <m/>
    <m/>
    <m/>
    <n v="68"/>
    <m/>
    <m/>
    <n v="84"/>
    <m/>
    <m/>
    <m/>
    <m/>
    <m/>
    <m/>
    <m/>
    <n v="52"/>
    <n v="14"/>
    <n v="34"/>
    <m/>
    <m/>
    <x v="1"/>
  </r>
  <r>
    <x v="2"/>
    <x v="71"/>
    <m/>
    <m/>
    <m/>
    <n v="60"/>
    <m/>
    <m/>
    <n v="92"/>
    <m/>
    <m/>
    <m/>
    <m/>
    <m/>
    <m/>
    <m/>
    <n v="70"/>
    <n v="32"/>
    <n v="63"/>
    <m/>
    <m/>
    <x v="1"/>
  </r>
  <r>
    <x v="2"/>
    <x v="72"/>
    <m/>
    <m/>
    <m/>
    <n v="70"/>
    <m/>
    <m/>
    <n v="94"/>
    <n v="84"/>
    <m/>
    <m/>
    <m/>
    <m/>
    <m/>
    <n v="90"/>
    <n v="88"/>
    <n v="56"/>
    <n v="64"/>
    <m/>
    <m/>
    <x v="1"/>
  </r>
  <r>
    <x v="2"/>
    <x v="73"/>
    <m/>
    <m/>
    <m/>
    <n v="38"/>
    <m/>
    <m/>
    <n v="51"/>
    <m/>
    <m/>
    <m/>
    <m/>
    <m/>
    <m/>
    <m/>
    <n v="48"/>
    <m/>
    <n v="49"/>
    <m/>
    <m/>
    <x v="1"/>
  </r>
  <r>
    <x v="2"/>
    <x v="74"/>
    <m/>
    <m/>
    <m/>
    <n v="83"/>
    <m/>
    <m/>
    <m/>
    <n v="93"/>
    <m/>
    <m/>
    <m/>
    <m/>
    <n v="96"/>
    <m/>
    <n v="72"/>
    <n v="64"/>
    <n v="57"/>
    <m/>
    <m/>
    <x v="1"/>
  </r>
  <r>
    <x v="2"/>
    <x v="75"/>
    <m/>
    <m/>
    <m/>
    <n v="93"/>
    <m/>
    <m/>
    <n v="98"/>
    <n v="80"/>
    <n v="80"/>
    <m/>
    <m/>
    <m/>
    <m/>
    <m/>
    <n v="78"/>
    <n v="64"/>
    <n v="63"/>
    <m/>
    <m/>
    <x v="1"/>
  </r>
  <r>
    <x v="2"/>
    <x v="76"/>
    <m/>
    <m/>
    <m/>
    <n v="63"/>
    <m/>
    <m/>
    <n v="88"/>
    <m/>
    <m/>
    <m/>
    <m/>
    <m/>
    <m/>
    <m/>
    <n v="64"/>
    <m/>
    <n v="63"/>
    <n v="43"/>
    <m/>
    <x v="1"/>
  </r>
  <r>
    <x v="2"/>
    <x v="77"/>
    <m/>
    <m/>
    <m/>
    <n v="65"/>
    <m/>
    <m/>
    <n v="69"/>
    <m/>
    <m/>
    <m/>
    <m/>
    <m/>
    <m/>
    <m/>
    <n v="52"/>
    <m/>
    <n v="51"/>
    <m/>
    <m/>
    <x v="1"/>
  </r>
  <r>
    <x v="2"/>
    <x v="78"/>
    <m/>
    <m/>
    <m/>
    <n v="50"/>
    <m/>
    <m/>
    <n v="82"/>
    <m/>
    <m/>
    <m/>
    <m/>
    <m/>
    <m/>
    <m/>
    <n v="68"/>
    <n v="36"/>
    <n v="47"/>
    <m/>
    <m/>
    <x v="1"/>
  </r>
  <r>
    <x v="2"/>
    <x v="79"/>
    <m/>
    <m/>
    <m/>
    <n v="53"/>
    <m/>
    <m/>
    <n v="100"/>
    <n v="77"/>
    <m/>
    <m/>
    <m/>
    <m/>
    <m/>
    <m/>
    <n v="82"/>
    <n v="38"/>
    <n v="53"/>
    <m/>
    <n v="46"/>
    <x v="0"/>
  </r>
  <r>
    <x v="2"/>
    <x v="80"/>
    <m/>
    <m/>
    <m/>
    <m/>
    <m/>
    <m/>
    <n v="98"/>
    <n v="81"/>
    <m/>
    <m/>
    <m/>
    <m/>
    <m/>
    <m/>
    <n v="88"/>
    <n v="40"/>
    <n v="59"/>
    <m/>
    <m/>
    <x v="1"/>
  </r>
  <r>
    <x v="2"/>
    <x v="81"/>
    <m/>
    <m/>
    <m/>
    <n v="70"/>
    <m/>
    <m/>
    <n v="96"/>
    <n v="51"/>
    <m/>
    <m/>
    <m/>
    <m/>
    <m/>
    <m/>
    <n v="76"/>
    <m/>
    <n v="66"/>
    <n v="95"/>
    <m/>
    <x v="1"/>
  </r>
  <r>
    <x v="2"/>
    <x v="82"/>
    <m/>
    <m/>
    <m/>
    <n v="68"/>
    <m/>
    <m/>
    <n v="87"/>
    <n v="55"/>
    <m/>
    <m/>
    <m/>
    <m/>
    <m/>
    <m/>
    <n v="86"/>
    <n v="48"/>
    <n v="63"/>
    <n v="55"/>
    <m/>
    <x v="1"/>
  </r>
  <r>
    <x v="2"/>
    <x v="83"/>
    <m/>
    <m/>
    <m/>
    <m/>
    <m/>
    <m/>
    <n v="91"/>
    <n v="66"/>
    <m/>
    <m/>
    <m/>
    <m/>
    <m/>
    <m/>
    <n v="100"/>
    <n v="66"/>
    <n v="76"/>
    <n v="70"/>
    <m/>
    <x v="0"/>
  </r>
  <r>
    <x v="2"/>
    <x v="84"/>
    <m/>
    <m/>
    <m/>
    <m/>
    <m/>
    <m/>
    <n v="100"/>
    <n v="92"/>
    <n v="72"/>
    <m/>
    <m/>
    <m/>
    <m/>
    <m/>
    <n v="74"/>
    <n v="52"/>
    <n v="54"/>
    <m/>
    <m/>
    <x v="0"/>
  </r>
  <r>
    <x v="2"/>
    <x v="85"/>
    <m/>
    <m/>
    <m/>
    <n v="87"/>
    <m/>
    <m/>
    <n v="98"/>
    <m/>
    <m/>
    <m/>
    <m/>
    <m/>
    <m/>
    <m/>
    <n v="96"/>
    <n v="90"/>
    <n v="91"/>
    <m/>
    <m/>
    <x v="1"/>
  </r>
  <r>
    <x v="2"/>
    <x v="86"/>
    <m/>
    <m/>
    <m/>
    <n v="47"/>
    <m/>
    <m/>
    <n v="89"/>
    <m/>
    <m/>
    <m/>
    <m/>
    <m/>
    <m/>
    <m/>
    <n v="76"/>
    <n v="40"/>
    <n v="54"/>
    <m/>
    <m/>
    <x v="1"/>
  </r>
  <r>
    <x v="2"/>
    <x v="87"/>
    <m/>
    <m/>
    <m/>
    <m/>
    <m/>
    <m/>
    <n v="94"/>
    <n v="88"/>
    <m/>
    <m/>
    <m/>
    <m/>
    <m/>
    <m/>
    <n v="88"/>
    <n v="46"/>
    <n v="77"/>
    <m/>
    <m/>
    <x v="1"/>
  </r>
  <r>
    <x v="2"/>
    <x v="88"/>
    <m/>
    <m/>
    <m/>
    <n v="68"/>
    <m/>
    <m/>
    <n v="94"/>
    <n v="78"/>
    <m/>
    <m/>
    <m/>
    <m/>
    <n v="96"/>
    <m/>
    <n v="100"/>
    <n v="54"/>
    <n v="50"/>
    <m/>
    <m/>
    <x v="0"/>
  </r>
  <r>
    <x v="2"/>
    <x v="89"/>
    <m/>
    <m/>
    <m/>
    <n v="77"/>
    <m/>
    <m/>
    <n v="72"/>
    <n v="44"/>
    <m/>
    <m/>
    <m/>
    <m/>
    <m/>
    <m/>
    <n v="78"/>
    <n v="40"/>
    <n v="60"/>
    <m/>
    <m/>
    <x v="1"/>
  </r>
  <r>
    <x v="2"/>
    <x v="90"/>
    <m/>
    <m/>
    <m/>
    <n v="80"/>
    <m/>
    <m/>
    <n v="100"/>
    <n v="82"/>
    <m/>
    <m/>
    <m/>
    <m/>
    <n v="100"/>
    <m/>
    <n v="86"/>
    <n v="94"/>
    <n v="63"/>
    <m/>
    <m/>
    <x v="3"/>
  </r>
  <r>
    <x v="2"/>
    <x v="91"/>
    <m/>
    <m/>
    <m/>
    <n v="82"/>
    <m/>
    <m/>
    <n v="94"/>
    <n v="61"/>
    <m/>
    <m/>
    <m/>
    <m/>
    <m/>
    <m/>
    <n v="68"/>
    <m/>
    <n v="71"/>
    <m/>
    <m/>
    <x v="1"/>
  </r>
  <r>
    <x v="3"/>
    <x v="92"/>
    <m/>
    <m/>
    <n v="70"/>
    <m/>
    <m/>
    <m/>
    <n v="94"/>
    <n v="73"/>
    <m/>
    <m/>
    <m/>
    <m/>
    <m/>
    <m/>
    <n v="90"/>
    <n v="70"/>
    <n v="59"/>
    <m/>
    <m/>
    <x v="1"/>
  </r>
  <r>
    <x v="3"/>
    <x v="93"/>
    <m/>
    <m/>
    <n v="53"/>
    <m/>
    <m/>
    <m/>
    <n v="96"/>
    <n v="67"/>
    <m/>
    <m/>
    <m/>
    <m/>
    <m/>
    <m/>
    <n v="90"/>
    <n v="40"/>
    <n v="64"/>
    <m/>
    <m/>
    <x v="1"/>
  </r>
  <r>
    <x v="3"/>
    <x v="94"/>
    <m/>
    <m/>
    <n v="75"/>
    <m/>
    <m/>
    <n v="78"/>
    <n v="98"/>
    <n v="96"/>
    <m/>
    <m/>
    <m/>
    <m/>
    <m/>
    <m/>
    <n v="100"/>
    <n v="90"/>
    <n v="80"/>
    <m/>
    <m/>
    <x v="0"/>
  </r>
  <r>
    <x v="3"/>
    <x v="95"/>
    <m/>
    <m/>
    <n v="82"/>
    <m/>
    <m/>
    <m/>
    <n v="100"/>
    <n v="91"/>
    <m/>
    <m/>
    <m/>
    <m/>
    <m/>
    <m/>
    <n v="86"/>
    <n v="80"/>
    <n v="84"/>
    <m/>
    <m/>
    <x v="0"/>
  </r>
  <r>
    <x v="3"/>
    <x v="96"/>
    <m/>
    <m/>
    <n v="32"/>
    <m/>
    <m/>
    <m/>
    <n v="96"/>
    <n v="74"/>
    <m/>
    <m/>
    <m/>
    <m/>
    <m/>
    <m/>
    <n v="82"/>
    <m/>
    <n v="60"/>
    <n v="25"/>
    <m/>
    <x v="1"/>
  </r>
  <r>
    <x v="3"/>
    <x v="97"/>
    <m/>
    <m/>
    <n v="77"/>
    <m/>
    <m/>
    <n v="88"/>
    <n v="98"/>
    <n v="76"/>
    <m/>
    <m/>
    <m/>
    <m/>
    <m/>
    <m/>
    <n v="98"/>
    <n v="68"/>
    <n v="73"/>
    <m/>
    <m/>
    <x v="1"/>
  </r>
  <r>
    <x v="3"/>
    <x v="98"/>
    <m/>
    <m/>
    <n v="70"/>
    <m/>
    <m/>
    <m/>
    <n v="97"/>
    <n v="65"/>
    <m/>
    <m/>
    <m/>
    <m/>
    <m/>
    <m/>
    <n v="94"/>
    <n v="78"/>
    <n v="76"/>
    <m/>
    <m/>
    <x v="1"/>
  </r>
  <r>
    <x v="3"/>
    <x v="99"/>
    <m/>
    <m/>
    <n v="32"/>
    <m/>
    <m/>
    <m/>
    <n v="95"/>
    <n v="75"/>
    <m/>
    <m/>
    <m/>
    <m/>
    <m/>
    <m/>
    <n v="72"/>
    <n v="58"/>
    <n v="54"/>
    <m/>
    <m/>
    <x v="1"/>
  </r>
  <r>
    <x v="3"/>
    <x v="100"/>
    <n v="37"/>
    <m/>
    <n v="37"/>
    <m/>
    <m/>
    <m/>
    <n v="96"/>
    <n v="84"/>
    <m/>
    <m/>
    <m/>
    <m/>
    <m/>
    <m/>
    <n v="86"/>
    <m/>
    <n v="53"/>
    <m/>
    <m/>
    <x v="1"/>
  </r>
  <r>
    <x v="3"/>
    <x v="101"/>
    <m/>
    <m/>
    <n v="75"/>
    <m/>
    <m/>
    <m/>
    <n v="98"/>
    <n v="94"/>
    <m/>
    <m/>
    <m/>
    <m/>
    <m/>
    <m/>
    <n v="84"/>
    <n v="82"/>
    <n v="56"/>
    <m/>
    <m/>
    <x v="1"/>
  </r>
  <r>
    <x v="3"/>
    <x v="102"/>
    <m/>
    <m/>
    <n v="92"/>
    <m/>
    <m/>
    <m/>
    <n v="98"/>
    <n v="86"/>
    <m/>
    <m/>
    <m/>
    <m/>
    <m/>
    <m/>
    <n v="94"/>
    <n v="88"/>
    <n v="77"/>
    <m/>
    <m/>
    <x v="1"/>
  </r>
  <r>
    <x v="3"/>
    <x v="103"/>
    <m/>
    <m/>
    <m/>
    <n v="45"/>
    <m/>
    <m/>
    <n v="100"/>
    <n v="80"/>
    <m/>
    <m/>
    <m/>
    <m/>
    <m/>
    <m/>
    <n v="78"/>
    <n v="36"/>
    <n v="30"/>
    <m/>
    <m/>
    <x v="0"/>
  </r>
  <r>
    <x v="3"/>
    <x v="104"/>
    <m/>
    <m/>
    <m/>
    <m/>
    <m/>
    <m/>
    <n v="100"/>
    <n v="94"/>
    <n v="99"/>
    <m/>
    <m/>
    <m/>
    <m/>
    <m/>
    <n v="80"/>
    <n v="74"/>
    <n v="74"/>
    <m/>
    <m/>
    <x v="0"/>
  </r>
  <r>
    <x v="3"/>
    <x v="105"/>
    <m/>
    <m/>
    <m/>
    <m/>
    <m/>
    <m/>
    <n v="98"/>
    <n v="78"/>
    <m/>
    <m/>
    <m/>
    <m/>
    <m/>
    <m/>
    <n v="64"/>
    <m/>
    <n v="54"/>
    <m/>
    <m/>
    <x v="1"/>
  </r>
  <r>
    <x v="3"/>
    <x v="106"/>
    <m/>
    <m/>
    <n v="72"/>
    <m/>
    <m/>
    <m/>
    <n v="98"/>
    <n v="79"/>
    <m/>
    <m/>
    <m/>
    <m/>
    <m/>
    <m/>
    <n v="100"/>
    <n v="78"/>
    <n v="64"/>
    <m/>
    <m/>
    <x v="0"/>
  </r>
  <r>
    <x v="3"/>
    <x v="107"/>
    <m/>
    <m/>
    <n v="62"/>
    <m/>
    <m/>
    <m/>
    <n v="100"/>
    <n v="75"/>
    <m/>
    <m/>
    <m/>
    <m/>
    <m/>
    <m/>
    <n v="92"/>
    <n v="38"/>
    <n v="74"/>
    <m/>
    <m/>
    <x v="0"/>
  </r>
  <r>
    <x v="3"/>
    <x v="108"/>
    <m/>
    <m/>
    <m/>
    <m/>
    <m/>
    <n v="70"/>
    <n v="98"/>
    <n v="79"/>
    <m/>
    <m/>
    <m/>
    <m/>
    <m/>
    <m/>
    <n v="94"/>
    <n v="62"/>
    <n v="59"/>
    <m/>
    <m/>
    <x v="1"/>
  </r>
  <r>
    <x v="3"/>
    <x v="109"/>
    <m/>
    <m/>
    <n v="48"/>
    <m/>
    <m/>
    <m/>
    <n v="84"/>
    <n v="28"/>
    <m/>
    <m/>
    <m/>
    <m/>
    <m/>
    <m/>
    <n v="88"/>
    <n v="68"/>
    <n v="51"/>
    <m/>
    <m/>
    <x v="1"/>
  </r>
  <r>
    <x v="3"/>
    <x v="110"/>
    <m/>
    <m/>
    <n v="62"/>
    <m/>
    <m/>
    <m/>
    <n v="98"/>
    <n v="79"/>
    <m/>
    <m/>
    <m/>
    <m/>
    <m/>
    <m/>
    <n v="100"/>
    <n v="66"/>
    <n v="51"/>
    <m/>
    <m/>
    <x v="0"/>
  </r>
  <r>
    <x v="3"/>
    <x v="111"/>
    <m/>
    <m/>
    <n v="67"/>
    <m/>
    <m/>
    <m/>
    <n v="100"/>
    <n v="85"/>
    <m/>
    <m/>
    <m/>
    <m/>
    <m/>
    <m/>
    <n v="92"/>
    <n v="70"/>
    <n v="63"/>
    <m/>
    <m/>
    <x v="0"/>
  </r>
  <r>
    <x v="3"/>
    <x v="112"/>
    <m/>
    <m/>
    <n v="67"/>
    <m/>
    <m/>
    <m/>
    <n v="100"/>
    <n v="78"/>
    <m/>
    <m/>
    <m/>
    <m/>
    <m/>
    <m/>
    <n v="98"/>
    <n v="68"/>
    <n v="63"/>
    <m/>
    <m/>
    <x v="0"/>
  </r>
  <r>
    <x v="3"/>
    <x v="113"/>
    <m/>
    <m/>
    <m/>
    <m/>
    <m/>
    <n v="98"/>
    <n v="99"/>
    <n v="84"/>
    <m/>
    <m/>
    <m/>
    <m/>
    <m/>
    <m/>
    <n v="96"/>
    <n v="92"/>
    <n v="66"/>
    <m/>
    <m/>
    <x v="1"/>
  </r>
  <r>
    <x v="3"/>
    <x v="114"/>
    <m/>
    <m/>
    <m/>
    <m/>
    <m/>
    <m/>
    <n v="96"/>
    <n v="86"/>
    <m/>
    <m/>
    <m/>
    <m/>
    <m/>
    <m/>
    <n v="94"/>
    <n v="60"/>
    <n v="57"/>
    <m/>
    <m/>
    <x v="1"/>
  </r>
  <r>
    <x v="3"/>
    <x v="115"/>
    <m/>
    <m/>
    <n v="55"/>
    <m/>
    <m/>
    <m/>
    <n v="97"/>
    <n v="92"/>
    <m/>
    <m/>
    <m/>
    <m/>
    <m/>
    <m/>
    <n v="94"/>
    <n v="78"/>
    <n v="63"/>
    <m/>
    <m/>
    <x v="1"/>
  </r>
  <r>
    <x v="3"/>
    <x v="116"/>
    <m/>
    <m/>
    <n v="78"/>
    <m/>
    <m/>
    <m/>
    <n v="98"/>
    <n v="85"/>
    <m/>
    <m/>
    <m/>
    <m/>
    <m/>
    <m/>
    <n v="100"/>
    <n v="92"/>
    <n v="70"/>
    <m/>
    <m/>
    <x v="0"/>
  </r>
  <r>
    <x v="3"/>
    <x v="117"/>
    <m/>
    <m/>
    <m/>
    <m/>
    <m/>
    <n v="52"/>
    <n v="96"/>
    <n v="68"/>
    <m/>
    <m/>
    <m/>
    <m/>
    <m/>
    <m/>
    <n v="94"/>
    <n v="56"/>
    <n v="57"/>
    <m/>
    <m/>
    <x v="1"/>
  </r>
  <r>
    <x v="3"/>
    <x v="118"/>
    <m/>
    <m/>
    <n v="70"/>
    <m/>
    <m/>
    <m/>
    <n v="100"/>
    <n v="86"/>
    <m/>
    <m/>
    <m/>
    <m/>
    <m/>
    <m/>
    <n v="98"/>
    <n v="78"/>
    <n v="90"/>
    <m/>
    <m/>
    <x v="0"/>
  </r>
  <r>
    <x v="3"/>
    <x v="119"/>
    <m/>
    <m/>
    <n v="32"/>
    <m/>
    <m/>
    <m/>
    <n v="96"/>
    <n v="78"/>
    <m/>
    <m/>
    <m/>
    <m/>
    <m/>
    <m/>
    <n v="90"/>
    <n v="74"/>
    <n v="74"/>
    <m/>
    <m/>
    <x v="1"/>
  </r>
  <r>
    <x v="3"/>
    <x v="120"/>
    <m/>
    <m/>
    <n v="75"/>
    <m/>
    <m/>
    <m/>
    <n v="100"/>
    <n v="64"/>
    <m/>
    <m/>
    <m/>
    <m/>
    <m/>
    <m/>
    <n v="92"/>
    <n v="74"/>
    <n v="70"/>
    <m/>
    <m/>
    <x v="0"/>
  </r>
  <r>
    <x v="3"/>
    <x v="121"/>
    <m/>
    <m/>
    <n v="63"/>
    <m/>
    <m/>
    <m/>
    <n v="96"/>
    <m/>
    <m/>
    <m/>
    <m/>
    <m/>
    <m/>
    <m/>
    <n v="96"/>
    <n v="92"/>
    <n v="67"/>
    <m/>
    <m/>
    <x v="1"/>
  </r>
  <r>
    <x v="3"/>
    <x v="122"/>
    <m/>
    <m/>
    <m/>
    <m/>
    <m/>
    <m/>
    <n v="98"/>
    <n v="65"/>
    <m/>
    <m/>
    <m/>
    <m/>
    <m/>
    <m/>
    <n v="94"/>
    <n v="68"/>
    <n v="81"/>
    <m/>
    <m/>
    <x v="1"/>
  </r>
  <r>
    <x v="3"/>
    <x v="123"/>
    <m/>
    <m/>
    <m/>
    <m/>
    <m/>
    <m/>
    <n v="98"/>
    <n v="84"/>
    <m/>
    <m/>
    <m/>
    <m/>
    <m/>
    <m/>
    <n v="82"/>
    <n v="54"/>
    <n v="73"/>
    <m/>
    <m/>
    <x v="1"/>
  </r>
  <r>
    <x v="3"/>
    <x v="124"/>
    <m/>
    <m/>
    <n v="77"/>
    <m/>
    <m/>
    <m/>
    <n v="94"/>
    <n v="86"/>
    <m/>
    <m/>
    <m/>
    <m/>
    <m/>
    <m/>
    <n v="98"/>
    <n v="64"/>
    <n v="59"/>
    <m/>
    <m/>
    <x v="1"/>
  </r>
  <r>
    <x v="4"/>
    <x v="125"/>
    <m/>
    <m/>
    <m/>
    <m/>
    <m/>
    <m/>
    <n v="96"/>
    <m/>
    <m/>
    <m/>
    <n v="97"/>
    <n v="73"/>
    <m/>
    <m/>
    <n v="58"/>
    <m/>
    <n v="69"/>
    <n v="65"/>
    <m/>
    <x v="1"/>
  </r>
  <r>
    <x v="4"/>
    <x v="126"/>
    <m/>
    <m/>
    <m/>
    <m/>
    <m/>
    <m/>
    <n v="96"/>
    <m/>
    <m/>
    <m/>
    <n v="83"/>
    <n v="61"/>
    <m/>
    <m/>
    <n v="68"/>
    <m/>
    <n v="69"/>
    <n v="58"/>
    <m/>
    <x v="1"/>
  </r>
  <r>
    <x v="4"/>
    <x v="127"/>
    <m/>
    <m/>
    <m/>
    <m/>
    <m/>
    <m/>
    <n v="88"/>
    <m/>
    <m/>
    <m/>
    <n v="90"/>
    <n v="65"/>
    <m/>
    <m/>
    <n v="50"/>
    <m/>
    <n v="81"/>
    <n v="58"/>
    <m/>
    <x v="1"/>
  </r>
  <r>
    <x v="4"/>
    <x v="128"/>
    <m/>
    <m/>
    <m/>
    <m/>
    <m/>
    <m/>
    <n v="90"/>
    <m/>
    <m/>
    <m/>
    <n v="84"/>
    <n v="68"/>
    <m/>
    <m/>
    <n v="58"/>
    <m/>
    <n v="76"/>
    <n v="88"/>
    <m/>
    <x v="1"/>
  </r>
  <r>
    <x v="4"/>
    <x v="129"/>
    <m/>
    <m/>
    <m/>
    <n v="85"/>
    <m/>
    <m/>
    <m/>
    <n v="95"/>
    <m/>
    <m/>
    <n v="100"/>
    <m/>
    <m/>
    <m/>
    <n v="82"/>
    <m/>
    <n v="73"/>
    <n v="88"/>
    <m/>
    <x v="0"/>
  </r>
  <r>
    <x v="4"/>
    <x v="130"/>
    <m/>
    <m/>
    <m/>
    <m/>
    <m/>
    <m/>
    <n v="96"/>
    <m/>
    <m/>
    <m/>
    <m/>
    <n v="45"/>
    <m/>
    <m/>
    <n v="74"/>
    <m/>
    <n v="61"/>
    <n v="83"/>
    <m/>
    <x v="1"/>
  </r>
  <r>
    <x v="4"/>
    <x v="131"/>
    <m/>
    <m/>
    <m/>
    <m/>
    <m/>
    <m/>
    <n v="94"/>
    <n v="79"/>
    <m/>
    <m/>
    <m/>
    <n v="79"/>
    <m/>
    <m/>
    <n v="64"/>
    <m/>
    <n v="74"/>
    <n v="53"/>
    <m/>
    <x v="1"/>
  </r>
  <r>
    <x v="4"/>
    <x v="132"/>
    <m/>
    <m/>
    <m/>
    <n v="38"/>
    <m/>
    <m/>
    <n v="87"/>
    <n v="69"/>
    <m/>
    <m/>
    <m/>
    <n v="72"/>
    <m/>
    <m/>
    <n v="56"/>
    <m/>
    <n v="54"/>
    <n v="60"/>
    <m/>
    <x v="1"/>
  </r>
  <r>
    <x v="4"/>
    <x v="133"/>
    <n v="62"/>
    <n v="35"/>
    <m/>
    <m/>
    <m/>
    <m/>
    <n v="97"/>
    <m/>
    <m/>
    <m/>
    <n v="92"/>
    <n v="52"/>
    <m/>
    <m/>
    <n v="56"/>
    <m/>
    <n v="67"/>
    <m/>
    <m/>
    <x v="1"/>
  </r>
  <r>
    <x v="4"/>
    <x v="134"/>
    <m/>
    <m/>
    <m/>
    <n v="50"/>
    <m/>
    <m/>
    <n v="92"/>
    <m/>
    <m/>
    <m/>
    <n v="84"/>
    <n v="63"/>
    <m/>
    <m/>
    <n v="54"/>
    <m/>
    <n v="60"/>
    <m/>
    <m/>
    <x v="1"/>
  </r>
  <r>
    <x v="4"/>
    <x v="135"/>
    <m/>
    <m/>
    <m/>
    <n v="82"/>
    <m/>
    <m/>
    <n v="100"/>
    <m/>
    <m/>
    <m/>
    <n v="100"/>
    <m/>
    <m/>
    <m/>
    <n v="100"/>
    <n v="66"/>
    <n v="73"/>
    <n v="85"/>
    <m/>
    <x v="2"/>
  </r>
  <r>
    <x v="4"/>
    <x v="136"/>
    <m/>
    <m/>
    <m/>
    <m/>
    <m/>
    <m/>
    <n v="96"/>
    <m/>
    <m/>
    <m/>
    <m/>
    <n v="79"/>
    <m/>
    <m/>
    <n v="56"/>
    <m/>
    <n v="81"/>
    <n v="83"/>
    <m/>
    <x v="1"/>
  </r>
  <r>
    <x v="4"/>
    <x v="137"/>
    <m/>
    <m/>
    <m/>
    <m/>
    <n v="66"/>
    <m/>
    <n v="94"/>
    <n v="93"/>
    <m/>
    <m/>
    <m/>
    <n v="83"/>
    <m/>
    <m/>
    <n v="78"/>
    <m/>
    <n v="90"/>
    <n v="100"/>
    <m/>
    <x v="0"/>
  </r>
  <r>
    <x v="4"/>
    <x v="138"/>
    <m/>
    <m/>
    <m/>
    <n v="75"/>
    <m/>
    <m/>
    <n v="99"/>
    <n v="83"/>
    <m/>
    <m/>
    <n v="100"/>
    <m/>
    <m/>
    <m/>
    <n v="78"/>
    <n v="30"/>
    <n v="79"/>
    <n v="80"/>
    <m/>
    <x v="0"/>
  </r>
  <r>
    <x v="4"/>
    <x v="139"/>
    <m/>
    <m/>
    <m/>
    <m/>
    <m/>
    <m/>
    <n v="96"/>
    <m/>
    <m/>
    <m/>
    <n v="98"/>
    <n v="96"/>
    <m/>
    <m/>
    <n v="44"/>
    <m/>
    <n v="69"/>
    <m/>
    <m/>
    <x v="1"/>
  </r>
  <r>
    <x v="4"/>
    <x v="140"/>
    <m/>
    <m/>
    <m/>
    <m/>
    <n v="24"/>
    <m/>
    <n v="100"/>
    <n v="63"/>
    <m/>
    <m/>
    <m/>
    <n v="61"/>
    <m/>
    <m/>
    <n v="40"/>
    <m/>
    <n v="76"/>
    <n v="58"/>
    <n v="16"/>
    <x v="0"/>
  </r>
  <r>
    <x v="4"/>
    <x v="141"/>
    <m/>
    <m/>
    <m/>
    <m/>
    <n v="72"/>
    <m/>
    <n v="98"/>
    <n v="76"/>
    <m/>
    <m/>
    <m/>
    <n v="77"/>
    <m/>
    <m/>
    <n v="64"/>
    <m/>
    <n v="79"/>
    <n v="75"/>
    <n v="46"/>
    <x v="1"/>
  </r>
  <r>
    <x v="4"/>
    <x v="142"/>
    <m/>
    <m/>
    <m/>
    <m/>
    <m/>
    <m/>
    <n v="96"/>
    <n v="71"/>
    <m/>
    <m/>
    <m/>
    <n v="70"/>
    <m/>
    <m/>
    <n v="40"/>
    <m/>
    <n v="37"/>
    <n v="55"/>
    <m/>
    <x v="1"/>
  </r>
  <r>
    <x v="4"/>
    <x v="143"/>
    <m/>
    <m/>
    <m/>
    <m/>
    <m/>
    <m/>
    <m/>
    <n v="89"/>
    <m/>
    <m/>
    <n v="96"/>
    <m/>
    <m/>
    <m/>
    <n v="56"/>
    <m/>
    <n v="57"/>
    <n v="63"/>
    <m/>
    <x v="1"/>
  </r>
  <r>
    <x v="4"/>
    <x v="144"/>
    <m/>
    <m/>
    <m/>
    <m/>
    <m/>
    <m/>
    <m/>
    <n v="74"/>
    <m/>
    <m/>
    <n v="98"/>
    <m/>
    <m/>
    <m/>
    <n v="66"/>
    <m/>
    <n v="56"/>
    <m/>
    <m/>
    <x v="1"/>
  </r>
  <r>
    <x v="4"/>
    <x v="145"/>
    <m/>
    <m/>
    <m/>
    <m/>
    <m/>
    <m/>
    <m/>
    <m/>
    <m/>
    <n v="73"/>
    <n v="98"/>
    <n v="82"/>
    <m/>
    <m/>
    <n v="68"/>
    <m/>
    <n v="50"/>
    <n v="70"/>
    <m/>
    <x v="1"/>
  </r>
  <r>
    <x v="4"/>
    <x v="146"/>
    <n v="18"/>
    <n v="12"/>
    <m/>
    <m/>
    <m/>
    <m/>
    <n v="70"/>
    <m/>
    <m/>
    <m/>
    <n v="58"/>
    <m/>
    <m/>
    <m/>
    <n v="58"/>
    <m/>
    <n v="43"/>
    <m/>
    <m/>
    <x v="1"/>
  </r>
  <r>
    <x v="4"/>
    <x v="147"/>
    <m/>
    <m/>
    <m/>
    <m/>
    <m/>
    <m/>
    <m/>
    <n v="78"/>
    <m/>
    <m/>
    <n v="100"/>
    <m/>
    <m/>
    <m/>
    <n v="96"/>
    <n v="40"/>
    <n v="80"/>
    <m/>
    <m/>
    <x v="0"/>
  </r>
  <r>
    <x v="4"/>
    <x v="148"/>
    <m/>
    <m/>
    <m/>
    <m/>
    <m/>
    <m/>
    <n v="90"/>
    <m/>
    <m/>
    <m/>
    <n v="92"/>
    <n v="71"/>
    <m/>
    <m/>
    <n v="38"/>
    <m/>
    <n v="47"/>
    <n v="58"/>
    <m/>
    <x v="1"/>
  </r>
  <r>
    <x v="4"/>
    <x v="149"/>
    <m/>
    <m/>
    <m/>
    <n v="53"/>
    <m/>
    <m/>
    <n v="98"/>
    <n v="66"/>
    <m/>
    <m/>
    <m/>
    <n v="67"/>
    <m/>
    <m/>
    <n v="62"/>
    <m/>
    <n v="71"/>
    <n v="63"/>
    <m/>
    <x v="1"/>
  </r>
  <r>
    <x v="4"/>
    <x v="150"/>
    <m/>
    <m/>
    <m/>
    <n v="52"/>
    <m/>
    <m/>
    <n v="98"/>
    <m/>
    <m/>
    <m/>
    <n v="93"/>
    <n v="70"/>
    <m/>
    <m/>
    <n v="58"/>
    <n v="36"/>
    <n v="41"/>
    <m/>
    <m/>
    <x v="1"/>
  </r>
  <r>
    <x v="4"/>
    <x v="151"/>
    <n v="43"/>
    <n v="43"/>
    <m/>
    <m/>
    <m/>
    <m/>
    <n v="95"/>
    <m/>
    <m/>
    <m/>
    <m/>
    <n v="70"/>
    <m/>
    <m/>
    <n v="62"/>
    <m/>
    <n v="59"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2">
  <r>
    <s v="A"/>
    <s v="95010405222"/>
    <n v="80"/>
    <n v="67"/>
    <s v="2"/>
    <x v="0"/>
  </r>
  <r>
    <s v="A"/>
    <s v="95011310048"/>
    <n v="56"/>
    <n v="40"/>
    <s v="4"/>
    <x v="0"/>
  </r>
  <r>
    <s v="A"/>
    <s v="95012311345"/>
    <n v="60"/>
    <n v="61"/>
    <s v="4"/>
    <x v="0"/>
  </r>
  <r>
    <s v="A"/>
    <s v="95030607404"/>
    <n v="70"/>
    <n v="73"/>
    <s v="0"/>
    <x v="0"/>
  </r>
  <r>
    <s v="A"/>
    <s v="95031506511"/>
    <n v="70"/>
    <n v="51"/>
    <s v="1"/>
    <x v="1"/>
  </r>
  <r>
    <s v="A"/>
    <s v="95031714219"/>
    <n v="48"/>
    <n v="40"/>
    <s v="1"/>
    <x v="1"/>
  </r>
  <r>
    <s v="A"/>
    <s v="95032402083"/>
    <n v="94"/>
    <n v="74"/>
    <s v="8"/>
    <x v="0"/>
  </r>
  <r>
    <s v="A"/>
    <s v="95032701960"/>
    <n v="96"/>
    <n v="77"/>
    <s v="6"/>
    <x v="0"/>
  </r>
  <r>
    <s v="A"/>
    <s v="95040412034"/>
    <n v="86"/>
    <n v="73"/>
    <s v="3"/>
    <x v="1"/>
  </r>
  <r>
    <s v="A"/>
    <s v="95040908766"/>
    <n v="40"/>
    <n v="43"/>
    <s v="6"/>
    <x v="0"/>
  </r>
  <r>
    <s v="A"/>
    <s v="95041309368"/>
    <n v="70"/>
    <n v="76"/>
    <s v="6"/>
    <x v="0"/>
  </r>
  <r>
    <s v="A"/>
    <s v="95052600643"/>
    <n v="98"/>
    <n v="80"/>
    <s v="4"/>
    <x v="0"/>
  </r>
  <r>
    <s v="A"/>
    <s v="95061500402"/>
    <n v="92"/>
    <n v="79"/>
    <s v="0"/>
    <x v="0"/>
  </r>
  <r>
    <s v="A"/>
    <s v="95061702842"/>
    <n v="88"/>
    <n v="59"/>
    <s v="4"/>
    <x v="0"/>
  </r>
  <r>
    <s v="A"/>
    <s v="95062301712"/>
    <n v="92"/>
    <n v="56"/>
    <s v="1"/>
    <x v="1"/>
  </r>
  <r>
    <s v="A"/>
    <s v="95071508265"/>
    <n v="58"/>
    <n v="59"/>
    <s v="6"/>
    <x v="0"/>
  </r>
  <r>
    <s v="A"/>
    <s v="95071807500"/>
    <n v="78"/>
    <n v="54"/>
    <s v="0"/>
    <x v="0"/>
  </r>
  <r>
    <s v="A"/>
    <s v="95072900844"/>
    <n v="92"/>
    <n v="73"/>
    <s v="4"/>
    <x v="0"/>
  </r>
  <r>
    <s v="A"/>
    <s v="95073111506"/>
    <n v="78"/>
    <n v="56"/>
    <s v="0"/>
    <x v="0"/>
  </r>
  <r>
    <s v="A"/>
    <s v="95080409087"/>
    <n v="64"/>
    <n v="84"/>
    <s v="8"/>
    <x v="0"/>
  </r>
  <r>
    <s v="A"/>
    <s v="95081008322"/>
    <n v="70"/>
    <n v="64"/>
    <s v="2"/>
    <x v="0"/>
  </r>
  <r>
    <s v="A"/>
    <s v="95081802841"/>
    <n v="58"/>
    <n v="54"/>
    <s v="4"/>
    <x v="0"/>
  </r>
  <r>
    <s v="A"/>
    <s v="95082400949"/>
    <n v="76"/>
    <n v="50"/>
    <s v="4"/>
    <x v="0"/>
  </r>
  <r>
    <s v="A"/>
    <s v="95082502641"/>
    <n v="50"/>
    <n v="33"/>
    <s v="4"/>
    <x v="0"/>
  </r>
  <r>
    <s v="A"/>
    <s v="95090501360"/>
    <n v="62"/>
    <n v="76"/>
    <s v="6"/>
    <x v="0"/>
  </r>
  <r>
    <s v="A"/>
    <s v="95091604864"/>
    <n v="72"/>
    <n v="84"/>
    <s v="6"/>
    <x v="0"/>
  </r>
  <r>
    <s v="A"/>
    <s v="95110304166"/>
    <n v="80"/>
    <n v="74"/>
    <s v="6"/>
    <x v="0"/>
  </r>
  <r>
    <s v="A"/>
    <s v="95110400947"/>
    <n v="86"/>
    <n v="64"/>
    <s v="4"/>
    <x v="0"/>
  </r>
  <r>
    <s v="A"/>
    <s v="95111004447"/>
    <n v="82"/>
    <n v="60"/>
    <s v="4"/>
    <x v="0"/>
  </r>
  <r>
    <s v="A"/>
    <s v="95112301543"/>
    <n v="80"/>
    <n v="63"/>
    <s v="4"/>
    <x v="0"/>
  </r>
  <r>
    <s v="A"/>
    <s v="95120101108"/>
    <n v="92"/>
    <n v="76"/>
    <s v="0"/>
    <x v="0"/>
  </r>
  <r>
    <s v="A"/>
    <s v="95120600768"/>
    <n v="94"/>
    <n v="66"/>
    <s v="6"/>
    <x v="0"/>
  </r>
  <r>
    <s v="A"/>
    <s v="95120903939"/>
    <n v="86"/>
    <n v="63"/>
    <s v="3"/>
    <x v="1"/>
  </r>
  <r>
    <s v="A"/>
    <s v="95122401008"/>
    <n v="82"/>
    <n v="79"/>
    <s v="0"/>
    <x v="0"/>
  </r>
  <r>
    <s v="B"/>
    <s v="95011505013"/>
    <n v="46"/>
    <n v="60"/>
    <s v="1"/>
    <x v="1"/>
  </r>
  <r>
    <s v="B"/>
    <s v="95012403389"/>
    <n v="50"/>
    <n v="40"/>
    <s v="8"/>
    <x v="0"/>
  </r>
  <r>
    <s v="B"/>
    <s v="95020804428"/>
    <n v="88"/>
    <n v="57"/>
    <s v="2"/>
    <x v="0"/>
  </r>
  <r>
    <s v="B"/>
    <s v="95021807901"/>
    <n v="70"/>
    <n v="56"/>
    <s v="0"/>
    <x v="0"/>
  </r>
  <r>
    <s v="B"/>
    <s v="95022105039"/>
    <n v="86"/>
    <n v="53"/>
    <s v="3"/>
    <x v="1"/>
  </r>
  <r>
    <s v="B"/>
    <s v="95031012300"/>
    <n v="34"/>
    <n v="30"/>
    <s v="0"/>
    <x v="0"/>
  </r>
  <r>
    <s v="B"/>
    <s v="95032101746"/>
    <n v="68"/>
    <n v="70"/>
    <s v="4"/>
    <x v="0"/>
  </r>
  <r>
    <s v="B"/>
    <s v="95032204296"/>
    <n v="56"/>
    <n v="79"/>
    <s v="9"/>
    <x v="1"/>
  </r>
  <r>
    <s v="B"/>
    <s v="95042205755"/>
    <n v="40"/>
    <n v="80"/>
    <s v="5"/>
    <x v="1"/>
  </r>
  <r>
    <s v="B"/>
    <s v="95050205185"/>
    <n v="50"/>
    <n v="54"/>
    <s v="8"/>
    <x v="0"/>
  </r>
  <r>
    <s v="B"/>
    <s v="95050904503"/>
    <n v="70"/>
    <n v="63"/>
    <s v="0"/>
    <x v="0"/>
  </r>
  <r>
    <s v="B"/>
    <s v="95051201982"/>
    <n v="64"/>
    <n v="63"/>
    <s v="8"/>
    <x v="0"/>
  </r>
  <r>
    <s v="B"/>
    <s v="95052501302"/>
    <n v="68"/>
    <n v="51"/>
    <s v="0"/>
    <x v="0"/>
  </r>
  <r>
    <s v="B"/>
    <s v="95060201793"/>
    <n v="52"/>
    <n v="56"/>
    <s v="9"/>
    <x v="1"/>
  </r>
  <r>
    <s v="B"/>
    <s v="95062400343"/>
    <n v="58"/>
    <n v="51"/>
    <s v="4"/>
    <x v="0"/>
  </r>
  <r>
    <s v="B"/>
    <s v="95070400070"/>
    <n v="72"/>
    <n v="41"/>
    <s v="7"/>
    <x v="1"/>
  </r>
  <r>
    <s v="B"/>
    <s v="95080101408"/>
    <n v="56"/>
    <n v="60"/>
    <s v="0"/>
    <x v="0"/>
  </r>
  <r>
    <s v="B"/>
    <s v="95080902016"/>
    <n v="44"/>
    <n v="66"/>
    <s v="1"/>
    <x v="1"/>
  </r>
  <r>
    <s v="B"/>
    <s v="95081001141"/>
    <n v="32"/>
    <n v="51"/>
    <s v="4"/>
    <x v="0"/>
  </r>
  <r>
    <s v="B"/>
    <s v="95081600739"/>
    <n v="66"/>
    <n v="34"/>
    <s v="3"/>
    <x v="1"/>
  </r>
  <r>
    <s v="B"/>
    <s v="95083106189"/>
    <n v="64"/>
    <n v="56"/>
    <s v="8"/>
    <x v="0"/>
  </r>
  <r>
    <s v="B"/>
    <s v="95092111585"/>
    <n v="72"/>
    <n v="60"/>
    <s v="8"/>
    <x v="0"/>
  </r>
  <r>
    <s v="B"/>
    <s v="95092712281"/>
    <n v="52"/>
    <n v="46"/>
    <s v="8"/>
    <x v="0"/>
  </r>
  <r>
    <s v="B"/>
    <s v="95100600025"/>
    <n v="50"/>
    <n v="43"/>
    <s v="2"/>
    <x v="0"/>
  </r>
  <r>
    <s v="B"/>
    <s v="95100606458"/>
    <n v="58"/>
    <n v="59"/>
    <s v="5"/>
    <x v="1"/>
  </r>
  <r>
    <s v="B"/>
    <s v="95100700282"/>
    <n v="78"/>
    <n v="66"/>
    <s v="8"/>
    <x v="0"/>
  </r>
  <r>
    <s v="B"/>
    <s v="95101000947"/>
    <n v="72"/>
    <n v="69"/>
    <s v="4"/>
    <x v="0"/>
  </r>
  <r>
    <s v="B"/>
    <s v="95110605809"/>
    <n v="70"/>
    <n v="53"/>
    <s v="0"/>
    <x v="0"/>
  </r>
  <r>
    <s v="B"/>
    <s v="95110704362"/>
    <n v="60"/>
    <n v="47"/>
    <s v="6"/>
    <x v="0"/>
  </r>
  <r>
    <s v="B"/>
    <s v="95111800425"/>
    <n v="66"/>
    <n v="66"/>
    <s v="2"/>
    <x v="0"/>
  </r>
  <r>
    <s v="B"/>
    <s v="95112902461"/>
    <n v="76"/>
    <n v="44"/>
    <s v="6"/>
    <x v="0"/>
  </r>
  <r>
    <s v="C"/>
    <s v="94120209724"/>
    <n v="76"/>
    <n v="49"/>
    <s v="2"/>
    <x v="0"/>
  </r>
  <r>
    <s v="C"/>
    <s v="95011303864"/>
    <n v="76"/>
    <n v="36"/>
    <s v="6"/>
    <x v="0"/>
  </r>
  <r>
    <s v="C"/>
    <s v="95012701920"/>
    <n v="66"/>
    <n v="54"/>
    <s v="2"/>
    <x v="0"/>
  </r>
  <r>
    <s v="C"/>
    <s v="95012707551"/>
    <n v="72"/>
    <n v="49"/>
    <s v="5"/>
    <x v="1"/>
  </r>
  <r>
    <s v="C"/>
    <s v="95021105139"/>
    <n v="94"/>
    <n v="71"/>
    <s v="3"/>
    <x v="1"/>
  </r>
  <r>
    <s v="C"/>
    <s v="95021201255"/>
    <n v="52"/>
    <n v="34"/>
    <s v="5"/>
    <x v="1"/>
  </r>
  <r>
    <s v="C"/>
    <s v="95021303223"/>
    <n v="70"/>
    <n v="63"/>
    <s v="2"/>
    <x v="0"/>
  </r>
  <r>
    <s v="C"/>
    <s v="95030407844"/>
    <n v="88"/>
    <n v="64"/>
    <s v="4"/>
    <x v="0"/>
  </r>
  <r>
    <s v="C"/>
    <s v="95040309147"/>
    <n v="48"/>
    <n v="49"/>
    <s v="4"/>
    <x v="0"/>
  </r>
  <r>
    <s v="C"/>
    <s v="95040502267"/>
    <n v="72"/>
    <n v="57"/>
    <s v="6"/>
    <x v="0"/>
  </r>
  <r>
    <s v="C"/>
    <s v="95040601874"/>
    <n v="78"/>
    <n v="63"/>
    <s v="7"/>
    <x v="1"/>
  </r>
  <r>
    <s v="C"/>
    <s v="95062703248"/>
    <n v="64"/>
    <n v="63"/>
    <s v="4"/>
    <x v="0"/>
  </r>
  <r>
    <s v="C"/>
    <s v="95062704850"/>
    <n v="52"/>
    <n v="51"/>
    <s v="5"/>
    <x v="1"/>
  </r>
  <r>
    <s v="C"/>
    <s v="95070400629"/>
    <n v="68"/>
    <n v="47"/>
    <s v="2"/>
    <x v="0"/>
  </r>
  <r>
    <s v="C"/>
    <s v="95070600715"/>
    <n v="82"/>
    <n v="53"/>
    <s v="1"/>
    <x v="1"/>
  </r>
  <r>
    <s v="C"/>
    <s v="95071306764"/>
    <n v="88"/>
    <n v="59"/>
    <s v="6"/>
    <x v="0"/>
  </r>
  <r>
    <s v="C"/>
    <s v="95071307406"/>
    <n v="76"/>
    <n v="66"/>
    <s v="0"/>
    <x v="0"/>
  </r>
  <r>
    <s v="C"/>
    <s v="95072805323"/>
    <n v="86"/>
    <n v="63"/>
    <s v="2"/>
    <x v="0"/>
  </r>
  <r>
    <s v="C"/>
    <s v="95072901340"/>
    <n v="100"/>
    <n v="76"/>
    <s v="4"/>
    <x v="0"/>
  </r>
  <r>
    <s v="C"/>
    <s v="95072901364"/>
    <n v="74"/>
    <n v="54"/>
    <s v="6"/>
    <x v="0"/>
  </r>
  <r>
    <s v="C"/>
    <s v="95082206507"/>
    <n v="96"/>
    <n v="91"/>
    <s v="0"/>
    <x v="0"/>
  </r>
  <r>
    <s v="C"/>
    <s v="95091103271"/>
    <n v="76"/>
    <n v="54"/>
    <s v="7"/>
    <x v="1"/>
  </r>
  <r>
    <s v="C"/>
    <s v="95092301371"/>
    <n v="88"/>
    <n v="77"/>
    <s v="7"/>
    <x v="1"/>
  </r>
  <r>
    <s v="C"/>
    <s v="95100703063"/>
    <n v="100"/>
    <n v="50"/>
    <s v="6"/>
    <x v="0"/>
  </r>
  <r>
    <s v="C"/>
    <s v="95102509322"/>
    <n v="78"/>
    <n v="60"/>
    <s v="2"/>
    <x v="0"/>
  </r>
  <r>
    <s v="C"/>
    <s v="95121002200"/>
    <n v="86"/>
    <n v="63"/>
    <s v="0"/>
    <x v="0"/>
  </r>
  <r>
    <s v="C"/>
    <s v="96010806327"/>
    <n v="68"/>
    <n v="71"/>
    <s v="2"/>
    <x v="0"/>
  </r>
  <r>
    <s v="E"/>
    <s v="95010400678"/>
    <n v="90"/>
    <n v="59"/>
    <s v="7"/>
    <x v="1"/>
  </r>
  <r>
    <s v="E"/>
    <s v="95012402890"/>
    <n v="90"/>
    <n v="64"/>
    <s v="9"/>
    <x v="1"/>
  </r>
  <r>
    <s v="E"/>
    <s v="95012801194"/>
    <n v="100"/>
    <n v="80"/>
    <s v="9"/>
    <x v="1"/>
  </r>
  <r>
    <s v="E"/>
    <s v="95012904927"/>
    <n v="86"/>
    <n v="84"/>
    <s v="2"/>
    <x v="0"/>
  </r>
  <r>
    <s v="E"/>
    <s v="95020904777"/>
    <n v="82"/>
    <n v="60"/>
    <s v="7"/>
    <x v="1"/>
  </r>
  <r>
    <s v="E"/>
    <s v="95021601338"/>
    <n v="98"/>
    <n v="73"/>
    <s v="3"/>
    <x v="1"/>
  </r>
  <r>
    <s v="E"/>
    <s v="95032801943"/>
    <n v="94"/>
    <n v="76"/>
    <s v="4"/>
    <x v="0"/>
  </r>
  <r>
    <s v="E"/>
    <s v="95032801950"/>
    <n v="72"/>
    <n v="54"/>
    <s v="5"/>
    <x v="1"/>
  </r>
  <r>
    <s v="E"/>
    <s v="95040804338"/>
    <n v="86"/>
    <n v="53"/>
    <s v="3"/>
    <x v="1"/>
  </r>
  <r>
    <s v="E"/>
    <s v="95050803734"/>
    <n v="84"/>
    <n v="56"/>
    <s v="3"/>
    <x v="1"/>
  </r>
  <r>
    <s v="E"/>
    <s v="95052200645"/>
    <n v="94"/>
    <n v="77"/>
    <s v="4"/>
    <x v="0"/>
  </r>
  <r>
    <s v="E"/>
    <s v="95052901713"/>
    <n v="78"/>
    <n v="30"/>
    <s v="1"/>
    <x v="1"/>
  </r>
  <r>
    <s v="E"/>
    <s v="95060303600"/>
    <n v="80"/>
    <n v="74"/>
    <s v="0"/>
    <x v="0"/>
  </r>
  <r>
    <s v="E"/>
    <s v="95060705327"/>
    <n v="64"/>
    <n v="54"/>
    <s v="2"/>
    <x v="0"/>
  </r>
  <r>
    <s v="E"/>
    <s v="95060913018"/>
    <n v="100"/>
    <n v="64"/>
    <s v="1"/>
    <x v="1"/>
  </r>
  <r>
    <s v="E"/>
    <s v="95072510054"/>
    <n v="92"/>
    <n v="74"/>
    <s v="5"/>
    <x v="1"/>
  </r>
  <r>
    <s v="E"/>
    <s v="95080407818"/>
    <n v="94"/>
    <n v="59"/>
    <s v="1"/>
    <x v="1"/>
  </r>
  <r>
    <s v="E"/>
    <s v="95080805098"/>
    <n v="88"/>
    <n v="51"/>
    <s v="9"/>
    <x v="1"/>
  </r>
  <r>
    <s v="E"/>
    <s v="95081600791"/>
    <n v="100"/>
    <n v="51"/>
    <s v="9"/>
    <x v="1"/>
  </r>
  <r>
    <s v="E"/>
    <s v="95082906797"/>
    <n v="92"/>
    <n v="63"/>
    <s v="9"/>
    <x v="1"/>
  </r>
  <r>
    <s v="E"/>
    <s v="95083100398"/>
    <n v="98"/>
    <n v="63"/>
    <s v="9"/>
    <x v="1"/>
  </r>
  <r>
    <s v="E"/>
    <s v="95091803737"/>
    <n v="96"/>
    <n v="66"/>
    <s v="3"/>
    <x v="1"/>
  </r>
  <r>
    <s v="E"/>
    <s v="95100400649"/>
    <n v="94"/>
    <n v="57"/>
    <s v="4"/>
    <x v="0"/>
  </r>
  <r>
    <s v="E"/>
    <s v="95101104184"/>
    <n v="94"/>
    <n v="63"/>
    <s v="8"/>
    <x v="0"/>
  </r>
  <r>
    <s v="E"/>
    <s v="95101303842"/>
    <n v="100"/>
    <n v="70"/>
    <s v="4"/>
    <x v="0"/>
  </r>
  <r>
    <s v="E"/>
    <s v="95101902775"/>
    <n v="94"/>
    <n v="57"/>
    <s v="7"/>
    <x v="1"/>
  </r>
  <r>
    <s v="E"/>
    <s v="95102002757"/>
    <n v="98"/>
    <n v="90"/>
    <s v="5"/>
    <x v="1"/>
  </r>
  <r>
    <s v="E"/>
    <s v="95102301894"/>
    <n v="90"/>
    <n v="74"/>
    <s v="9"/>
    <x v="1"/>
  </r>
  <r>
    <s v="E"/>
    <s v="95112306692"/>
    <n v="92"/>
    <n v="70"/>
    <s v="9"/>
    <x v="1"/>
  </r>
  <r>
    <s v="E"/>
    <s v="95112702337"/>
    <n v="96"/>
    <n v="67"/>
    <s v="3"/>
    <x v="1"/>
  </r>
  <r>
    <s v="E"/>
    <s v="95122110962"/>
    <n v="94"/>
    <n v="81"/>
    <s v="6"/>
    <x v="0"/>
  </r>
  <r>
    <s v="E"/>
    <s v="95123001771"/>
    <n v="82"/>
    <n v="73"/>
    <s v="7"/>
    <x v="1"/>
  </r>
  <r>
    <s v="E"/>
    <s v="96011200502"/>
    <n v="98"/>
    <n v="59"/>
    <s v="0"/>
    <x v="0"/>
  </r>
  <r>
    <s v="H"/>
    <s v="94011110436"/>
    <n v="58"/>
    <n v="69"/>
    <s v="3"/>
    <x v="1"/>
  </r>
  <r>
    <s v="H"/>
    <s v="94013113642"/>
    <n v="68"/>
    <n v="69"/>
    <s v="4"/>
    <x v="0"/>
  </r>
  <r>
    <s v="H"/>
    <s v="94020211283"/>
    <n v="50"/>
    <n v="81"/>
    <s v="8"/>
    <x v="0"/>
  </r>
  <r>
    <s v="H"/>
    <s v="94021306625"/>
    <n v="58"/>
    <n v="76"/>
    <s v="2"/>
    <x v="0"/>
  </r>
  <r>
    <s v="H"/>
    <s v="94030804224"/>
    <n v="82"/>
    <n v="73"/>
    <s v="2"/>
    <x v="0"/>
  </r>
  <r>
    <s v="H"/>
    <s v="94031410644"/>
    <n v="74"/>
    <n v="61"/>
    <s v="4"/>
    <x v="0"/>
  </r>
  <r>
    <s v="H"/>
    <s v="94040607118"/>
    <n v="64"/>
    <n v="74"/>
    <s v="1"/>
    <x v="1"/>
  </r>
  <r>
    <s v="H"/>
    <s v="94042912726"/>
    <n v="56"/>
    <n v="54"/>
    <s v="2"/>
    <x v="0"/>
  </r>
  <r>
    <s v="H"/>
    <s v="94060604247"/>
    <n v="56"/>
    <n v="67"/>
    <s v="4"/>
    <x v="0"/>
  </r>
  <r>
    <s v="H"/>
    <s v="94062703166"/>
    <n v="54"/>
    <n v="60"/>
    <s v="6"/>
    <x v="0"/>
  </r>
  <r>
    <s v="H"/>
    <s v="94063002080"/>
    <n v="100"/>
    <n v="73"/>
    <s v="8"/>
    <x v="0"/>
  </r>
  <r>
    <s v="H"/>
    <s v="94081102166"/>
    <n v="56"/>
    <n v="81"/>
    <s v="6"/>
    <x v="0"/>
  </r>
  <r>
    <s v="H"/>
    <s v="94082703588"/>
    <n v="78"/>
    <n v="90"/>
    <s v="8"/>
    <x v="0"/>
  </r>
  <r>
    <s v="H"/>
    <s v="94082901146"/>
    <n v="78"/>
    <n v="79"/>
    <s v="4"/>
    <x v="0"/>
  </r>
  <r>
    <s v="H"/>
    <s v="94082905447"/>
    <n v="44"/>
    <n v="69"/>
    <s v="4"/>
    <x v="0"/>
  </r>
  <r>
    <s v="H"/>
    <s v="94083000868"/>
    <n v="40"/>
    <n v="76"/>
    <s v="6"/>
    <x v="0"/>
  </r>
  <r>
    <s v="H"/>
    <s v="94090909307"/>
    <n v="64"/>
    <n v="79"/>
    <s v="0"/>
    <x v="0"/>
  </r>
  <r>
    <s v="H"/>
    <s v="94091301085"/>
    <n v="40"/>
    <n v="37"/>
    <s v="8"/>
    <x v="0"/>
  </r>
  <r>
    <s v="H"/>
    <s v="94092207960"/>
    <n v="56"/>
    <n v="57"/>
    <s v="6"/>
    <x v="0"/>
  </r>
  <r>
    <s v="H"/>
    <s v="94100706007"/>
    <n v="66"/>
    <n v="56"/>
    <s v="0"/>
    <x v="0"/>
  </r>
  <r>
    <s v="H"/>
    <s v="94102604723"/>
    <n v="68"/>
    <n v="50"/>
    <s v="2"/>
    <x v="0"/>
  </r>
  <r>
    <s v="H"/>
    <s v="94103100907"/>
    <n v="58"/>
    <n v="43"/>
    <s v="0"/>
    <x v="0"/>
  </r>
  <r>
    <s v="H"/>
    <s v="94110205866"/>
    <n v="96"/>
    <n v="80"/>
    <s v="6"/>
    <x v="0"/>
  </r>
  <r>
    <s v="H"/>
    <s v="94121203482"/>
    <n v="38"/>
    <n v="47"/>
    <s v="8"/>
    <x v="0"/>
  </r>
  <r>
    <s v="H"/>
    <s v="94121709025"/>
    <n v="62"/>
    <n v="71"/>
    <s v="2"/>
    <x v="0"/>
  </r>
  <r>
    <s v="H"/>
    <s v="95011300625"/>
    <n v="58"/>
    <n v="41"/>
    <s v="2"/>
    <x v="0"/>
  </r>
  <r>
    <s v="H"/>
    <s v="95032804489"/>
    <n v="62"/>
    <n v="59"/>
    <s v="8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2">
  <r>
    <x v="0"/>
    <s v="95010405222"/>
    <n v="52"/>
    <m/>
    <m/>
    <m/>
    <m/>
    <m/>
    <n v="91"/>
    <n v="88"/>
    <m/>
    <m/>
    <m/>
    <m/>
    <m/>
    <s v="2"/>
    <x v="0"/>
    <x v="0"/>
  </r>
  <r>
    <x v="0"/>
    <s v="95011310048"/>
    <n v="33"/>
    <n v="52"/>
    <m/>
    <m/>
    <m/>
    <m/>
    <m/>
    <m/>
    <m/>
    <m/>
    <m/>
    <m/>
    <m/>
    <s v="4"/>
    <x v="0"/>
    <x v="1"/>
  </r>
  <r>
    <x v="0"/>
    <s v="95012311345"/>
    <n v="70"/>
    <n v="58"/>
    <m/>
    <m/>
    <m/>
    <m/>
    <m/>
    <m/>
    <m/>
    <m/>
    <m/>
    <m/>
    <m/>
    <s v="4"/>
    <x v="0"/>
    <x v="1"/>
  </r>
  <r>
    <x v="0"/>
    <s v="95030607404"/>
    <n v="90"/>
    <n v="78"/>
    <m/>
    <m/>
    <m/>
    <m/>
    <n v="68"/>
    <m/>
    <m/>
    <m/>
    <m/>
    <m/>
    <m/>
    <s v="0"/>
    <x v="0"/>
    <x v="0"/>
  </r>
  <r>
    <x v="0"/>
    <s v="95031506511"/>
    <n v="62"/>
    <n v="62"/>
    <m/>
    <m/>
    <m/>
    <m/>
    <m/>
    <m/>
    <m/>
    <m/>
    <m/>
    <m/>
    <m/>
    <s v="1"/>
    <x v="1"/>
    <x v="1"/>
  </r>
  <r>
    <x v="0"/>
    <s v="95031714219"/>
    <n v="65"/>
    <n v="65"/>
    <m/>
    <m/>
    <m/>
    <m/>
    <m/>
    <m/>
    <m/>
    <m/>
    <m/>
    <m/>
    <m/>
    <s v="1"/>
    <x v="1"/>
    <x v="1"/>
  </r>
  <r>
    <x v="0"/>
    <s v="95032402083"/>
    <m/>
    <n v="58"/>
    <m/>
    <m/>
    <m/>
    <m/>
    <n v="61"/>
    <m/>
    <m/>
    <m/>
    <n v="34"/>
    <m/>
    <m/>
    <s v="8"/>
    <x v="0"/>
    <x v="0"/>
  </r>
  <r>
    <x v="0"/>
    <s v="95032701960"/>
    <n v="77"/>
    <n v="85"/>
    <m/>
    <m/>
    <m/>
    <m/>
    <m/>
    <m/>
    <m/>
    <m/>
    <m/>
    <m/>
    <m/>
    <s v="6"/>
    <x v="0"/>
    <x v="1"/>
  </r>
  <r>
    <x v="0"/>
    <s v="95040412034"/>
    <n v="93"/>
    <n v="67"/>
    <m/>
    <m/>
    <m/>
    <m/>
    <m/>
    <m/>
    <m/>
    <m/>
    <m/>
    <m/>
    <m/>
    <s v="3"/>
    <x v="1"/>
    <x v="1"/>
  </r>
  <r>
    <x v="0"/>
    <s v="95040908766"/>
    <n v="57"/>
    <n v="47"/>
    <m/>
    <m/>
    <m/>
    <m/>
    <m/>
    <m/>
    <m/>
    <m/>
    <m/>
    <m/>
    <m/>
    <s v="6"/>
    <x v="0"/>
    <x v="1"/>
  </r>
  <r>
    <x v="0"/>
    <s v="95041309368"/>
    <n v="60"/>
    <m/>
    <m/>
    <m/>
    <m/>
    <m/>
    <n v="89"/>
    <m/>
    <m/>
    <m/>
    <m/>
    <m/>
    <m/>
    <s v="6"/>
    <x v="0"/>
    <x v="1"/>
  </r>
  <r>
    <x v="0"/>
    <s v="95052600643"/>
    <m/>
    <m/>
    <m/>
    <n v="90"/>
    <m/>
    <m/>
    <n v="100"/>
    <m/>
    <m/>
    <m/>
    <n v="86"/>
    <m/>
    <m/>
    <s v="4"/>
    <x v="0"/>
    <x v="0"/>
  </r>
  <r>
    <x v="0"/>
    <s v="95061500402"/>
    <n v="95"/>
    <n v="88"/>
    <m/>
    <m/>
    <m/>
    <m/>
    <m/>
    <m/>
    <m/>
    <m/>
    <m/>
    <m/>
    <m/>
    <s v="0"/>
    <x v="0"/>
    <x v="1"/>
  </r>
  <r>
    <x v="0"/>
    <s v="95061702842"/>
    <n v="75"/>
    <n v="67"/>
    <m/>
    <m/>
    <m/>
    <m/>
    <m/>
    <m/>
    <m/>
    <m/>
    <m/>
    <m/>
    <m/>
    <s v="4"/>
    <x v="0"/>
    <x v="1"/>
  </r>
  <r>
    <x v="0"/>
    <s v="95062301712"/>
    <n v="85"/>
    <n v="83"/>
    <n v="48"/>
    <m/>
    <m/>
    <m/>
    <m/>
    <m/>
    <m/>
    <m/>
    <m/>
    <m/>
    <m/>
    <s v="1"/>
    <x v="1"/>
    <x v="0"/>
  </r>
  <r>
    <x v="0"/>
    <s v="95071508265"/>
    <n v="62"/>
    <n v="48"/>
    <m/>
    <m/>
    <m/>
    <m/>
    <m/>
    <m/>
    <m/>
    <m/>
    <m/>
    <m/>
    <m/>
    <s v="6"/>
    <x v="0"/>
    <x v="1"/>
  </r>
  <r>
    <x v="0"/>
    <s v="95071807500"/>
    <n v="68"/>
    <n v="62"/>
    <m/>
    <m/>
    <m/>
    <m/>
    <n v="93"/>
    <m/>
    <m/>
    <m/>
    <m/>
    <m/>
    <m/>
    <s v="0"/>
    <x v="0"/>
    <x v="0"/>
  </r>
  <r>
    <x v="0"/>
    <s v="95072900844"/>
    <n v="55"/>
    <n v="62"/>
    <m/>
    <m/>
    <m/>
    <m/>
    <n v="86"/>
    <m/>
    <m/>
    <m/>
    <m/>
    <m/>
    <m/>
    <s v="4"/>
    <x v="0"/>
    <x v="0"/>
  </r>
  <r>
    <x v="0"/>
    <s v="95073111506"/>
    <n v="68"/>
    <n v="45"/>
    <m/>
    <m/>
    <m/>
    <m/>
    <m/>
    <m/>
    <m/>
    <m/>
    <m/>
    <m/>
    <m/>
    <s v="0"/>
    <x v="0"/>
    <x v="1"/>
  </r>
  <r>
    <x v="0"/>
    <s v="95080409087"/>
    <n v="78"/>
    <m/>
    <m/>
    <m/>
    <m/>
    <m/>
    <n v="77"/>
    <m/>
    <m/>
    <m/>
    <m/>
    <m/>
    <m/>
    <s v="8"/>
    <x v="0"/>
    <x v="1"/>
  </r>
  <r>
    <x v="0"/>
    <s v="95081008322"/>
    <n v="72"/>
    <n v="68"/>
    <m/>
    <m/>
    <m/>
    <m/>
    <m/>
    <m/>
    <m/>
    <m/>
    <m/>
    <m/>
    <m/>
    <s v="2"/>
    <x v="0"/>
    <x v="1"/>
  </r>
  <r>
    <x v="0"/>
    <s v="95081802841"/>
    <n v="55"/>
    <n v="50"/>
    <m/>
    <m/>
    <m/>
    <m/>
    <m/>
    <m/>
    <m/>
    <m/>
    <m/>
    <m/>
    <m/>
    <s v="4"/>
    <x v="0"/>
    <x v="1"/>
  </r>
  <r>
    <x v="0"/>
    <s v="95082400949"/>
    <n v="67"/>
    <n v="60"/>
    <m/>
    <m/>
    <m/>
    <m/>
    <m/>
    <m/>
    <m/>
    <m/>
    <m/>
    <m/>
    <m/>
    <s v="4"/>
    <x v="0"/>
    <x v="1"/>
  </r>
  <r>
    <x v="0"/>
    <s v="95082502641"/>
    <n v="45"/>
    <n v="30"/>
    <m/>
    <m/>
    <m/>
    <m/>
    <m/>
    <m/>
    <m/>
    <m/>
    <m/>
    <m/>
    <m/>
    <s v="4"/>
    <x v="0"/>
    <x v="1"/>
  </r>
  <r>
    <x v="0"/>
    <s v="95090501360"/>
    <n v="83"/>
    <n v="50"/>
    <m/>
    <m/>
    <m/>
    <m/>
    <n v="83"/>
    <m/>
    <m/>
    <m/>
    <m/>
    <m/>
    <m/>
    <s v="6"/>
    <x v="0"/>
    <x v="0"/>
  </r>
  <r>
    <x v="0"/>
    <s v="95091604864"/>
    <n v="80"/>
    <m/>
    <m/>
    <m/>
    <m/>
    <m/>
    <n v="83"/>
    <m/>
    <m/>
    <m/>
    <m/>
    <m/>
    <m/>
    <s v="6"/>
    <x v="0"/>
    <x v="1"/>
  </r>
  <r>
    <x v="0"/>
    <s v="95110304166"/>
    <n v="70"/>
    <n v="60"/>
    <m/>
    <m/>
    <m/>
    <m/>
    <m/>
    <m/>
    <m/>
    <m/>
    <m/>
    <m/>
    <m/>
    <s v="6"/>
    <x v="0"/>
    <x v="1"/>
  </r>
  <r>
    <x v="0"/>
    <s v="95110400947"/>
    <m/>
    <m/>
    <n v="55"/>
    <m/>
    <m/>
    <m/>
    <n v="86"/>
    <m/>
    <m/>
    <m/>
    <m/>
    <m/>
    <m/>
    <s v="4"/>
    <x v="0"/>
    <x v="1"/>
  </r>
  <r>
    <x v="0"/>
    <s v="95111004447"/>
    <n v="73"/>
    <n v="78"/>
    <m/>
    <m/>
    <m/>
    <m/>
    <m/>
    <m/>
    <m/>
    <m/>
    <m/>
    <m/>
    <m/>
    <s v="4"/>
    <x v="0"/>
    <x v="1"/>
  </r>
  <r>
    <x v="0"/>
    <s v="95112301543"/>
    <n v="80"/>
    <n v="60"/>
    <m/>
    <m/>
    <m/>
    <m/>
    <n v="67"/>
    <m/>
    <m/>
    <m/>
    <m/>
    <m/>
    <m/>
    <s v="4"/>
    <x v="0"/>
    <x v="0"/>
  </r>
  <r>
    <x v="0"/>
    <s v="95120101108"/>
    <n v="93"/>
    <n v="88"/>
    <m/>
    <m/>
    <m/>
    <m/>
    <n v="76"/>
    <m/>
    <m/>
    <m/>
    <m/>
    <m/>
    <m/>
    <s v="0"/>
    <x v="0"/>
    <x v="0"/>
  </r>
  <r>
    <x v="0"/>
    <s v="95120600768"/>
    <n v="85"/>
    <n v="93"/>
    <n v="82"/>
    <m/>
    <m/>
    <m/>
    <m/>
    <m/>
    <m/>
    <m/>
    <n v="74"/>
    <m/>
    <m/>
    <s v="6"/>
    <x v="0"/>
    <x v="2"/>
  </r>
  <r>
    <x v="0"/>
    <s v="95120903939"/>
    <n v="90"/>
    <n v="82"/>
    <m/>
    <m/>
    <m/>
    <m/>
    <m/>
    <m/>
    <m/>
    <m/>
    <m/>
    <m/>
    <m/>
    <s v="3"/>
    <x v="1"/>
    <x v="1"/>
  </r>
  <r>
    <x v="0"/>
    <s v="95122401008"/>
    <n v="87"/>
    <m/>
    <m/>
    <m/>
    <m/>
    <m/>
    <m/>
    <m/>
    <m/>
    <m/>
    <m/>
    <n v="73"/>
    <n v="64"/>
    <s v="0"/>
    <x v="0"/>
    <x v="0"/>
  </r>
  <r>
    <x v="1"/>
    <s v="95011505013"/>
    <m/>
    <m/>
    <m/>
    <m/>
    <m/>
    <m/>
    <n v="60"/>
    <m/>
    <m/>
    <m/>
    <m/>
    <n v="75"/>
    <m/>
    <s v="1"/>
    <x v="1"/>
    <x v="1"/>
  </r>
  <r>
    <x v="1"/>
    <s v="95012403389"/>
    <m/>
    <m/>
    <m/>
    <m/>
    <m/>
    <m/>
    <n v="87"/>
    <m/>
    <m/>
    <m/>
    <m/>
    <n v="70"/>
    <n v="44"/>
    <s v="8"/>
    <x v="0"/>
    <x v="0"/>
  </r>
  <r>
    <x v="1"/>
    <s v="95020804428"/>
    <m/>
    <m/>
    <m/>
    <m/>
    <n v="92"/>
    <m/>
    <n v="81"/>
    <m/>
    <m/>
    <m/>
    <m/>
    <n v="70"/>
    <m/>
    <s v="2"/>
    <x v="0"/>
    <x v="0"/>
  </r>
  <r>
    <x v="1"/>
    <s v="95021807901"/>
    <m/>
    <m/>
    <m/>
    <m/>
    <n v="86"/>
    <m/>
    <n v="90"/>
    <m/>
    <m/>
    <m/>
    <m/>
    <n v="68"/>
    <n v="78"/>
    <s v="0"/>
    <x v="0"/>
    <x v="2"/>
  </r>
  <r>
    <x v="1"/>
    <s v="95022105039"/>
    <m/>
    <m/>
    <m/>
    <m/>
    <n v="90"/>
    <m/>
    <n v="93"/>
    <m/>
    <m/>
    <m/>
    <n v="36"/>
    <n v="73"/>
    <n v="100"/>
    <s v="3"/>
    <x v="1"/>
    <x v="3"/>
  </r>
  <r>
    <x v="1"/>
    <s v="95031012300"/>
    <m/>
    <m/>
    <m/>
    <m/>
    <m/>
    <m/>
    <n v="44"/>
    <m/>
    <m/>
    <m/>
    <m/>
    <n v="53"/>
    <n v="34"/>
    <s v="0"/>
    <x v="0"/>
    <x v="0"/>
  </r>
  <r>
    <x v="1"/>
    <s v="95032101746"/>
    <m/>
    <m/>
    <m/>
    <m/>
    <n v="88"/>
    <m/>
    <n v="95"/>
    <m/>
    <m/>
    <n v="69"/>
    <m/>
    <n v="80"/>
    <n v="72"/>
    <s v="4"/>
    <x v="0"/>
    <x v="3"/>
  </r>
  <r>
    <x v="1"/>
    <s v="95032204296"/>
    <m/>
    <m/>
    <m/>
    <m/>
    <n v="92"/>
    <m/>
    <n v="95"/>
    <m/>
    <m/>
    <m/>
    <m/>
    <n v="55"/>
    <n v="72"/>
    <s v="9"/>
    <x v="1"/>
    <x v="2"/>
  </r>
  <r>
    <x v="1"/>
    <s v="95042205755"/>
    <m/>
    <m/>
    <m/>
    <m/>
    <n v="94"/>
    <m/>
    <n v="67"/>
    <m/>
    <m/>
    <m/>
    <m/>
    <n v="60"/>
    <m/>
    <s v="5"/>
    <x v="1"/>
    <x v="0"/>
  </r>
  <r>
    <x v="1"/>
    <s v="95050205185"/>
    <m/>
    <m/>
    <m/>
    <m/>
    <n v="66"/>
    <m/>
    <n v="67"/>
    <m/>
    <m/>
    <m/>
    <m/>
    <n v="80"/>
    <n v="68"/>
    <s v="8"/>
    <x v="0"/>
    <x v="2"/>
  </r>
  <r>
    <x v="1"/>
    <s v="95050904503"/>
    <m/>
    <m/>
    <m/>
    <m/>
    <m/>
    <m/>
    <n v="92"/>
    <m/>
    <m/>
    <m/>
    <m/>
    <n v="45"/>
    <m/>
    <s v="0"/>
    <x v="0"/>
    <x v="1"/>
  </r>
  <r>
    <x v="1"/>
    <s v="95051201982"/>
    <m/>
    <m/>
    <m/>
    <m/>
    <m/>
    <m/>
    <n v="63"/>
    <m/>
    <m/>
    <m/>
    <m/>
    <n v="58"/>
    <n v="48"/>
    <s v="8"/>
    <x v="0"/>
    <x v="0"/>
  </r>
  <r>
    <x v="1"/>
    <s v="95052501302"/>
    <m/>
    <m/>
    <m/>
    <m/>
    <m/>
    <m/>
    <n v="69"/>
    <m/>
    <m/>
    <m/>
    <m/>
    <n v="70"/>
    <n v="38"/>
    <s v="0"/>
    <x v="0"/>
    <x v="0"/>
  </r>
  <r>
    <x v="1"/>
    <s v="95060201793"/>
    <n v="73"/>
    <n v="65"/>
    <m/>
    <m/>
    <m/>
    <m/>
    <m/>
    <m/>
    <m/>
    <m/>
    <m/>
    <m/>
    <m/>
    <s v="9"/>
    <x v="1"/>
    <x v="1"/>
  </r>
  <r>
    <x v="1"/>
    <s v="95062400343"/>
    <n v="50"/>
    <n v="47"/>
    <m/>
    <m/>
    <m/>
    <m/>
    <m/>
    <m/>
    <m/>
    <m/>
    <m/>
    <m/>
    <m/>
    <s v="4"/>
    <x v="0"/>
    <x v="1"/>
  </r>
  <r>
    <x v="1"/>
    <s v="95070400070"/>
    <m/>
    <m/>
    <m/>
    <m/>
    <n v="92"/>
    <m/>
    <n v="59"/>
    <m/>
    <m/>
    <m/>
    <m/>
    <n v="60"/>
    <n v="68"/>
    <s v="7"/>
    <x v="1"/>
    <x v="2"/>
  </r>
  <r>
    <x v="1"/>
    <s v="95080101408"/>
    <n v="73"/>
    <m/>
    <m/>
    <m/>
    <m/>
    <m/>
    <n v="74"/>
    <m/>
    <m/>
    <m/>
    <m/>
    <n v="73"/>
    <m/>
    <s v="0"/>
    <x v="0"/>
    <x v="0"/>
  </r>
  <r>
    <x v="1"/>
    <s v="95080902016"/>
    <m/>
    <m/>
    <m/>
    <m/>
    <n v="80"/>
    <m/>
    <n v="83"/>
    <m/>
    <m/>
    <m/>
    <m/>
    <n v="63"/>
    <m/>
    <s v="1"/>
    <x v="1"/>
    <x v="0"/>
  </r>
  <r>
    <x v="1"/>
    <s v="95081001141"/>
    <n v="35"/>
    <m/>
    <m/>
    <m/>
    <m/>
    <m/>
    <n v="84"/>
    <m/>
    <m/>
    <m/>
    <m/>
    <n v="63"/>
    <m/>
    <s v="4"/>
    <x v="0"/>
    <x v="0"/>
  </r>
  <r>
    <x v="1"/>
    <s v="95081600739"/>
    <m/>
    <m/>
    <m/>
    <n v="47"/>
    <m/>
    <m/>
    <n v="60"/>
    <m/>
    <m/>
    <m/>
    <m/>
    <n v="58"/>
    <n v="58"/>
    <s v="3"/>
    <x v="1"/>
    <x v="2"/>
  </r>
  <r>
    <x v="1"/>
    <s v="95083106189"/>
    <m/>
    <m/>
    <m/>
    <m/>
    <n v="42"/>
    <m/>
    <m/>
    <m/>
    <m/>
    <m/>
    <m/>
    <n v="75"/>
    <m/>
    <s v="8"/>
    <x v="0"/>
    <x v="1"/>
  </r>
  <r>
    <x v="1"/>
    <s v="95092111585"/>
    <m/>
    <m/>
    <m/>
    <m/>
    <n v="76"/>
    <m/>
    <n v="78"/>
    <m/>
    <m/>
    <m/>
    <m/>
    <n v="80"/>
    <m/>
    <s v="8"/>
    <x v="0"/>
    <x v="0"/>
  </r>
  <r>
    <x v="1"/>
    <s v="95092712281"/>
    <m/>
    <m/>
    <m/>
    <m/>
    <n v="80"/>
    <m/>
    <n v="34"/>
    <m/>
    <m/>
    <m/>
    <m/>
    <n v="80"/>
    <n v="62"/>
    <s v="8"/>
    <x v="0"/>
    <x v="2"/>
  </r>
  <r>
    <x v="1"/>
    <s v="95100600025"/>
    <m/>
    <m/>
    <m/>
    <m/>
    <m/>
    <m/>
    <m/>
    <m/>
    <m/>
    <m/>
    <m/>
    <n v="78"/>
    <n v="24"/>
    <s v="2"/>
    <x v="0"/>
    <x v="1"/>
  </r>
  <r>
    <x v="1"/>
    <s v="95100606458"/>
    <m/>
    <m/>
    <m/>
    <m/>
    <n v="88"/>
    <m/>
    <n v="92"/>
    <m/>
    <m/>
    <m/>
    <m/>
    <n v="53"/>
    <n v="72"/>
    <s v="5"/>
    <x v="1"/>
    <x v="2"/>
  </r>
  <r>
    <x v="1"/>
    <s v="95100700282"/>
    <m/>
    <m/>
    <m/>
    <m/>
    <n v="76"/>
    <m/>
    <n v="90"/>
    <m/>
    <m/>
    <m/>
    <m/>
    <n v="75"/>
    <m/>
    <s v="8"/>
    <x v="0"/>
    <x v="0"/>
  </r>
  <r>
    <x v="1"/>
    <s v="95101000947"/>
    <m/>
    <m/>
    <m/>
    <m/>
    <n v="96"/>
    <m/>
    <n v="91"/>
    <m/>
    <m/>
    <m/>
    <m/>
    <n v="85"/>
    <m/>
    <s v="4"/>
    <x v="0"/>
    <x v="0"/>
  </r>
  <r>
    <x v="1"/>
    <s v="95110605809"/>
    <m/>
    <m/>
    <m/>
    <m/>
    <n v="76"/>
    <m/>
    <n v="84"/>
    <m/>
    <m/>
    <m/>
    <m/>
    <n v="73"/>
    <m/>
    <s v="0"/>
    <x v="0"/>
    <x v="0"/>
  </r>
  <r>
    <x v="1"/>
    <s v="95110704362"/>
    <n v="48"/>
    <n v="17"/>
    <m/>
    <m/>
    <m/>
    <m/>
    <n v="92"/>
    <m/>
    <m/>
    <m/>
    <m/>
    <m/>
    <m/>
    <s v="6"/>
    <x v="0"/>
    <x v="0"/>
  </r>
  <r>
    <x v="1"/>
    <s v="95111800425"/>
    <m/>
    <m/>
    <m/>
    <m/>
    <n v="80"/>
    <m/>
    <n v="79"/>
    <m/>
    <m/>
    <m/>
    <m/>
    <n v="63"/>
    <n v="60"/>
    <s v="2"/>
    <x v="0"/>
    <x v="2"/>
  </r>
  <r>
    <x v="1"/>
    <s v="95112902461"/>
    <m/>
    <m/>
    <m/>
    <m/>
    <m/>
    <m/>
    <n v="66"/>
    <m/>
    <m/>
    <m/>
    <n v="24"/>
    <n v="40"/>
    <m/>
    <s v="6"/>
    <x v="0"/>
    <x v="0"/>
  </r>
  <r>
    <x v="2"/>
    <s v="94120209724"/>
    <m/>
    <m/>
    <m/>
    <m/>
    <m/>
    <m/>
    <n v="70"/>
    <m/>
    <m/>
    <m/>
    <n v="52"/>
    <m/>
    <m/>
    <s v="2"/>
    <x v="0"/>
    <x v="1"/>
  </r>
  <r>
    <x v="2"/>
    <s v="95011303864"/>
    <m/>
    <m/>
    <m/>
    <n v="42"/>
    <m/>
    <m/>
    <m/>
    <m/>
    <m/>
    <m/>
    <n v="40"/>
    <m/>
    <m/>
    <s v="6"/>
    <x v="0"/>
    <x v="1"/>
  </r>
  <r>
    <x v="2"/>
    <s v="95012701920"/>
    <m/>
    <m/>
    <m/>
    <n v="77"/>
    <m/>
    <m/>
    <n v="80"/>
    <m/>
    <m/>
    <m/>
    <n v="44"/>
    <m/>
    <m/>
    <s v="2"/>
    <x v="0"/>
    <x v="0"/>
  </r>
  <r>
    <x v="2"/>
    <s v="95012707551"/>
    <m/>
    <m/>
    <m/>
    <n v="55"/>
    <m/>
    <m/>
    <m/>
    <m/>
    <m/>
    <m/>
    <n v="42"/>
    <m/>
    <m/>
    <s v="5"/>
    <x v="1"/>
    <x v="1"/>
  </r>
  <r>
    <x v="2"/>
    <s v="95021105139"/>
    <m/>
    <m/>
    <m/>
    <n v="85"/>
    <m/>
    <m/>
    <n v="81"/>
    <m/>
    <m/>
    <m/>
    <n v="52"/>
    <m/>
    <m/>
    <s v="3"/>
    <x v="1"/>
    <x v="0"/>
  </r>
  <r>
    <x v="2"/>
    <s v="95021201255"/>
    <m/>
    <m/>
    <m/>
    <n v="68"/>
    <m/>
    <m/>
    <m/>
    <m/>
    <m/>
    <m/>
    <n v="14"/>
    <m/>
    <m/>
    <s v="5"/>
    <x v="1"/>
    <x v="1"/>
  </r>
  <r>
    <x v="2"/>
    <s v="95021303223"/>
    <m/>
    <m/>
    <m/>
    <n v="60"/>
    <m/>
    <m/>
    <m/>
    <m/>
    <m/>
    <m/>
    <n v="32"/>
    <m/>
    <m/>
    <s v="2"/>
    <x v="0"/>
    <x v="1"/>
  </r>
  <r>
    <x v="2"/>
    <s v="95030407844"/>
    <m/>
    <m/>
    <m/>
    <n v="70"/>
    <m/>
    <m/>
    <n v="84"/>
    <m/>
    <m/>
    <n v="90"/>
    <n v="56"/>
    <m/>
    <m/>
    <s v="4"/>
    <x v="0"/>
    <x v="2"/>
  </r>
  <r>
    <x v="2"/>
    <s v="95040309147"/>
    <m/>
    <m/>
    <m/>
    <n v="38"/>
    <m/>
    <m/>
    <m/>
    <m/>
    <m/>
    <m/>
    <m/>
    <m/>
    <m/>
    <s v="4"/>
    <x v="0"/>
    <x v="4"/>
  </r>
  <r>
    <x v="2"/>
    <s v="95040502267"/>
    <m/>
    <m/>
    <m/>
    <n v="83"/>
    <m/>
    <m/>
    <n v="93"/>
    <m/>
    <m/>
    <m/>
    <n v="64"/>
    <m/>
    <m/>
    <s v="6"/>
    <x v="0"/>
    <x v="0"/>
  </r>
  <r>
    <x v="2"/>
    <s v="95040601874"/>
    <m/>
    <m/>
    <m/>
    <n v="93"/>
    <m/>
    <m/>
    <n v="80"/>
    <m/>
    <m/>
    <m/>
    <n v="64"/>
    <m/>
    <m/>
    <s v="7"/>
    <x v="1"/>
    <x v="0"/>
  </r>
  <r>
    <x v="2"/>
    <s v="95062703248"/>
    <m/>
    <m/>
    <m/>
    <n v="63"/>
    <m/>
    <m/>
    <m/>
    <m/>
    <m/>
    <m/>
    <m/>
    <n v="43"/>
    <m/>
    <s v="4"/>
    <x v="0"/>
    <x v="1"/>
  </r>
  <r>
    <x v="2"/>
    <s v="95062704850"/>
    <m/>
    <m/>
    <m/>
    <n v="65"/>
    <m/>
    <m/>
    <m/>
    <m/>
    <m/>
    <m/>
    <m/>
    <m/>
    <m/>
    <s v="5"/>
    <x v="1"/>
    <x v="4"/>
  </r>
  <r>
    <x v="2"/>
    <s v="95070400629"/>
    <m/>
    <m/>
    <m/>
    <n v="50"/>
    <m/>
    <m/>
    <m/>
    <m/>
    <m/>
    <m/>
    <n v="36"/>
    <m/>
    <m/>
    <s v="2"/>
    <x v="0"/>
    <x v="1"/>
  </r>
  <r>
    <x v="2"/>
    <s v="95070600715"/>
    <m/>
    <m/>
    <m/>
    <n v="53"/>
    <m/>
    <m/>
    <n v="77"/>
    <m/>
    <m/>
    <m/>
    <n v="38"/>
    <m/>
    <n v="46"/>
    <s v="1"/>
    <x v="1"/>
    <x v="2"/>
  </r>
  <r>
    <x v="2"/>
    <s v="95071306764"/>
    <m/>
    <m/>
    <m/>
    <m/>
    <m/>
    <m/>
    <n v="81"/>
    <m/>
    <m/>
    <m/>
    <n v="40"/>
    <m/>
    <m/>
    <s v="6"/>
    <x v="0"/>
    <x v="1"/>
  </r>
  <r>
    <x v="2"/>
    <s v="95071307406"/>
    <m/>
    <m/>
    <m/>
    <n v="70"/>
    <m/>
    <m/>
    <n v="51"/>
    <m/>
    <m/>
    <m/>
    <m/>
    <n v="95"/>
    <m/>
    <s v="0"/>
    <x v="0"/>
    <x v="0"/>
  </r>
  <r>
    <x v="2"/>
    <s v="95072805323"/>
    <m/>
    <m/>
    <m/>
    <n v="68"/>
    <m/>
    <m/>
    <n v="55"/>
    <m/>
    <m/>
    <m/>
    <n v="48"/>
    <n v="55"/>
    <m/>
    <s v="2"/>
    <x v="0"/>
    <x v="2"/>
  </r>
  <r>
    <x v="2"/>
    <s v="95072901340"/>
    <m/>
    <m/>
    <m/>
    <m/>
    <m/>
    <m/>
    <n v="66"/>
    <m/>
    <m/>
    <m/>
    <n v="66"/>
    <n v="70"/>
    <m/>
    <s v="4"/>
    <x v="0"/>
    <x v="0"/>
  </r>
  <r>
    <x v="2"/>
    <s v="95072901364"/>
    <m/>
    <m/>
    <m/>
    <m/>
    <m/>
    <m/>
    <n v="92"/>
    <m/>
    <m/>
    <m/>
    <n v="52"/>
    <m/>
    <m/>
    <s v="6"/>
    <x v="0"/>
    <x v="1"/>
  </r>
  <r>
    <x v="2"/>
    <s v="95082206507"/>
    <m/>
    <m/>
    <m/>
    <n v="87"/>
    <m/>
    <m/>
    <m/>
    <m/>
    <m/>
    <m/>
    <n v="90"/>
    <m/>
    <m/>
    <s v="0"/>
    <x v="0"/>
    <x v="1"/>
  </r>
  <r>
    <x v="2"/>
    <s v="95091103271"/>
    <m/>
    <m/>
    <m/>
    <n v="47"/>
    <m/>
    <m/>
    <m/>
    <m/>
    <m/>
    <m/>
    <n v="40"/>
    <m/>
    <m/>
    <s v="7"/>
    <x v="1"/>
    <x v="1"/>
  </r>
  <r>
    <x v="2"/>
    <s v="95092301371"/>
    <m/>
    <m/>
    <m/>
    <m/>
    <m/>
    <m/>
    <n v="88"/>
    <m/>
    <m/>
    <m/>
    <n v="46"/>
    <m/>
    <m/>
    <s v="7"/>
    <x v="1"/>
    <x v="1"/>
  </r>
  <r>
    <x v="2"/>
    <s v="95100703063"/>
    <m/>
    <m/>
    <m/>
    <n v="68"/>
    <m/>
    <m/>
    <n v="78"/>
    <m/>
    <m/>
    <m/>
    <n v="54"/>
    <m/>
    <m/>
    <s v="6"/>
    <x v="0"/>
    <x v="0"/>
  </r>
  <r>
    <x v="2"/>
    <s v="95102509322"/>
    <m/>
    <m/>
    <m/>
    <n v="77"/>
    <m/>
    <m/>
    <n v="44"/>
    <m/>
    <m/>
    <m/>
    <n v="40"/>
    <m/>
    <m/>
    <s v="2"/>
    <x v="0"/>
    <x v="0"/>
  </r>
  <r>
    <x v="2"/>
    <s v="95121002200"/>
    <m/>
    <m/>
    <m/>
    <n v="80"/>
    <m/>
    <m/>
    <n v="82"/>
    <m/>
    <m/>
    <m/>
    <n v="94"/>
    <m/>
    <m/>
    <s v="0"/>
    <x v="0"/>
    <x v="0"/>
  </r>
  <r>
    <x v="2"/>
    <s v="96010806327"/>
    <m/>
    <m/>
    <m/>
    <n v="82"/>
    <m/>
    <m/>
    <n v="61"/>
    <m/>
    <m/>
    <m/>
    <m/>
    <m/>
    <m/>
    <s v="2"/>
    <x v="0"/>
    <x v="1"/>
  </r>
  <r>
    <x v="3"/>
    <s v="95010400678"/>
    <m/>
    <m/>
    <n v="70"/>
    <m/>
    <m/>
    <m/>
    <n v="73"/>
    <m/>
    <m/>
    <m/>
    <n v="70"/>
    <m/>
    <m/>
    <s v="7"/>
    <x v="1"/>
    <x v="0"/>
  </r>
  <r>
    <x v="3"/>
    <s v="95012402890"/>
    <m/>
    <m/>
    <n v="53"/>
    <m/>
    <m/>
    <m/>
    <n v="67"/>
    <m/>
    <m/>
    <m/>
    <n v="40"/>
    <m/>
    <m/>
    <s v="9"/>
    <x v="1"/>
    <x v="0"/>
  </r>
  <r>
    <x v="3"/>
    <s v="95012801194"/>
    <m/>
    <m/>
    <n v="75"/>
    <m/>
    <m/>
    <n v="78"/>
    <n v="96"/>
    <m/>
    <m/>
    <m/>
    <n v="90"/>
    <m/>
    <m/>
    <s v="9"/>
    <x v="1"/>
    <x v="2"/>
  </r>
  <r>
    <x v="3"/>
    <s v="95012904927"/>
    <m/>
    <m/>
    <n v="82"/>
    <m/>
    <m/>
    <m/>
    <n v="91"/>
    <m/>
    <m/>
    <m/>
    <n v="80"/>
    <m/>
    <m/>
    <s v="2"/>
    <x v="0"/>
    <x v="0"/>
  </r>
  <r>
    <x v="3"/>
    <s v="95020904777"/>
    <m/>
    <m/>
    <n v="32"/>
    <m/>
    <m/>
    <m/>
    <n v="74"/>
    <m/>
    <m/>
    <m/>
    <m/>
    <n v="25"/>
    <m/>
    <s v="7"/>
    <x v="1"/>
    <x v="0"/>
  </r>
  <r>
    <x v="3"/>
    <s v="95021601338"/>
    <m/>
    <m/>
    <n v="77"/>
    <m/>
    <m/>
    <n v="88"/>
    <n v="76"/>
    <m/>
    <m/>
    <m/>
    <n v="68"/>
    <m/>
    <m/>
    <s v="3"/>
    <x v="1"/>
    <x v="2"/>
  </r>
  <r>
    <x v="3"/>
    <s v="95032801943"/>
    <m/>
    <m/>
    <n v="70"/>
    <m/>
    <m/>
    <m/>
    <n v="65"/>
    <m/>
    <m/>
    <m/>
    <n v="78"/>
    <m/>
    <m/>
    <s v="4"/>
    <x v="0"/>
    <x v="0"/>
  </r>
  <r>
    <x v="3"/>
    <s v="95032801950"/>
    <m/>
    <m/>
    <n v="32"/>
    <m/>
    <m/>
    <m/>
    <n v="75"/>
    <m/>
    <m/>
    <m/>
    <n v="58"/>
    <m/>
    <m/>
    <s v="5"/>
    <x v="1"/>
    <x v="0"/>
  </r>
  <r>
    <x v="3"/>
    <s v="95040804338"/>
    <n v="37"/>
    <m/>
    <n v="37"/>
    <m/>
    <m/>
    <m/>
    <n v="84"/>
    <m/>
    <m/>
    <m/>
    <m/>
    <m/>
    <m/>
    <s v="3"/>
    <x v="1"/>
    <x v="0"/>
  </r>
  <r>
    <x v="3"/>
    <s v="95050803734"/>
    <m/>
    <m/>
    <n v="75"/>
    <m/>
    <m/>
    <m/>
    <n v="94"/>
    <m/>
    <m/>
    <m/>
    <n v="82"/>
    <m/>
    <m/>
    <s v="3"/>
    <x v="1"/>
    <x v="0"/>
  </r>
  <r>
    <x v="3"/>
    <s v="95052200645"/>
    <m/>
    <m/>
    <n v="92"/>
    <m/>
    <m/>
    <m/>
    <n v="86"/>
    <m/>
    <m/>
    <m/>
    <n v="88"/>
    <m/>
    <m/>
    <s v="4"/>
    <x v="0"/>
    <x v="0"/>
  </r>
  <r>
    <x v="3"/>
    <s v="95052901713"/>
    <m/>
    <m/>
    <m/>
    <n v="45"/>
    <m/>
    <m/>
    <n v="80"/>
    <m/>
    <m/>
    <m/>
    <n v="36"/>
    <m/>
    <m/>
    <s v="1"/>
    <x v="1"/>
    <x v="0"/>
  </r>
  <r>
    <x v="3"/>
    <s v="95060303600"/>
    <m/>
    <m/>
    <m/>
    <m/>
    <m/>
    <m/>
    <n v="94"/>
    <m/>
    <m/>
    <m/>
    <n v="74"/>
    <m/>
    <m/>
    <s v="0"/>
    <x v="0"/>
    <x v="1"/>
  </r>
  <r>
    <x v="3"/>
    <s v="95060705327"/>
    <m/>
    <m/>
    <m/>
    <m/>
    <m/>
    <m/>
    <n v="78"/>
    <m/>
    <m/>
    <m/>
    <m/>
    <m/>
    <m/>
    <s v="2"/>
    <x v="0"/>
    <x v="4"/>
  </r>
  <r>
    <x v="3"/>
    <s v="95060913018"/>
    <m/>
    <m/>
    <n v="72"/>
    <m/>
    <m/>
    <m/>
    <n v="79"/>
    <m/>
    <m/>
    <m/>
    <n v="78"/>
    <m/>
    <m/>
    <s v="1"/>
    <x v="1"/>
    <x v="0"/>
  </r>
  <r>
    <x v="3"/>
    <s v="95072510054"/>
    <m/>
    <m/>
    <n v="62"/>
    <m/>
    <m/>
    <m/>
    <n v="75"/>
    <m/>
    <m/>
    <m/>
    <n v="38"/>
    <m/>
    <m/>
    <s v="5"/>
    <x v="1"/>
    <x v="0"/>
  </r>
  <r>
    <x v="3"/>
    <s v="95080407818"/>
    <m/>
    <m/>
    <m/>
    <m/>
    <m/>
    <n v="70"/>
    <n v="79"/>
    <m/>
    <m/>
    <m/>
    <n v="62"/>
    <m/>
    <m/>
    <s v="1"/>
    <x v="1"/>
    <x v="0"/>
  </r>
  <r>
    <x v="3"/>
    <s v="95080805098"/>
    <m/>
    <m/>
    <n v="48"/>
    <m/>
    <m/>
    <m/>
    <n v="28"/>
    <m/>
    <m/>
    <m/>
    <n v="68"/>
    <m/>
    <m/>
    <s v="9"/>
    <x v="1"/>
    <x v="0"/>
  </r>
  <r>
    <x v="3"/>
    <s v="95081600791"/>
    <m/>
    <m/>
    <n v="62"/>
    <m/>
    <m/>
    <m/>
    <n v="79"/>
    <m/>
    <m/>
    <m/>
    <n v="66"/>
    <m/>
    <m/>
    <s v="9"/>
    <x v="1"/>
    <x v="0"/>
  </r>
  <r>
    <x v="3"/>
    <s v="95082906797"/>
    <m/>
    <m/>
    <n v="67"/>
    <m/>
    <m/>
    <m/>
    <n v="85"/>
    <m/>
    <m/>
    <m/>
    <n v="70"/>
    <m/>
    <m/>
    <s v="9"/>
    <x v="1"/>
    <x v="0"/>
  </r>
  <r>
    <x v="3"/>
    <s v="95083100398"/>
    <m/>
    <m/>
    <n v="67"/>
    <m/>
    <m/>
    <m/>
    <n v="78"/>
    <m/>
    <m/>
    <m/>
    <n v="68"/>
    <m/>
    <m/>
    <s v="9"/>
    <x v="1"/>
    <x v="0"/>
  </r>
  <r>
    <x v="3"/>
    <s v="95091803737"/>
    <m/>
    <m/>
    <m/>
    <m/>
    <m/>
    <n v="98"/>
    <n v="84"/>
    <m/>
    <m/>
    <m/>
    <n v="92"/>
    <m/>
    <m/>
    <s v="3"/>
    <x v="1"/>
    <x v="0"/>
  </r>
  <r>
    <x v="3"/>
    <s v="95100400649"/>
    <m/>
    <m/>
    <m/>
    <m/>
    <m/>
    <m/>
    <n v="86"/>
    <m/>
    <m/>
    <m/>
    <n v="60"/>
    <m/>
    <m/>
    <s v="4"/>
    <x v="0"/>
    <x v="1"/>
  </r>
  <r>
    <x v="3"/>
    <s v="95101104184"/>
    <m/>
    <m/>
    <n v="55"/>
    <m/>
    <m/>
    <m/>
    <n v="92"/>
    <m/>
    <m/>
    <m/>
    <n v="78"/>
    <m/>
    <m/>
    <s v="8"/>
    <x v="0"/>
    <x v="0"/>
  </r>
  <r>
    <x v="3"/>
    <s v="95101303842"/>
    <m/>
    <m/>
    <n v="78"/>
    <m/>
    <m/>
    <m/>
    <n v="85"/>
    <m/>
    <m/>
    <m/>
    <n v="92"/>
    <m/>
    <m/>
    <s v="4"/>
    <x v="0"/>
    <x v="0"/>
  </r>
  <r>
    <x v="3"/>
    <s v="95101902775"/>
    <m/>
    <m/>
    <m/>
    <m/>
    <m/>
    <n v="52"/>
    <n v="68"/>
    <m/>
    <m/>
    <m/>
    <n v="56"/>
    <m/>
    <m/>
    <s v="7"/>
    <x v="1"/>
    <x v="0"/>
  </r>
  <r>
    <x v="3"/>
    <s v="95102002757"/>
    <m/>
    <m/>
    <n v="70"/>
    <m/>
    <m/>
    <m/>
    <n v="86"/>
    <m/>
    <m/>
    <m/>
    <n v="78"/>
    <m/>
    <m/>
    <s v="5"/>
    <x v="1"/>
    <x v="0"/>
  </r>
  <r>
    <x v="3"/>
    <s v="95102301894"/>
    <m/>
    <m/>
    <n v="32"/>
    <m/>
    <m/>
    <m/>
    <n v="78"/>
    <m/>
    <m/>
    <m/>
    <n v="74"/>
    <m/>
    <m/>
    <s v="9"/>
    <x v="1"/>
    <x v="0"/>
  </r>
  <r>
    <x v="3"/>
    <s v="95112306692"/>
    <m/>
    <m/>
    <n v="75"/>
    <m/>
    <m/>
    <m/>
    <n v="64"/>
    <m/>
    <m/>
    <m/>
    <n v="74"/>
    <m/>
    <m/>
    <s v="9"/>
    <x v="1"/>
    <x v="0"/>
  </r>
  <r>
    <x v="3"/>
    <s v="95112702337"/>
    <m/>
    <m/>
    <n v="63"/>
    <m/>
    <m/>
    <m/>
    <m/>
    <m/>
    <m/>
    <m/>
    <n v="92"/>
    <m/>
    <m/>
    <s v="3"/>
    <x v="1"/>
    <x v="1"/>
  </r>
  <r>
    <x v="3"/>
    <s v="95122110962"/>
    <m/>
    <m/>
    <m/>
    <m/>
    <m/>
    <m/>
    <n v="65"/>
    <m/>
    <m/>
    <m/>
    <n v="68"/>
    <m/>
    <m/>
    <s v="6"/>
    <x v="0"/>
    <x v="1"/>
  </r>
  <r>
    <x v="3"/>
    <s v="95123001771"/>
    <m/>
    <m/>
    <m/>
    <m/>
    <m/>
    <m/>
    <n v="84"/>
    <m/>
    <m/>
    <m/>
    <n v="54"/>
    <m/>
    <m/>
    <s v="7"/>
    <x v="1"/>
    <x v="1"/>
  </r>
  <r>
    <x v="3"/>
    <s v="96011200502"/>
    <m/>
    <m/>
    <n v="77"/>
    <m/>
    <m/>
    <m/>
    <n v="86"/>
    <m/>
    <m/>
    <m/>
    <n v="64"/>
    <m/>
    <m/>
    <s v="0"/>
    <x v="0"/>
    <x v="0"/>
  </r>
  <r>
    <x v="4"/>
    <s v="94011110436"/>
    <m/>
    <m/>
    <m/>
    <m/>
    <m/>
    <m/>
    <m/>
    <m/>
    <n v="73"/>
    <m/>
    <m/>
    <n v="65"/>
    <m/>
    <s v="3"/>
    <x v="1"/>
    <x v="1"/>
  </r>
  <r>
    <x v="4"/>
    <s v="94013113642"/>
    <m/>
    <m/>
    <m/>
    <m/>
    <m/>
    <m/>
    <m/>
    <m/>
    <n v="61"/>
    <m/>
    <m/>
    <n v="58"/>
    <m/>
    <s v="4"/>
    <x v="0"/>
    <x v="1"/>
  </r>
  <r>
    <x v="4"/>
    <s v="94020211283"/>
    <m/>
    <m/>
    <m/>
    <m/>
    <m/>
    <m/>
    <m/>
    <m/>
    <n v="65"/>
    <m/>
    <m/>
    <n v="58"/>
    <m/>
    <s v="8"/>
    <x v="0"/>
    <x v="1"/>
  </r>
  <r>
    <x v="4"/>
    <s v="94021306625"/>
    <m/>
    <m/>
    <m/>
    <m/>
    <m/>
    <m/>
    <m/>
    <m/>
    <n v="68"/>
    <m/>
    <m/>
    <n v="88"/>
    <m/>
    <s v="2"/>
    <x v="0"/>
    <x v="1"/>
  </r>
  <r>
    <x v="4"/>
    <s v="94030804224"/>
    <m/>
    <m/>
    <m/>
    <n v="85"/>
    <m/>
    <m/>
    <n v="95"/>
    <m/>
    <m/>
    <m/>
    <m/>
    <n v="88"/>
    <m/>
    <s v="2"/>
    <x v="0"/>
    <x v="0"/>
  </r>
  <r>
    <x v="4"/>
    <s v="94031410644"/>
    <m/>
    <m/>
    <m/>
    <m/>
    <m/>
    <m/>
    <m/>
    <m/>
    <n v="45"/>
    <m/>
    <m/>
    <n v="83"/>
    <m/>
    <s v="4"/>
    <x v="0"/>
    <x v="1"/>
  </r>
  <r>
    <x v="4"/>
    <s v="94040607118"/>
    <m/>
    <m/>
    <m/>
    <m/>
    <m/>
    <m/>
    <n v="79"/>
    <m/>
    <n v="79"/>
    <m/>
    <m/>
    <n v="53"/>
    <m/>
    <s v="1"/>
    <x v="1"/>
    <x v="0"/>
  </r>
  <r>
    <x v="4"/>
    <s v="94042912726"/>
    <m/>
    <m/>
    <m/>
    <n v="38"/>
    <m/>
    <m/>
    <n v="69"/>
    <m/>
    <n v="72"/>
    <m/>
    <m/>
    <n v="60"/>
    <m/>
    <s v="2"/>
    <x v="0"/>
    <x v="2"/>
  </r>
  <r>
    <x v="4"/>
    <s v="94060604247"/>
    <n v="62"/>
    <n v="35"/>
    <m/>
    <m/>
    <m/>
    <m/>
    <m/>
    <m/>
    <n v="52"/>
    <m/>
    <m/>
    <m/>
    <m/>
    <s v="4"/>
    <x v="0"/>
    <x v="0"/>
  </r>
  <r>
    <x v="4"/>
    <s v="94062703166"/>
    <m/>
    <m/>
    <m/>
    <n v="50"/>
    <m/>
    <m/>
    <m/>
    <m/>
    <n v="63"/>
    <m/>
    <m/>
    <m/>
    <m/>
    <s v="6"/>
    <x v="0"/>
    <x v="1"/>
  </r>
  <r>
    <x v="4"/>
    <s v="94063002080"/>
    <m/>
    <m/>
    <m/>
    <n v="82"/>
    <m/>
    <m/>
    <m/>
    <m/>
    <m/>
    <m/>
    <n v="66"/>
    <n v="85"/>
    <m/>
    <s v="8"/>
    <x v="0"/>
    <x v="0"/>
  </r>
  <r>
    <x v="4"/>
    <s v="94081102166"/>
    <m/>
    <m/>
    <m/>
    <m/>
    <m/>
    <m/>
    <m/>
    <m/>
    <n v="79"/>
    <m/>
    <m/>
    <n v="83"/>
    <m/>
    <s v="6"/>
    <x v="0"/>
    <x v="1"/>
  </r>
  <r>
    <x v="4"/>
    <s v="94082703588"/>
    <m/>
    <m/>
    <m/>
    <m/>
    <n v="66"/>
    <m/>
    <n v="93"/>
    <m/>
    <n v="83"/>
    <m/>
    <m/>
    <n v="100"/>
    <m/>
    <s v="8"/>
    <x v="0"/>
    <x v="2"/>
  </r>
  <r>
    <x v="4"/>
    <s v="94082901146"/>
    <m/>
    <m/>
    <m/>
    <n v="75"/>
    <m/>
    <m/>
    <n v="83"/>
    <m/>
    <m/>
    <m/>
    <n v="30"/>
    <n v="80"/>
    <m/>
    <s v="4"/>
    <x v="0"/>
    <x v="2"/>
  </r>
  <r>
    <x v="4"/>
    <s v="94082905447"/>
    <m/>
    <m/>
    <m/>
    <m/>
    <m/>
    <m/>
    <m/>
    <m/>
    <n v="96"/>
    <m/>
    <m/>
    <m/>
    <m/>
    <s v="4"/>
    <x v="0"/>
    <x v="4"/>
  </r>
  <r>
    <x v="4"/>
    <s v="94083000868"/>
    <m/>
    <m/>
    <m/>
    <m/>
    <n v="24"/>
    <m/>
    <n v="63"/>
    <m/>
    <n v="61"/>
    <m/>
    <m/>
    <n v="58"/>
    <n v="16"/>
    <s v="6"/>
    <x v="0"/>
    <x v="3"/>
  </r>
  <r>
    <x v="4"/>
    <s v="94090909307"/>
    <m/>
    <m/>
    <m/>
    <m/>
    <n v="72"/>
    <m/>
    <n v="76"/>
    <m/>
    <n v="77"/>
    <m/>
    <m/>
    <n v="75"/>
    <n v="46"/>
    <s v="0"/>
    <x v="0"/>
    <x v="3"/>
  </r>
  <r>
    <x v="4"/>
    <s v="94091301085"/>
    <m/>
    <m/>
    <m/>
    <m/>
    <m/>
    <m/>
    <n v="71"/>
    <m/>
    <n v="70"/>
    <m/>
    <m/>
    <n v="55"/>
    <m/>
    <s v="8"/>
    <x v="0"/>
    <x v="0"/>
  </r>
  <r>
    <x v="4"/>
    <s v="94092207960"/>
    <m/>
    <m/>
    <m/>
    <m/>
    <m/>
    <m/>
    <n v="89"/>
    <m/>
    <m/>
    <m/>
    <m/>
    <n v="63"/>
    <m/>
    <s v="6"/>
    <x v="0"/>
    <x v="1"/>
  </r>
  <r>
    <x v="4"/>
    <s v="94100706007"/>
    <m/>
    <m/>
    <m/>
    <m/>
    <m/>
    <m/>
    <n v="74"/>
    <m/>
    <m/>
    <m/>
    <m/>
    <m/>
    <m/>
    <s v="0"/>
    <x v="0"/>
    <x v="4"/>
  </r>
  <r>
    <x v="4"/>
    <s v="94102604723"/>
    <m/>
    <m/>
    <m/>
    <m/>
    <m/>
    <m/>
    <m/>
    <n v="73"/>
    <n v="82"/>
    <m/>
    <m/>
    <n v="70"/>
    <m/>
    <s v="2"/>
    <x v="0"/>
    <x v="0"/>
  </r>
  <r>
    <x v="4"/>
    <s v="94103100907"/>
    <n v="18"/>
    <n v="12"/>
    <m/>
    <m/>
    <m/>
    <m/>
    <m/>
    <m/>
    <m/>
    <m/>
    <m/>
    <m/>
    <m/>
    <s v="0"/>
    <x v="0"/>
    <x v="1"/>
  </r>
  <r>
    <x v="4"/>
    <s v="94110205866"/>
    <m/>
    <m/>
    <m/>
    <m/>
    <m/>
    <m/>
    <n v="78"/>
    <m/>
    <m/>
    <m/>
    <n v="40"/>
    <m/>
    <m/>
    <s v="6"/>
    <x v="0"/>
    <x v="1"/>
  </r>
  <r>
    <x v="4"/>
    <s v="94121203482"/>
    <m/>
    <m/>
    <m/>
    <m/>
    <m/>
    <m/>
    <m/>
    <m/>
    <n v="71"/>
    <m/>
    <m/>
    <n v="58"/>
    <m/>
    <s v="8"/>
    <x v="0"/>
    <x v="1"/>
  </r>
  <r>
    <x v="4"/>
    <s v="94121709025"/>
    <m/>
    <m/>
    <m/>
    <n v="53"/>
    <m/>
    <m/>
    <n v="66"/>
    <m/>
    <n v="67"/>
    <m/>
    <m/>
    <n v="63"/>
    <m/>
    <s v="2"/>
    <x v="0"/>
    <x v="2"/>
  </r>
  <r>
    <x v="4"/>
    <s v="95011300625"/>
    <m/>
    <m/>
    <m/>
    <n v="52"/>
    <m/>
    <m/>
    <m/>
    <m/>
    <n v="70"/>
    <m/>
    <n v="36"/>
    <m/>
    <m/>
    <s v="2"/>
    <x v="0"/>
    <x v="0"/>
  </r>
  <r>
    <x v="4"/>
    <s v="95032804489"/>
    <n v="43"/>
    <n v="43"/>
    <m/>
    <m/>
    <m/>
    <m/>
    <m/>
    <m/>
    <n v="70"/>
    <m/>
    <m/>
    <m/>
    <m/>
    <s v="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0" cacheId="4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T4:U18" firstHeaderRow="1" firstDataRow="1" firstDataCol="1" rowPageCount="1" colPageCount="1"/>
  <pivotFields count="18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">
        <item x="0"/>
        <item x="1"/>
        <item t="default"/>
      </items>
    </pivotField>
    <pivotField axis="axisPage" dataField="1" multipleItemSelectionAllowed="1" showAll="0">
      <items count="6">
        <item h="1" x="4"/>
        <item h="1" x="1"/>
        <item x="0"/>
        <item x="2"/>
        <item x="3"/>
        <item t="default"/>
      </items>
    </pivotField>
  </pivotFields>
  <rowFields count="2">
    <field x="0"/>
    <field x="16"/>
  </rowFields>
  <rowItems count="14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t="grand">
      <x/>
    </i>
  </rowItems>
  <colItems count="1">
    <i/>
  </colItems>
  <pageFields count="1">
    <pageField fld="17" hier="-1"/>
  </pageFields>
  <dataFields count="1">
    <dataField name="Liczba z ile przedmiotów" fld="17" subtotal="count" baseField="0" baseItem="1"/>
  </dataFields>
  <pivotTableStyleInfo name="PivotStyleLight16" showRowHeaders="1" showColHeaders="1" showRowStripes="0" showColStripes="0" showLastColumn="1"/>
  <filters count="1">
    <filter fld="16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19" cacheId="3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4:J7" firstHeaderRow="0" firstDataRow="1" firstDataCol="1"/>
  <pivotFields count="6">
    <pivotField showAll="0"/>
    <pivotField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z Polski-P" fld="3" subtotal="average" baseField="5" baseItem="0" numFmtId="2"/>
    <dataField name="Średnia z Matematyka-P" fld="2" subtotal="average" baseField="5" baseItem="0" numFmtId="2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2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X3:AC9" firstHeaderRow="1" firstDataRow="2" firstDataCol="1" rowPageCount="1" colPageCount="1"/>
  <pivotFields count="22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53"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65"/>
        <item x="148"/>
        <item x="149"/>
        <item x="92"/>
        <item x="0"/>
        <item x="150"/>
        <item x="66"/>
        <item x="1"/>
        <item x="34"/>
        <item x="2"/>
        <item x="93"/>
        <item x="35"/>
        <item x="67"/>
        <item x="68"/>
        <item x="94"/>
        <item x="95"/>
        <item x="36"/>
        <item x="96"/>
        <item x="69"/>
        <item x="70"/>
        <item x="71"/>
        <item x="97"/>
        <item x="37"/>
        <item x="38"/>
        <item x="72"/>
        <item x="3"/>
        <item x="39"/>
        <item x="4"/>
        <item x="5"/>
        <item x="40"/>
        <item x="41"/>
        <item x="6"/>
        <item x="7"/>
        <item x="98"/>
        <item x="99"/>
        <item x="151"/>
        <item x="73"/>
        <item x="8"/>
        <item x="74"/>
        <item x="75"/>
        <item x="100"/>
        <item x="9"/>
        <item x="10"/>
        <item x="42"/>
        <item x="43"/>
        <item x="101"/>
        <item x="44"/>
        <item x="45"/>
        <item x="102"/>
        <item x="46"/>
        <item x="11"/>
        <item x="103"/>
        <item x="47"/>
        <item x="104"/>
        <item x="105"/>
        <item x="106"/>
        <item x="12"/>
        <item x="13"/>
        <item x="14"/>
        <item x="48"/>
        <item x="76"/>
        <item x="77"/>
        <item x="49"/>
        <item x="78"/>
        <item x="79"/>
        <item x="80"/>
        <item x="81"/>
        <item x="15"/>
        <item x="16"/>
        <item x="107"/>
        <item x="82"/>
        <item x="17"/>
        <item x="83"/>
        <item x="84"/>
        <item x="18"/>
        <item x="50"/>
        <item x="108"/>
        <item x="19"/>
        <item x="109"/>
        <item x="51"/>
        <item x="52"/>
        <item x="20"/>
        <item x="53"/>
        <item x="110"/>
        <item x="21"/>
        <item x="85"/>
        <item x="22"/>
        <item x="23"/>
        <item x="111"/>
        <item x="112"/>
        <item x="54"/>
        <item x="24"/>
        <item x="86"/>
        <item x="25"/>
        <item x="113"/>
        <item x="55"/>
        <item x="87"/>
        <item x="56"/>
        <item x="114"/>
        <item x="57"/>
        <item x="58"/>
        <item x="59"/>
        <item x="88"/>
        <item x="60"/>
        <item x="115"/>
        <item x="116"/>
        <item x="117"/>
        <item x="118"/>
        <item x="119"/>
        <item x="89"/>
        <item x="26"/>
        <item x="27"/>
        <item x="61"/>
        <item x="62"/>
        <item x="28"/>
        <item x="63"/>
        <item x="29"/>
        <item x="120"/>
        <item x="121"/>
        <item x="64"/>
        <item x="30"/>
        <item x="31"/>
        <item x="32"/>
        <item x="90"/>
        <item x="122"/>
        <item x="33"/>
        <item x="123"/>
        <item x="91"/>
        <item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5">
        <item h="1" x="1"/>
        <item h="1" x="0"/>
        <item x="3"/>
        <item x="2"/>
        <item t="default"/>
      </items>
    </pivotField>
  </pivotFields>
  <rowFields count="1">
    <field x="1"/>
  </rowFields>
  <rowItems count="5">
    <i>
      <x v="10"/>
    </i>
    <i>
      <x v="73"/>
    </i>
    <i>
      <x v="124"/>
    </i>
    <i>
      <x v="146"/>
    </i>
    <i t="grand">
      <x/>
    </i>
  </rowItems>
  <colFields count="1">
    <field x="0"/>
  </colFields>
  <colItems count="5">
    <i>
      <x/>
    </i>
    <i>
      <x v="1"/>
    </i>
    <i>
      <x v="2"/>
    </i>
    <i>
      <x v="4"/>
    </i>
    <i t="grand">
      <x/>
    </i>
  </colItems>
  <pageFields count="1">
    <pageField fld="21" hier="-1"/>
  </pageFields>
  <dataFields count="1">
    <dataField name="Suma z 100%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atura" connectionId="6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atura" connectionId="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matura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matura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matura" connectionId="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matur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"/>
  <sheetViews>
    <sheetView tabSelected="1" workbookViewId="0">
      <selection activeCell="P2" sqref="P2"/>
    </sheetView>
  </sheetViews>
  <sheetFormatPr defaultRowHeight="15" x14ac:dyDescent="0.25"/>
  <cols>
    <col min="1" max="1" width="6.5703125" bestFit="1" customWidth="1"/>
    <col min="2" max="2" width="13.7109375" customWidth="1"/>
    <col min="3" max="3" width="10" bestFit="1" customWidth="1"/>
    <col min="4" max="4" width="9.5703125" bestFit="1" customWidth="1"/>
    <col min="5" max="5" width="8.28515625" bestFit="1" customWidth="1"/>
    <col min="6" max="6" width="11.42578125" bestFit="1" customWidth="1"/>
    <col min="7" max="7" width="9.7109375" bestFit="1" customWidth="1"/>
    <col min="8" max="8" width="13.7109375" bestFit="1" customWidth="1"/>
    <col min="9" max="9" width="11" bestFit="1" customWidth="1"/>
    <col min="10" max="10" width="11.140625" bestFit="1" customWidth="1"/>
    <col min="11" max="11" width="12.140625" bestFit="1" customWidth="1"/>
    <col min="12" max="12" width="11.85546875" bestFit="1" customWidth="1"/>
    <col min="13" max="13" width="14" bestFit="1" customWidth="1"/>
    <col min="14" max="14" width="8.140625" bestFit="1" customWidth="1"/>
    <col min="15" max="15" width="7.140625" bestFit="1" customWidth="1"/>
    <col min="16" max="16" width="13.140625" customWidth="1"/>
    <col min="17" max="17" width="17.85546875" customWidth="1"/>
    <col min="20" max="20" width="17.7109375" customWidth="1"/>
    <col min="21" max="21" width="23" customWidth="1"/>
  </cols>
  <sheetData>
    <row r="1" spans="1:2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2" t="s">
        <v>13</v>
      </c>
      <c r="L1" s="2" t="s">
        <v>15</v>
      </c>
      <c r="M1" s="2" t="s">
        <v>17</v>
      </c>
      <c r="N1" s="2" t="s">
        <v>19</v>
      </c>
      <c r="O1" s="2" t="s">
        <v>20</v>
      </c>
      <c r="P1" s="2" t="s">
        <v>200</v>
      </c>
      <c r="Q1" s="2" t="s">
        <v>199</v>
      </c>
      <c r="R1" s="2" t="s">
        <v>205</v>
      </c>
    </row>
    <row r="2" spans="1:21" x14ac:dyDescent="0.25">
      <c r="A2" t="s">
        <v>21</v>
      </c>
      <c r="B2" s="1" t="s">
        <v>26</v>
      </c>
      <c r="C2">
        <v>52</v>
      </c>
      <c r="I2">
        <v>91</v>
      </c>
      <c r="J2">
        <v>88</v>
      </c>
      <c r="P2" t="str">
        <f>MID(B2,10,1)</f>
        <v>2</v>
      </c>
      <c r="Q2" t="str">
        <f>IF(MOD(P2,2) = 0,"kobieta","mężczyzna")</f>
        <v>kobieta</v>
      </c>
      <c r="R2">
        <f>COUNTA(C2:O2)</f>
        <v>3</v>
      </c>
      <c r="T2" s="4" t="s">
        <v>205</v>
      </c>
      <c r="U2" t="s">
        <v>183</v>
      </c>
    </row>
    <row r="3" spans="1:21" x14ac:dyDescent="0.25">
      <c r="A3" t="s">
        <v>21</v>
      </c>
      <c r="B3" s="1" t="s">
        <v>27</v>
      </c>
      <c r="C3">
        <v>33</v>
      </c>
      <c r="D3">
        <v>52</v>
      </c>
      <c r="P3" t="str">
        <f t="shared" ref="P3:P66" si="0">MID(B3,10,1)</f>
        <v>4</v>
      </c>
      <c r="Q3" t="str">
        <f t="shared" ref="Q3:Q66" si="1">IF(MOD(P3,2) = 0,"kobieta","mężczyzna")</f>
        <v>kobieta</v>
      </c>
      <c r="R3">
        <f t="shared" ref="R3:R66" si="2">COUNTA(C3:O3)</f>
        <v>2</v>
      </c>
    </row>
    <row r="4" spans="1:21" x14ac:dyDescent="0.25">
      <c r="A4" t="s">
        <v>21</v>
      </c>
      <c r="B4" s="1" t="s">
        <v>28</v>
      </c>
      <c r="C4">
        <v>70</v>
      </c>
      <c r="D4">
        <v>58</v>
      </c>
      <c r="P4" t="str">
        <f t="shared" si="0"/>
        <v>4</v>
      </c>
      <c r="Q4" t="str">
        <f t="shared" si="1"/>
        <v>kobieta</v>
      </c>
      <c r="R4">
        <f t="shared" si="2"/>
        <v>2</v>
      </c>
      <c r="T4" s="4" t="s">
        <v>178</v>
      </c>
      <c r="U4" t="s">
        <v>206</v>
      </c>
    </row>
    <row r="5" spans="1:21" x14ac:dyDescent="0.25">
      <c r="A5" t="s">
        <v>21</v>
      </c>
      <c r="B5" s="1" t="s">
        <v>29</v>
      </c>
      <c r="C5">
        <v>90</v>
      </c>
      <c r="D5">
        <v>78</v>
      </c>
      <c r="I5">
        <v>68</v>
      </c>
      <c r="P5" t="str">
        <f t="shared" si="0"/>
        <v>0</v>
      </c>
      <c r="Q5" t="str">
        <f t="shared" si="1"/>
        <v>kobieta</v>
      </c>
      <c r="R5">
        <f t="shared" si="2"/>
        <v>3</v>
      </c>
      <c r="T5" s="5" t="s">
        <v>21</v>
      </c>
      <c r="U5" s="6">
        <v>11</v>
      </c>
    </row>
    <row r="6" spans="1:21" x14ac:dyDescent="0.25">
      <c r="A6" t="s">
        <v>21</v>
      </c>
      <c r="B6" s="1" t="s">
        <v>30</v>
      </c>
      <c r="C6">
        <v>62</v>
      </c>
      <c r="D6">
        <v>62</v>
      </c>
      <c r="P6" t="str">
        <f t="shared" si="0"/>
        <v>1</v>
      </c>
      <c r="Q6" t="str">
        <f t="shared" si="1"/>
        <v>mężczyzna</v>
      </c>
      <c r="R6">
        <f t="shared" si="2"/>
        <v>2</v>
      </c>
      <c r="T6" s="7" t="s">
        <v>203</v>
      </c>
      <c r="U6" s="6">
        <v>11</v>
      </c>
    </row>
    <row r="7" spans="1:21" x14ac:dyDescent="0.25">
      <c r="A7" t="s">
        <v>21</v>
      </c>
      <c r="B7" s="1" t="s">
        <v>31</v>
      </c>
      <c r="C7">
        <v>65</v>
      </c>
      <c r="D7">
        <v>65</v>
      </c>
      <c r="P7" t="str">
        <f t="shared" si="0"/>
        <v>1</v>
      </c>
      <c r="Q7" t="str">
        <f t="shared" si="1"/>
        <v>mężczyzna</v>
      </c>
      <c r="R7">
        <f t="shared" si="2"/>
        <v>2</v>
      </c>
      <c r="T7" s="5" t="s">
        <v>22</v>
      </c>
      <c r="U7" s="6">
        <v>25</v>
      </c>
    </row>
    <row r="8" spans="1:21" x14ac:dyDescent="0.25">
      <c r="A8" t="s">
        <v>21</v>
      </c>
      <c r="B8" s="1" t="s">
        <v>32</v>
      </c>
      <c r="D8">
        <v>58</v>
      </c>
      <c r="I8">
        <v>61</v>
      </c>
      <c r="M8">
        <v>34</v>
      </c>
      <c r="P8" t="str">
        <f t="shared" si="0"/>
        <v>8</v>
      </c>
      <c r="Q8" t="str">
        <f t="shared" si="1"/>
        <v>kobieta</v>
      </c>
      <c r="R8">
        <f t="shared" si="2"/>
        <v>3</v>
      </c>
      <c r="T8" s="7" t="s">
        <v>203</v>
      </c>
      <c r="U8" s="6">
        <v>18</v>
      </c>
    </row>
    <row r="9" spans="1:21" x14ac:dyDescent="0.25">
      <c r="A9" t="s">
        <v>21</v>
      </c>
      <c r="B9" s="1" t="s">
        <v>33</v>
      </c>
      <c r="C9">
        <v>77</v>
      </c>
      <c r="D9">
        <v>85</v>
      </c>
      <c r="P9" t="str">
        <f t="shared" si="0"/>
        <v>6</v>
      </c>
      <c r="Q9" t="str">
        <f t="shared" si="1"/>
        <v>kobieta</v>
      </c>
      <c r="R9">
        <f t="shared" si="2"/>
        <v>2</v>
      </c>
      <c r="T9" s="7" t="s">
        <v>204</v>
      </c>
      <c r="U9" s="6">
        <v>7</v>
      </c>
    </row>
    <row r="10" spans="1:21" x14ac:dyDescent="0.25">
      <c r="A10" t="s">
        <v>21</v>
      </c>
      <c r="B10" s="1" t="s">
        <v>34</v>
      </c>
      <c r="C10">
        <v>93</v>
      </c>
      <c r="D10">
        <v>67</v>
      </c>
      <c r="P10" t="str">
        <f t="shared" si="0"/>
        <v>3</v>
      </c>
      <c r="Q10" t="str">
        <f t="shared" si="1"/>
        <v>mężczyzna</v>
      </c>
      <c r="R10">
        <f t="shared" si="2"/>
        <v>2</v>
      </c>
      <c r="T10" s="5" t="s">
        <v>23</v>
      </c>
      <c r="U10" s="6">
        <v>12</v>
      </c>
    </row>
    <row r="11" spans="1:21" x14ac:dyDescent="0.25">
      <c r="A11" t="s">
        <v>21</v>
      </c>
      <c r="B11" s="1" t="s">
        <v>35</v>
      </c>
      <c r="C11">
        <v>57</v>
      </c>
      <c r="D11">
        <v>47</v>
      </c>
      <c r="P11" t="str">
        <f t="shared" si="0"/>
        <v>6</v>
      </c>
      <c r="Q11" t="str">
        <f t="shared" si="1"/>
        <v>kobieta</v>
      </c>
      <c r="R11">
        <f t="shared" si="2"/>
        <v>2</v>
      </c>
      <c r="T11" s="7" t="s">
        <v>203</v>
      </c>
      <c r="U11" s="6">
        <v>9</v>
      </c>
    </row>
    <row r="12" spans="1:21" x14ac:dyDescent="0.25">
      <c r="A12" t="s">
        <v>21</v>
      </c>
      <c r="B12" s="1" t="s">
        <v>36</v>
      </c>
      <c r="C12">
        <v>60</v>
      </c>
      <c r="I12">
        <v>89</v>
      </c>
      <c r="P12" t="str">
        <f t="shared" si="0"/>
        <v>6</v>
      </c>
      <c r="Q12" t="str">
        <f t="shared" si="1"/>
        <v>kobieta</v>
      </c>
      <c r="R12">
        <f t="shared" si="2"/>
        <v>2</v>
      </c>
      <c r="T12" s="7" t="s">
        <v>204</v>
      </c>
      <c r="U12" s="6">
        <v>3</v>
      </c>
    </row>
    <row r="13" spans="1:21" x14ac:dyDescent="0.25">
      <c r="A13" t="s">
        <v>21</v>
      </c>
      <c r="B13" s="1" t="s">
        <v>37</v>
      </c>
      <c r="F13">
        <v>90</v>
      </c>
      <c r="I13">
        <v>100</v>
      </c>
      <c r="M13">
        <v>86</v>
      </c>
      <c r="P13" t="str">
        <f t="shared" si="0"/>
        <v>4</v>
      </c>
      <c r="Q13" t="str">
        <f t="shared" si="1"/>
        <v>kobieta</v>
      </c>
      <c r="R13">
        <f t="shared" si="2"/>
        <v>3</v>
      </c>
      <c r="T13" s="5" t="s">
        <v>24</v>
      </c>
      <c r="U13" s="6">
        <v>27</v>
      </c>
    </row>
    <row r="14" spans="1:21" x14ac:dyDescent="0.25">
      <c r="A14" t="s">
        <v>21</v>
      </c>
      <c r="B14" s="1" t="s">
        <v>38</v>
      </c>
      <c r="C14">
        <v>95</v>
      </c>
      <c r="D14">
        <v>88</v>
      </c>
      <c r="P14" t="str">
        <f t="shared" si="0"/>
        <v>0</v>
      </c>
      <c r="Q14" t="str">
        <f t="shared" si="1"/>
        <v>kobieta</v>
      </c>
      <c r="R14">
        <f t="shared" si="2"/>
        <v>2</v>
      </c>
      <c r="T14" s="7" t="s">
        <v>203</v>
      </c>
      <c r="U14" s="6">
        <v>6</v>
      </c>
    </row>
    <row r="15" spans="1:21" x14ac:dyDescent="0.25">
      <c r="A15" t="s">
        <v>21</v>
      </c>
      <c r="B15" s="1" t="s">
        <v>39</v>
      </c>
      <c r="C15">
        <v>75</v>
      </c>
      <c r="D15">
        <v>67</v>
      </c>
      <c r="P15" t="str">
        <f t="shared" si="0"/>
        <v>4</v>
      </c>
      <c r="Q15" t="str">
        <f t="shared" si="1"/>
        <v>kobieta</v>
      </c>
      <c r="R15">
        <f t="shared" si="2"/>
        <v>2</v>
      </c>
      <c r="T15" s="7" t="s">
        <v>204</v>
      </c>
      <c r="U15" s="6">
        <v>21</v>
      </c>
    </row>
    <row r="16" spans="1:21" x14ac:dyDescent="0.25">
      <c r="A16" t="s">
        <v>21</v>
      </c>
      <c r="B16" s="1" t="s">
        <v>40</v>
      </c>
      <c r="C16">
        <v>85</v>
      </c>
      <c r="D16">
        <v>83</v>
      </c>
      <c r="E16">
        <v>48</v>
      </c>
      <c r="P16" t="str">
        <f t="shared" si="0"/>
        <v>1</v>
      </c>
      <c r="Q16" t="str">
        <f t="shared" si="1"/>
        <v>mężczyzna</v>
      </c>
      <c r="R16">
        <f t="shared" si="2"/>
        <v>3</v>
      </c>
      <c r="T16" s="5" t="s">
        <v>25</v>
      </c>
      <c r="U16" s="6">
        <v>13</v>
      </c>
    </row>
    <row r="17" spans="1:21" x14ac:dyDescent="0.25">
      <c r="A17" t="s">
        <v>21</v>
      </c>
      <c r="B17" s="1" t="s">
        <v>41</v>
      </c>
      <c r="C17">
        <v>62</v>
      </c>
      <c r="D17">
        <v>48</v>
      </c>
      <c r="P17" t="str">
        <f t="shared" si="0"/>
        <v>6</v>
      </c>
      <c r="Q17" t="str">
        <f t="shared" si="1"/>
        <v>kobieta</v>
      </c>
      <c r="R17">
        <f t="shared" si="2"/>
        <v>2</v>
      </c>
      <c r="T17" s="7" t="s">
        <v>203</v>
      </c>
      <c r="U17" s="6">
        <v>13</v>
      </c>
    </row>
    <row r="18" spans="1:21" x14ac:dyDescent="0.25">
      <c r="A18" t="s">
        <v>21</v>
      </c>
      <c r="B18" s="1" t="s">
        <v>42</v>
      </c>
      <c r="C18">
        <v>68</v>
      </c>
      <c r="D18">
        <v>62</v>
      </c>
      <c r="I18">
        <v>93</v>
      </c>
      <c r="P18" t="str">
        <f t="shared" si="0"/>
        <v>0</v>
      </c>
      <c r="Q18" t="str">
        <f t="shared" si="1"/>
        <v>kobieta</v>
      </c>
      <c r="R18">
        <f t="shared" si="2"/>
        <v>3</v>
      </c>
      <c r="T18" s="5" t="s">
        <v>179</v>
      </c>
      <c r="U18" s="6">
        <v>88</v>
      </c>
    </row>
    <row r="19" spans="1:21" x14ac:dyDescent="0.25">
      <c r="A19" t="s">
        <v>21</v>
      </c>
      <c r="B19" s="1" t="s">
        <v>43</v>
      </c>
      <c r="C19">
        <v>55</v>
      </c>
      <c r="D19">
        <v>62</v>
      </c>
      <c r="I19">
        <v>86</v>
      </c>
      <c r="P19" t="str">
        <f t="shared" si="0"/>
        <v>4</v>
      </c>
      <c r="Q19" t="str">
        <f t="shared" si="1"/>
        <v>kobieta</v>
      </c>
      <c r="R19">
        <f t="shared" si="2"/>
        <v>3</v>
      </c>
    </row>
    <row r="20" spans="1:21" x14ac:dyDescent="0.25">
      <c r="A20" t="s">
        <v>21</v>
      </c>
      <c r="B20" s="1" t="s">
        <v>44</v>
      </c>
      <c r="C20">
        <v>68</v>
      </c>
      <c r="D20">
        <v>45</v>
      </c>
      <c r="P20" t="str">
        <f t="shared" si="0"/>
        <v>0</v>
      </c>
      <c r="Q20" t="str">
        <f t="shared" si="1"/>
        <v>kobieta</v>
      </c>
      <c r="R20">
        <f t="shared" si="2"/>
        <v>2</v>
      </c>
    </row>
    <row r="21" spans="1:21" x14ac:dyDescent="0.25">
      <c r="A21" t="s">
        <v>21</v>
      </c>
      <c r="B21" s="1" t="s">
        <v>45</v>
      </c>
      <c r="C21">
        <v>78</v>
      </c>
      <c r="I21">
        <v>77</v>
      </c>
      <c r="P21" t="str">
        <f t="shared" si="0"/>
        <v>8</v>
      </c>
      <c r="Q21" t="str">
        <f t="shared" si="1"/>
        <v>kobieta</v>
      </c>
      <c r="R21">
        <f t="shared" si="2"/>
        <v>2</v>
      </c>
    </row>
    <row r="22" spans="1:21" x14ac:dyDescent="0.25">
      <c r="A22" t="s">
        <v>21</v>
      </c>
      <c r="B22" s="1" t="s">
        <v>46</v>
      </c>
      <c r="C22">
        <v>72</v>
      </c>
      <c r="D22">
        <v>68</v>
      </c>
      <c r="P22" t="str">
        <f t="shared" si="0"/>
        <v>2</v>
      </c>
      <c r="Q22" t="str">
        <f t="shared" si="1"/>
        <v>kobieta</v>
      </c>
      <c r="R22">
        <f t="shared" si="2"/>
        <v>2</v>
      </c>
    </row>
    <row r="23" spans="1:21" x14ac:dyDescent="0.25">
      <c r="A23" t="s">
        <v>21</v>
      </c>
      <c r="B23" s="1" t="s">
        <v>47</v>
      </c>
      <c r="C23">
        <v>55</v>
      </c>
      <c r="D23">
        <v>50</v>
      </c>
      <c r="P23" t="str">
        <f t="shared" si="0"/>
        <v>4</v>
      </c>
      <c r="Q23" t="str">
        <f t="shared" si="1"/>
        <v>kobieta</v>
      </c>
      <c r="R23">
        <f t="shared" si="2"/>
        <v>2</v>
      </c>
    </row>
    <row r="24" spans="1:21" x14ac:dyDescent="0.25">
      <c r="A24" t="s">
        <v>21</v>
      </c>
      <c r="B24" s="1" t="s">
        <v>48</v>
      </c>
      <c r="C24">
        <v>67</v>
      </c>
      <c r="D24">
        <v>60</v>
      </c>
      <c r="P24" t="str">
        <f t="shared" si="0"/>
        <v>4</v>
      </c>
      <c r="Q24" t="str">
        <f t="shared" si="1"/>
        <v>kobieta</v>
      </c>
      <c r="R24">
        <f t="shared" si="2"/>
        <v>2</v>
      </c>
    </row>
    <row r="25" spans="1:21" x14ac:dyDescent="0.25">
      <c r="A25" t="s">
        <v>21</v>
      </c>
      <c r="B25" s="1" t="s">
        <v>49</v>
      </c>
      <c r="C25">
        <v>45</v>
      </c>
      <c r="D25">
        <v>30</v>
      </c>
      <c r="P25" t="str">
        <f t="shared" si="0"/>
        <v>4</v>
      </c>
      <c r="Q25" t="str">
        <f t="shared" si="1"/>
        <v>kobieta</v>
      </c>
      <c r="R25">
        <f t="shared" si="2"/>
        <v>2</v>
      </c>
    </row>
    <row r="26" spans="1:21" x14ac:dyDescent="0.25">
      <c r="A26" t="s">
        <v>21</v>
      </c>
      <c r="B26" s="1" t="s">
        <v>50</v>
      </c>
      <c r="C26">
        <v>83</v>
      </c>
      <c r="D26">
        <v>50</v>
      </c>
      <c r="I26">
        <v>83</v>
      </c>
      <c r="P26" t="str">
        <f t="shared" si="0"/>
        <v>6</v>
      </c>
      <c r="Q26" t="str">
        <f t="shared" si="1"/>
        <v>kobieta</v>
      </c>
      <c r="R26">
        <f t="shared" si="2"/>
        <v>3</v>
      </c>
    </row>
    <row r="27" spans="1:21" x14ac:dyDescent="0.25">
      <c r="A27" t="s">
        <v>21</v>
      </c>
      <c r="B27" s="1" t="s">
        <v>51</v>
      </c>
      <c r="C27">
        <v>80</v>
      </c>
      <c r="I27">
        <v>83</v>
      </c>
      <c r="P27" t="str">
        <f t="shared" si="0"/>
        <v>6</v>
      </c>
      <c r="Q27" t="str">
        <f t="shared" si="1"/>
        <v>kobieta</v>
      </c>
      <c r="R27">
        <f t="shared" si="2"/>
        <v>2</v>
      </c>
    </row>
    <row r="28" spans="1:21" x14ac:dyDescent="0.25">
      <c r="A28" t="s">
        <v>21</v>
      </c>
      <c r="B28" s="1" t="s">
        <v>52</v>
      </c>
      <c r="C28">
        <v>70</v>
      </c>
      <c r="D28">
        <v>60</v>
      </c>
      <c r="P28" t="str">
        <f t="shared" si="0"/>
        <v>6</v>
      </c>
      <c r="Q28" t="str">
        <f t="shared" si="1"/>
        <v>kobieta</v>
      </c>
      <c r="R28">
        <f t="shared" si="2"/>
        <v>2</v>
      </c>
    </row>
    <row r="29" spans="1:21" x14ac:dyDescent="0.25">
      <c r="A29" t="s">
        <v>21</v>
      </c>
      <c r="B29" s="1" t="s">
        <v>53</v>
      </c>
      <c r="E29">
        <v>55</v>
      </c>
      <c r="I29">
        <v>86</v>
      </c>
      <c r="P29" t="str">
        <f t="shared" si="0"/>
        <v>4</v>
      </c>
      <c r="Q29" t="str">
        <f t="shared" si="1"/>
        <v>kobieta</v>
      </c>
      <c r="R29">
        <f t="shared" si="2"/>
        <v>2</v>
      </c>
    </row>
    <row r="30" spans="1:21" x14ac:dyDescent="0.25">
      <c r="A30" t="s">
        <v>21</v>
      </c>
      <c r="B30" s="1" t="s">
        <v>54</v>
      </c>
      <c r="C30">
        <v>73</v>
      </c>
      <c r="D30">
        <v>78</v>
      </c>
      <c r="P30" t="str">
        <f t="shared" si="0"/>
        <v>4</v>
      </c>
      <c r="Q30" t="str">
        <f t="shared" si="1"/>
        <v>kobieta</v>
      </c>
      <c r="R30">
        <f t="shared" si="2"/>
        <v>2</v>
      </c>
    </row>
    <row r="31" spans="1:21" x14ac:dyDescent="0.25">
      <c r="A31" t="s">
        <v>21</v>
      </c>
      <c r="B31" s="1" t="s">
        <v>55</v>
      </c>
      <c r="C31">
        <v>80</v>
      </c>
      <c r="D31">
        <v>60</v>
      </c>
      <c r="I31">
        <v>67</v>
      </c>
      <c r="P31" t="str">
        <f t="shared" si="0"/>
        <v>4</v>
      </c>
      <c r="Q31" t="str">
        <f t="shared" si="1"/>
        <v>kobieta</v>
      </c>
      <c r="R31">
        <f t="shared" si="2"/>
        <v>3</v>
      </c>
    </row>
    <row r="32" spans="1:21" x14ac:dyDescent="0.25">
      <c r="A32" t="s">
        <v>21</v>
      </c>
      <c r="B32" s="1" t="s">
        <v>56</v>
      </c>
      <c r="C32">
        <v>93</v>
      </c>
      <c r="D32">
        <v>88</v>
      </c>
      <c r="I32">
        <v>76</v>
      </c>
      <c r="P32" t="str">
        <f t="shared" si="0"/>
        <v>0</v>
      </c>
      <c r="Q32" t="str">
        <f t="shared" si="1"/>
        <v>kobieta</v>
      </c>
      <c r="R32">
        <f t="shared" si="2"/>
        <v>3</v>
      </c>
    </row>
    <row r="33" spans="1:18" x14ac:dyDescent="0.25">
      <c r="A33" t="s">
        <v>21</v>
      </c>
      <c r="B33" s="1" t="s">
        <v>57</v>
      </c>
      <c r="C33">
        <v>85</v>
      </c>
      <c r="D33">
        <v>93</v>
      </c>
      <c r="E33">
        <v>82</v>
      </c>
      <c r="M33">
        <v>74</v>
      </c>
      <c r="P33" t="str">
        <f t="shared" si="0"/>
        <v>6</v>
      </c>
      <c r="Q33" t="str">
        <f t="shared" si="1"/>
        <v>kobieta</v>
      </c>
      <c r="R33">
        <f t="shared" si="2"/>
        <v>4</v>
      </c>
    </row>
    <row r="34" spans="1:18" x14ac:dyDescent="0.25">
      <c r="A34" t="s">
        <v>21</v>
      </c>
      <c r="B34" s="1" t="s">
        <v>58</v>
      </c>
      <c r="C34">
        <v>90</v>
      </c>
      <c r="D34">
        <v>82</v>
      </c>
      <c r="P34" t="str">
        <f t="shared" si="0"/>
        <v>3</v>
      </c>
      <c r="Q34" t="str">
        <f t="shared" si="1"/>
        <v>mężczyzna</v>
      </c>
      <c r="R34">
        <f t="shared" si="2"/>
        <v>2</v>
      </c>
    </row>
    <row r="35" spans="1:18" x14ac:dyDescent="0.25">
      <c r="A35" t="s">
        <v>21</v>
      </c>
      <c r="B35" s="1" t="s">
        <v>59</v>
      </c>
      <c r="C35">
        <v>87</v>
      </c>
      <c r="N35">
        <v>73</v>
      </c>
      <c r="O35">
        <v>64</v>
      </c>
      <c r="P35" t="str">
        <f t="shared" si="0"/>
        <v>0</v>
      </c>
      <c r="Q35" t="str">
        <f t="shared" si="1"/>
        <v>kobieta</v>
      </c>
      <c r="R35">
        <f t="shared" si="2"/>
        <v>3</v>
      </c>
    </row>
    <row r="36" spans="1:18" x14ac:dyDescent="0.25">
      <c r="A36" t="s">
        <v>22</v>
      </c>
      <c r="B36" s="1" t="s">
        <v>60</v>
      </c>
      <c r="I36">
        <v>60</v>
      </c>
      <c r="N36">
        <v>75</v>
      </c>
      <c r="P36" t="str">
        <f t="shared" si="0"/>
        <v>1</v>
      </c>
      <c r="Q36" t="str">
        <f t="shared" si="1"/>
        <v>mężczyzna</v>
      </c>
      <c r="R36">
        <f t="shared" si="2"/>
        <v>2</v>
      </c>
    </row>
    <row r="37" spans="1:18" x14ac:dyDescent="0.25">
      <c r="A37" t="s">
        <v>22</v>
      </c>
      <c r="B37" s="1" t="s">
        <v>61</v>
      </c>
      <c r="I37">
        <v>87</v>
      </c>
      <c r="N37">
        <v>70</v>
      </c>
      <c r="O37">
        <v>44</v>
      </c>
      <c r="P37" t="str">
        <f t="shared" si="0"/>
        <v>8</v>
      </c>
      <c r="Q37" t="str">
        <f t="shared" si="1"/>
        <v>kobieta</v>
      </c>
      <c r="R37">
        <f t="shared" si="2"/>
        <v>3</v>
      </c>
    </row>
    <row r="38" spans="1:18" x14ac:dyDescent="0.25">
      <c r="A38" t="s">
        <v>22</v>
      </c>
      <c r="B38" s="1" t="s">
        <v>62</v>
      </c>
      <c r="G38">
        <v>92</v>
      </c>
      <c r="I38">
        <v>81</v>
      </c>
      <c r="N38">
        <v>70</v>
      </c>
      <c r="P38" t="str">
        <f t="shared" si="0"/>
        <v>2</v>
      </c>
      <c r="Q38" t="str">
        <f t="shared" si="1"/>
        <v>kobieta</v>
      </c>
      <c r="R38">
        <f t="shared" si="2"/>
        <v>3</v>
      </c>
    </row>
    <row r="39" spans="1:18" x14ac:dyDescent="0.25">
      <c r="A39" t="s">
        <v>22</v>
      </c>
      <c r="B39" s="1" t="s">
        <v>63</v>
      </c>
      <c r="G39">
        <v>86</v>
      </c>
      <c r="I39">
        <v>90</v>
      </c>
      <c r="N39">
        <v>68</v>
      </c>
      <c r="O39">
        <v>78</v>
      </c>
      <c r="P39" t="str">
        <f t="shared" si="0"/>
        <v>0</v>
      </c>
      <c r="Q39" t="str">
        <f t="shared" si="1"/>
        <v>kobieta</v>
      </c>
      <c r="R39">
        <f t="shared" si="2"/>
        <v>4</v>
      </c>
    </row>
    <row r="40" spans="1:18" x14ac:dyDescent="0.25">
      <c r="A40" t="s">
        <v>22</v>
      </c>
      <c r="B40" s="1" t="s">
        <v>64</v>
      </c>
      <c r="G40">
        <v>90</v>
      </c>
      <c r="I40">
        <v>93</v>
      </c>
      <c r="M40">
        <v>36</v>
      </c>
      <c r="N40">
        <v>73</v>
      </c>
      <c r="O40">
        <v>100</v>
      </c>
      <c r="P40" t="str">
        <f t="shared" si="0"/>
        <v>3</v>
      </c>
      <c r="Q40" t="str">
        <f t="shared" si="1"/>
        <v>mężczyzna</v>
      </c>
      <c r="R40">
        <f t="shared" si="2"/>
        <v>5</v>
      </c>
    </row>
    <row r="41" spans="1:18" x14ac:dyDescent="0.25">
      <c r="A41" t="s">
        <v>22</v>
      </c>
      <c r="B41" s="1" t="s">
        <v>65</v>
      </c>
      <c r="I41">
        <v>44</v>
      </c>
      <c r="N41">
        <v>53</v>
      </c>
      <c r="O41">
        <v>34</v>
      </c>
      <c r="P41" t="str">
        <f t="shared" si="0"/>
        <v>0</v>
      </c>
      <c r="Q41" t="str">
        <f t="shared" si="1"/>
        <v>kobieta</v>
      </c>
      <c r="R41">
        <f t="shared" si="2"/>
        <v>3</v>
      </c>
    </row>
    <row r="42" spans="1:18" x14ac:dyDescent="0.25">
      <c r="A42" t="s">
        <v>22</v>
      </c>
      <c r="B42" s="1" t="s">
        <v>66</v>
      </c>
      <c r="G42">
        <v>88</v>
      </c>
      <c r="I42">
        <v>95</v>
      </c>
      <c r="L42">
        <v>69</v>
      </c>
      <c r="N42">
        <v>80</v>
      </c>
      <c r="O42">
        <v>72</v>
      </c>
      <c r="P42" t="str">
        <f t="shared" si="0"/>
        <v>4</v>
      </c>
      <c r="Q42" t="str">
        <f t="shared" si="1"/>
        <v>kobieta</v>
      </c>
      <c r="R42">
        <f t="shared" si="2"/>
        <v>5</v>
      </c>
    </row>
    <row r="43" spans="1:18" x14ac:dyDescent="0.25">
      <c r="A43" t="s">
        <v>22</v>
      </c>
      <c r="B43" s="1" t="s">
        <v>67</v>
      </c>
      <c r="G43">
        <v>92</v>
      </c>
      <c r="I43">
        <v>95</v>
      </c>
      <c r="N43">
        <v>55</v>
      </c>
      <c r="O43">
        <v>72</v>
      </c>
      <c r="P43" t="str">
        <f t="shared" si="0"/>
        <v>9</v>
      </c>
      <c r="Q43" t="str">
        <f t="shared" si="1"/>
        <v>mężczyzna</v>
      </c>
      <c r="R43">
        <f t="shared" si="2"/>
        <v>4</v>
      </c>
    </row>
    <row r="44" spans="1:18" x14ac:dyDescent="0.25">
      <c r="A44" t="s">
        <v>22</v>
      </c>
      <c r="B44" s="1" t="s">
        <v>68</v>
      </c>
      <c r="G44">
        <v>94</v>
      </c>
      <c r="I44">
        <v>67</v>
      </c>
      <c r="N44">
        <v>60</v>
      </c>
      <c r="P44" t="str">
        <f t="shared" si="0"/>
        <v>5</v>
      </c>
      <c r="Q44" t="str">
        <f t="shared" si="1"/>
        <v>mężczyzna</v>
      </c>
      <c r="R44">
        <f t="shared" si="2"/>
        <v>3</v>
      </c>
    </row>
    <row r="45" spans="1:18" x14ac:dyDescent="0.25">
      <c r="A45" t="s">
        <v>22</v>
      </c>
      <c r="B45" s="1" t="s">
        <v>69</v>
      </c>
      <c r="G45">
        <v>66</v>
      </c>
      <c r="I45">
        <v>67</v>
      </c>
      <c r="N45">
        <v>80</v>
      </c>
      <c r="O45">
        <v>68</v>
      </c>
      <c r="P45" t="str">
        <f t="shared" si="0"/>
        <v>8</v>
      </c>
      <c r="Q45" t="str">
        <f t="shared" si="1"/>
        <v>kobieta</v>
      </c>
      <c r="R45">
        <f t="shared" si="2"/>
        <v>4</v>
      </c>
    </row>
    <row r="46" spans="1:18" x14ac:dyDescent="0.25">
      <c r="A46" t="s">
        <v>22</v>
      </c>
      <c r="B46" s="1" t="s">
        <v>70</v>
      </c>
      <c r="I46">
        <v>92</v>
      </c>
      <c r="N46">
        <v>45</v>
      </c>
      <c r="P46" t="str">
        <f t="shared" si="0"/>
        <v>0</v>
      </c>
      <c r="Q46" t="str">
        <f t="shared" si="1"/>
        <v>kobieta</v>
      </c>
      <c r="R46">
        <f t="shared" si="2"/>
        <v>2</v>
      </c>
    </row>
    <row r="47" spans="1:18" x14ac:dyDescent="0.25">
      <c r="A47" t="s">
        <v>22</v>
      </c>
      <c r="B47" s="1" t="s">
        <v>71</v>
      </c>
      <c r="I47">
        <v>63</v>
      </c>
      <c r="N47">
        <v>58</v>
      </c>
      <c r="O47">
        <v>48</v>
      </c>
      <c r="P47" t="str">
        <f t="shared" si="0"/>
        <v>8</v>
      </c>
      <c r="Q47" t="str">
        <f t="shared" si="1"/>
        <v>kobieta</v>
      </c>
      <c r="R47">
        <f t="shared" si="2"/>
        <v>3</v>
      </c>
    </row>
    <row r="48" spans="1:18" x14ac:dyDescent="0.25">
      <c r="A48" t="s">
        <v>22</v>
      </c>
      <c r="B48" s="1" t="s">
        <v>72</v>
      </c>
      <c r="I48">
        <v>69</v>
      </c>
      <c r="N48">
        <v>70</v>
      </c>
      <c r="O48">
        <v>38</v>
      </c>
      <c r="P48" t="str">
        <f t="shared" si="0"/>
        <v>0</v>
      </c>
      <c r="Q48" t="str">
        <f t="shared" si="1"/>
        <v>kobieta</v>
      </c>
      <c r="R48">
        <f t="shared" si="2"/>
        <v>3</v>
      </c>
    </row>
    <row r="49" spans="1:18" x14ac:dyDescent="0.25">
      <c r="A49" t="s">
        <v>22</v>
      </c>
      <c r="B49" s="1" t="s">
        <v>73</v>
      </c>
      <c r="C49">
        <v>73</v>
      </c>
      <c r="D49">
        <v>65</v>
      </c>
      <c r="P49" t="str">
        <f t="shared" si="0"/>
        <v>9</v>
      </c>
      <c r="Q49" t="str">
        <f t="shared" si="1"/>
        <v>mężczyzna</v>
      </c>
      <c r="R49">
        <f t="shared" si="2"/>
        <v>2</v>
      </c>
    </row>
    <row r="50" spans="1:18" x14ac:dyDescent="0.25">
      <c r="A50" t="s">
        <v>22</v>
      </c>
      <c r="B50" s="1" t="s">
        <v>74</v>
      </c>
      <c r="C50">
        <v>50</v>
      </c>
      <c r="D50">
        <v>47</v>
      </c>
      <c r="P50" t="str">
        <f t="shared" si="0"/>
        <v>4</v>
      </c>
      <c r="Q50" t="str">
        <f t="shared" si="1"/>
        <v>kobieta</v>
      </c>
      <c r="R50">
        <f t="shared" si="2"/>
        <v>2</v>
      </c>
    </row>
    <row r="51" spans="1:18" x14ac:dyDescent="0.25">
      <c r="A51" t="s">
        <v>22</v>
      </c>
      <c r="B51" s="1" t="s">
        <v>75</v>
      </c>
      <c r="G51">
        <v>92</v>
      </c>
      <c r="I51">
        <v>59</v>
      </c>
      <c r="N51">
        <v>60</v>
      </c>
      <c r="O51">
        <v>68</v>
      </c>
      <c r="P51" t="str">
        <f t="shared" si="0"/>
        <v>7</v>
      </c>
      <c r="Q51" t="str">
        <f t="shared" si="1"/>
        <v>mężczyzna</v>
      </c>
      <c r="R51">
        <f t="shared" si="2"/>
        <v>4</v>
      </c>
    </row>
    <row r="52" spans="1:18" x14ac:dyDescent="0.25">
      <c r="A52" t="s">
        <v>22</v>
      </c>
      <c r="B52" s="1" t="s">
        <v>76</v>
      </c>
      <c r="C52">
        <v>73</v>
      </c>
      <c r="I52">
        <v>74</v>
      </c>
      <c r="N52">
        <v>73</v>
      </c>
      <c r="P52" t="str">
        <f t="shared" si="0"/>
        <v>0</v>
      </c>
      <c r="Q52" t="str">
        <f t="shared" si="1"/>
        <v>kobieta</v>
      </c>
      <c r="R52">
        <f t="shared" si="2"/>
        <v>3</v>
      </c>
    </row>
    <row r="53" spans="1:18" x14ac:dyDescent="0.25">
      <c r="A53" t="s">
        <v>22</v>
      </c>
      <c r="B53" s="1" t="s">
        <v>77</v>
      </c>
      <c r="G53">
        <v>80</v>
      </c>
      <c r="I53">
        <v>83</v>
      </c>
      <c r="N53">
        <v>63</v>
      </c>
      <c r="P53" t="str">
        <f t="shared" si="0"/>
        <v>1</v>
      </c>
      <c r="Q53" t="str">
        <f t="shared" si="1"/>
        <v>mężczyzna</v>
      </c>
      <c r="R53">
        <f t="shared" si="2"/>
        <v>3</v>
      </c>
    </row>
    <row r="54" spans="1:18" x14ac:dyDescent="0.25">
      <c r="A54" t="s">
        <v>22</v>
      </c>
      <c r="B54" s="1" t="s">
        <v>78</v>
      </c>
      <c r="C54">
        <v>35</v>
      </c>
      <c r="I54">
        <v>84</v>
      </c>
      <c r="N54">
        <v>63</v>
      </c>
      <c r="P54" t="str">
        <f t="shared" si="0"/>
        <v>4</v>
      </c>
      <c r="Q54" t="str">
        <f t="shared" si="1"/>
        <v>kobieta</v>
      </c>
      <c r="R54">
        <f t="shared" si="2"/>
        <v>3</v>
      </c>
    </row>
    <row r="55" spans="1:18" x14ac:dyDescent="0.25">
      <c r="A55" t="s">
        <v>22</v>
      </c>
      <c r="B55" s="1" t="s">
        <v>79</v>
      </c>
      <c r="F55">
        <v>47</v>
      </c>
      <c r="I55">
        <v>60</v>
      </c>
      <c r="N55">
        <v>58</v>
      </c>
      <c r="O55">
        <v>58</v>
      </c>
      <c r="P55" t="str">
        <f t="shared" si="0"/>
        <v>3</v>
      </c>
      <c r="Q55" t="str">
        <f t="shared" si="1"/>
        <v>mężczyzna</v>
      </c>
      <c r="R55">
        <f t="shared" si="2"/>
        <v>4</v>
      </c>
    </row>
    <row r="56" spans="1:18" x14ac:dyDescent="0.25">
      <c r="A56" t="s">
        <v>22</v>
      </c>
      <c r="B56" s="1" t="s">
        <v>80</v>
      </c>
      <c r="G56">
        <v>42</v>
      </c>
      <c r="N56">
        <v>75</v>
      </c>
      <c r="P56" t="str">
        <f t="shared" si="0"/>
        <v>8</v>
      </c>
      <c r="Q56" t="str">
        <f t="shared" si="1"/>
        <v>kobieta</v>
      </c>
      <c r="R56">
        <f t="shared" si="2"/>
        <v>2</v>
      </c>
    </row>
    <row r="57" spans="1:18" x14ac:dyDescent="0.25">
      <c r="A57" t="s">
        <v>22</v>
      </c>
      <c r="B57" s="1" t="s">
        <v>81</v>
      </c>
      <c r="G57">
        <v>76</v>
      </c>
      <c r="I57">
        <v>78</v>
      </c>
      <c r="N57">
        <v>80</v>
      </c>
      <c r="P57" t="str">
        <f t="shared" si="0"/>
        <v>8</v>
      </c>
      <c r="Q57" t="str">
        <f t="shared" si="1"/>
        <v>kobieta</v>
      </c>
      <c r="R57">
        <f t="shared" si="2"/>
        <v>3</v>
      </c>
    </row>
    <row r="58" spans="1:18" x14ac:dyDescent="0.25">
      <c r="A58" t="s">
        <v>22</v>
      </c>
      <c r="B58" s="1" t="s">
        <v>82</v>
      </c>
      <c r="G58">
        <v>80</v>
      </c>
      <c r="I58">
        <v>34</v>
      </c>
      <c r="N58">
        <v>80</v>
      </c>
      <c r="O58">
        <v>62</v>
      </c>
      <c r="P58" t="str">
        <f t="shared" si="0"/>
        <v>8</v>
      </c>
      <c r="Q58" t="str">
        <f t="shared" si="1"/>
        <v>kobieta</v>
      </c>
      <c r="R58">
        <f t="shared" si="2"/>
        <v>4</v>
      </c>
    </row>
    <row r="59" spans="1:18" x14ac:dyDescent="0.25">
      <c r="A59" t="s">
        <v>22</v>
      </c>
      <c r="B59" s="1" t="s">
        <v>83</v>
      </c>
      <c r="N59">
        <v>78</v>
      </c>
      <c r="O59">
        <v>24</v>
      </c>
      <c r="P59" t="str">
        <f t="shared" si="0"/>
        <v>2</v>
      </c>
      <c r="Q59" t="str">
        <f t="shared" si="1"/>
        <v>kobieta</v>
      </c>
      <c r="R59">
        <f t="shared" si="2"/>
        <v>2</v>
      </c>
    </row>
    <row r="60" spans="1:18" x14ac:dyDescent="0.25">
      <c r="A60" t="s">
        <v>22</v>
      </c>
      <c r="B60" s="1" t="s">
        <v>84</v>
      </c>
      <c r="G60">
        <v>88</v>
      </c>
      <c r="I60">
        <v>92</v>
      </c>
      <c r="N60">
        <v>53</v>
      </c>
      <c r="O60">
        <v>72</v>
      </c>
      <c r="P60" t="str">
        <f t="shared" si="0"/>
        <v>5</v>
      </c>
      <c r="Q60" t="str">
        <f t="shared" si="1"/>
        <v>mężczyzna</v>
      </c>
      <c r="R60">
        <f t="shared" si="2"/>
        <v>4</v>
      </c>
    </row>
    <row r="61" spans="1:18" x14ac:dyDescent="0.25">
      <c r="A61" t="s">
        <v>22</v>
      </c>
      <c r="B61" s="1" t="s">
        <v>85</v>
      </c>
      <c r="G61">
        <v>76</v>
      </c>
      <c r="I61">
        <v>90</v>
      </c>
      <c r="N61">
        <v>75</v>
      </c>
      <c r="P61" t="str">
        <f t="shared" si="0"/>
        <v>8</v>
      </c>
      <c r="Q61" t="str">
        <f t="shared" si="1"/>
        <v>kobieta</v>
      </c>
      <c r="R61">
        <f t="shared" si="2"/>
        <v>3</v>
      </c>
    </row>
    <row r="62" spans="1:18" x14ac:dyDescent="0.25">
      <c r="A62" t="s">
        <v>22</v>
      </c>
      <c r="B62" s="1" t="s">
        <v>86</v>
      </c>
      <c r="G62">
        <v>96</v>
      </c>
      <c r="I62">
        <v>91</v>
      </c>
      <c r="N62">
        <v>85</v>
      </c>
      <c r="P62" t="str">
        <f t="shared" si="0"/>
        <v>4</v>
      </c>
      <c r="Q62" t="str">
        <f t="shared" si="1"/>
        <v>kobieta</v>
      </c>
      <c r="R62">
        <f t="shared" si="2"/>
        <v>3</v>
      </c>
    </row>
    <row r="63" spans="1:18" x14ac:dyDescent="0.25">
      <c r="A63" t="s">
        <v>22</v>
      </c>
      <c r="B63" s="1" t="s">
        <v>87</v>
      </c>
      <c r="G63">
        <v>76</v>
      </c>
      <c r="I63">
        <v>84</v>
      </c>
      <c r="N63">
        <v>73</v>
      </c>
      <c r="P63" t="str">
        <f t="shared" si="0"/>
        <v>0</v>
      </c>
      <c r="Q63" t="str">
        <f t="shared" si="1"/>
        <v>kobieta</v>
      </c>
      <c r="R63">
        <f t="shared" si="2"/>
        <v>3</v>
      </c>
    </row>
    <row r="64" spans="1:18" x14ac:dyDescent="0.25">
      <c r="A64" t="s">
        <v>22</v>
      </c>
      <c r="B64" s="1" t="s">
        <v>88</v>
      </c>
      <c r="C64">
        <v>48</v>
      </c>
      <c r="D64">
        <v>17</v>
      </c>
      <c r="I64">
        <v>92</v>
      </c>
      <c r="P64" t="str">
        <f t="shared" si="0"/>
        <v>6</v>
      </c>
      <c r="Q64" t="str">
        <f t="shared" si="1"/>
        <v>kobieta</v>
      </c>
      <c r="R64">
        <f t="shared" si="2"/>
        <v>3</v>
      </c>
    </row>
    <row r="65" spans="1:18" x14ac:dyDescent="0.25">
      <c r="A65" t="s">
        <v>22</v>
      </c>
      <c r="B65" s="1" t="s">
        <v>89</v>
      </c>
      <c r="G65">
        <v>80</v>
      </c>
      <c r="I65">
        <v>79</v>
      </c>
      <c r="N65">
        <v>63</v>
      </c>
      <c r="O65">
        <v>60</v>
      </c>
      <c r="P65" t="str">
        <f t="shared" si="0"/>
        <v>2</v>
      </c>
      <c r="Q65" t="str">
        <f t="shared" si="1"/>
        <v>kobieta</v>
      </c>
      <c r="R65">
        <f t="shared" si="2"/>
        <v>4</v>
      </c>
    </row>
    <row r="66" spans="1:18" x14ac:dyDescent="0.25">
      <c r="A66" t="s">
        <v>22</v>
      </c>
      <c r="B66" s="1" t="s">
        <v>90</v>
      </c>
      <c r="I66">
        <v>66</v>
      </c>
      <c r="M66">
        <v>24</v>
      </c>
      <c r="N66">
        <v>40</v>
      </c>
      <c r="P66" t="str">
        <f t="shared" si="0"/>
        <v>6</v>
      </c>
      <c r="Q66" t="str">
        <f t="shared" si="1"/>
        <v>kobieta</v>
      </c>
      <c r="R66">
        <f t="shared" si="2"/>
        <v>3</v>
      </c>
    </row>
    <row r="67" spans="1:18" x14ac:dyDescent="0.25">
      <c r="A67" t="s">
        <v>23</v>
      </c>
      <c r="B67" s="1" t="s">
        <v>91</v>
      </c>
      <c r="I67">
        <v>70</v>
      </c>
      <c r="M67">
        <v>52</v>
      </c>
      <c r="P67" t="str">
        <f t="shared" ref="P67:P130" si="3">MID(B67,10,1)</f>
        <v>2</v>
      </c>
      <c r="Q67" t="str">
        <f t="shared" ref="Q67:Q130" si="4">IF(MOD(P67,2) = 0,"kobieta","mężczyzna")</f>
        <v>kobieta</v>
      </c>
      <c r="R67">
        <f t="shared" ref="R67:R130" si="5">COUNTA(C67:O67)</f>
        <v>2</v>
      </c>
    </row>
    <row r="68" spans="1:18" x14ac:dyDescent="0.25">
      <c r="A68" t="s">
        <v>23</v>
      </c>
      <c r="B68" s="1" t="s">
        <v>92</v>
      </c>
      <c r="F68">
        <v>42</v>
      </c>
      <c r="M68">
        <v>40</v>
      </c>
      <c r="P68" t="str">
        <f t="shared" si="3"/>
        <v>6</v>
      </c>
      <c r="Q68" t="str">
        <f t="shared" si="4"/>
        <v>kobieta</v>
      </c>
      <c r="R68">
        <f t="shared" si="5"/>
        <v>2</v>
      </c>
    </row>
    <row r="69" spans="1:18" x14ac:dyDescent="0.25">
      <c r="A69" t="s">
        <v>23</v>
      </c>
      <c r="B69" s="1" t="s">
        <v>93</v>
      </c>
      <c r="F69">
        <v>77</v>
      </c>
      <c r="I69">
        <v>80</v>
      </c>
      <c r="M69">
        <v>44</v>
      </c>
      <c r="P69" t="str">
        <f t="shared" si="3"/>
        <v>2</v>
      </c>
      <c r="Q69" t="str">
        <f t="shared" si="4"/>
        <v>kobieta</v>
      </c>
      <c r="R69">
        <f t="shared" si="5"/>
        <v>3</v>
      </c>
    </row>
    <row r="70" spans="1:18" x14ac:dyDescent="0.25">
      <c r="A70" t="s">
        <v>23</v>
      </c>
      <c r="B70" s="1" t="s">
        <v>94</v>
      </c>
      <c r="F70">
        <v>55</v>
      </c>
      <c r="M70">
        <v>42</v>
      </c>
      <c r="P70" t="str">
        <f t="shared" si="3"/>
        <v>5</v>
      </c>
      <c r="Q70" t="str">
        <f t="shared" si="4"/>
        <v>mężczyzna</v>
      </c>
      <c r="R70">
        <f t="shared" si="5"/>
        <v>2</v>
      </c>
    </row>
    <row r="71" spans="1:18" x14ac:dyDescent="0.25">
      <c r="A71" t="s">
        <v>23</v>
      </c>
      <c r="B71" s="1" t="s">
        <v>95</v>
      </c>
      <c r="F71">
        <v>85</v>
      </c>
      <c r="I71">
        <v>81</v>
      </c>
      <c r="M71">
        <v>52</v>
      </c>
      <c r="P71" t="str">
        <f t="shared" si="3"/>
        <v>3</v>
      </c>
      <c r="Q71" t="str">
        <f t="shared" si="4"/>
        <v>mężczyzna</v>
      </c>
      <c r="R71">
        <f t="shared" si="5"/>
        <v>3</v>
      </c>
    </row>
    <row r="72" spans="1:18" x14ac:dyDescent="0.25">
      <c r="A72" t="s">
        <v>23</v>
      </c>
      <c r="B72" s="1" t="s">
        <v>96</v>
      </c>
      <c r="F72">
        <v>68</v>
      </c>
      <c r="M72">
        <v>14</v>
      </c>
      <c r="P72" t="str">
        <f t="shared" si="3"/>
        <v>5</v>
      </c>
      <c r="Q72" t="str">
        <f t="shared" si="4"/>
        <v>mężczyzna</v>
      </c>
      <c r="R72">
        <f t="shared" si="5"/>
        <v>2</v>
      </c>
    </row>
    <row r="73" spans="1:18" x14ac:dyDescent="0.25">
      <c r="A73" t="s">
        <v>23</v>
      </c>
      <c r="B73" s="1" t="s">
        <v>97</v>
      </c>
      <c r="F73">
        <v>60</v>
      </c>
      <c r="M73">
        <v>32</v>
      </c>
      <c r="P73" t="str">
        <f t="shared" si="3"/>
        <v>2</v>
      </c>
      <c r="Q73" t="str">
        <f t="shared" si="4"/>
        <v>kobieta</v>
      </c>
      <c r="R73">
        <f t="shared" si="5"/>
        <v>2</v>
      </c>
    </row>
    <row r="74" spans="1:18" x14ac:dyDescent="0.25">
      <c r="A74" t="s">
        <v>23</v>
      </c>
      <c r="B74" s="1" t="s">
        <v>98</v>
      </c>
      <c r="F74">
        <v>70</v>
      </c>
      <c r="I74">
        <v>84</v>
      </c>
      <c r="L74">
        <v>90</v>
      </c>
      <c r="M74">
        <v>56</v>
      </c>
      <c r="P74" t="str">
        <f t="shared" si="3"/>
        <v>4</v>
      </c>
      <c r="Q74" t="str">
        <f t="shared" si="4"/>
        <v>kobieta</v>
      </c>
      <c r="R74">
        <f t="shared" si="5"/>
        <v>4</v>
      </c>
    </row>
    <row r="75" spans="1:18" x14ac:dyDescent="0.25">
      <c r="A75" t="s">
        <v>23</v>
      </c>
      <c r="B75" s="1" t="s">
        <v>99</v>
      </c>
      <c r="F75">
        <v>38</v>
      </c>
      <c r="P75" t="str">
        <f t="shared" si="3"/>
        <v>4</v>
      </c>
      <c r="Q75" t="str">
        <f t="shared" si="4"/>
        <v>kobieta</v>
      </c>
      <c r="R75">
        <f t="shared" si="5"/>
        <v>1</v>
      </c>
    </row>
    <row r="76" spans="1:18" x14ac:dyDescent="0.25">
      <c r="A76" t="s">
        <v>23</v>
      </c>
      <c r="B76" s="1" t="s">
        <v>100</v>
      </c>
      <c r="F76">
        <v>83</v>
      </c>
      <c r="I76">
        <v>93</v>
      </c>
      <c r="M76">
        <v>64</v>
      </c>
      <c r="P76" t="str">
        <f t="shared" si="3"/>
        <v>6</v>
      </c>
      <c r="Q76" t="str">
        <f t="shared" si="4"/>
        <v>kobieta</v>
      </c>
      <c r="R76">
        <f t="shared" si="5"/>
        <v>3</v>
      </c>
    </row>
    <row r="77" spans="1:18" x14ac:dyDescent="0.25">
      <c r="A77" t="s">
        <v>23</v>
      </c>
      <c r="B77" s="1" t="s">
        <v>101</v>
      </c>
      <c r="F77">
        <v>93</v>
      </c>
      <c r="I77">
        <v>80</v>
      </c>
      <c r="M77">
        <v>64</v>
      </c>
      <c r="P77" t="str">
        <f t="shared" si="3"/>
        <v>7</v>
      </c>
      <c r="Q77" t="str">
        <f t="shared" si="4"/>
        <v>mężczyzna</v>
      </c>
      <c r="R77">
        <f t="shared" si="5"/>
        <v>3</v>
      </c>
    </row>
    <row r="78" spans="1:18" x14ac:dyDescent="0.25">
      <c r="A78" t="s">
        <v>23</v>
      </c>
      <c r="B78" s="1" t="s">
        <v>102</v>
      </c>
      <c r="F78">
        <v>63</v>
      </c>
      <c r="N78">
        <v>43</v>
      </c>
      <c r="P78" t="str">
        <f t="shared" si="3"/>
        <v>4</v>
      </c>
      <c r="Q78" t="str">
        <f t="shared" si="4"/>
        <v>kobieta</v>
      </c>
      <c r="R78">
        <f t="shared" si="5"/>
        <v>2</v>
      </c>
    </row>
    <row r="79" spans="1:18" x14ac:dyDescent="0.25">
      <c r="A79" t="s">
        <v>23</v>
      </c>
      <c r="B79" s="1" t="s">
        <v>103</v>
      </c>
      <c r="F79">
        <v>65</v>
      </c>
      <c r="P79" t="str">
        <f t="shared" si="3"/>
        <v>5</v>
      </c>
      <c r="Q79" t="str">
        <f t="shared" si="4"/>
        <v>mężczyzna</v>
      </c>
      <c r="R79">
        <f t="shared" si="5"/>
        <v>1</v>
      </c>
    </row>
    <row r="80" spans="1:18" x14ac:dyDescent="0.25">
      <c r="A80" t="s">
        <v>23</v>
      </c>
      <c r="B80" s="1" t="s">
        <v>104</v>
      </c>
      <c r="F80">
        <v>50</v>
      </c>
      <c r="M80">
        <v>36</v>
      </c>
      <c r="P80" t="str">
        <f t="shared" si="3"/>
        <v>2</v>
      </c>
      <c r="Q80" t="str">
        <f t="shared" si="4"/>
        <v>kobieta</v>
      </c>
      <c r="R80">
        <f t="shared" si="5"/>
        <v>2</v>
      </c>
    </row>
    <row r="81" spans="1:18" x14ac:dyDescent="0.25">
      <c r="A81" t="s">
        <v>23</v>
      </c>
      <c r="B81" s="1" t="s">
        <v>105</v>
      </c>
      <c r="F81">
        <v>53</v>
      </c>
      <c r="I81">
        <v>77</v>
      </c>
      <c r="M81">
        <v>38</v>
      </c>
      <c r="O81">
        <v>46</v>
      </c>
      <c r="P81" t="str">
        <f t="shared" si="3"/>
        <v>1</v>
      </c>
      <c r="Q81" t="str">
        <f t="shared" si="4"/>
        <v>mężczyzna</v>
      </c>
      <c r="R81">
        <f t="shared" si="5"/>
        <v>4</v>
      </c>
    </row>
    <row r="82" spans="1:18" x14ac:dyDescent="0.25">
      <c r="A82" t="s">
        <v>23</v>
      </c>
      <c r="B82" s="1" t="s">
        <v>106</v>
      </c>
      <c r="I82">
        <v>81</v>
      </c>
      <c r="M82">
        <v>40</v>
      </c>
      <c r="P82" t="str">
        <f t="shared" si="3"/>
        <v>6</v>
      </c>
      <c r="Q82" t="str">
        <f t="shared" si="4"/>
        <v>kobieta</v>
      </c>
      <c r="R82">
        <f t="shared" si="5"/>
        <v>2</v>
      </c>
    </row>
    <row r="83" spans="1:18" x14ac:dyDescent="0.25">
      <c r="A83" t="s">
        <v>23</v>
      </c>
      <c r="B83" s="1" t="s">
        <v>107</v>
      </c>
      <c r="F83">
        <v>70</v>
      </c>
      <c r="I83">
        <v>51</v>
      </c>
      <c r="N83">
        <v>95</v>
      </c>
      <c r="P83" t="str">
        <f t="shared" si="3"/>
        <v>0</v>
      </c>
      <c r="Q83" t="str">
        <f t="shared" si="4"/>
        <v>kobieta</v>
      </c>
      <c r="R83">
        <f t="shared" si="5"/>
        <v>3</v>
      </c>
    </row>
    <row r="84" spans="1:18" x14ac:dyDescent="0.25">
      <c r="A84" t="s">
        <v>23</v>
      </c>
      <c r="B84" s="1" t="s">
        <v>108</v>
      </c>
      <c r="F84">
        <v>68</v>
      </c>
      <c r="I84">
        <v>55</v>
      </c>
      <c r="M84">
        <v>48</v>
      </c>
      <c r="N84">
        <v>55</v>
      </c>
      <c r="P84" t="str">
        <f t="shared" si="3"/>
        <v>2</v>
      </c>
      <c r="Q84" t="str">
        <f t="shared" si="4"/>
        <v>kobieta</v>
      </c>
      <c r="R84">
        <f t="shared" si="5"/>
        <v>4</v>
      </c>
    </row>
    <row r="85" spans="1:18" x14ac:dyDescent="0.25">
      <c r="A85" t="s">
        <v>23</v>
      </c>
      <c r="B85" s="1" t="s">
        <v>109</v>
      </c>
      <c r="I85">
        <v>66</v>
      </c>
      <c r="M85">
        <v>66</v>
      </c>
      <c r="N85">
        <v>70</v>
      </c>
      <c r="P85" t="str">
        <f t="shared" si="3"/>
        <v>4</v>
      </c>
      <c r="Q85" t="str">
        <f t="shared" si="4"/>
        <v>kobieta</v>
      </c>
      <c r="R85">
        <f t="shared" si="5"/>
        <v>3</v>
      </c>
    </row>
    <row r="86" spans="1:18" x14ac:dyDescent="0.25">
      <c r="A86" t="s">
        <v>23</v>
      </c>
      <c r="B86" s="1" t="s">
        <v>110</v>
      </c>
      <c r="I86">
        <v>92</v>
      </c>
      <c r="M86">
        <v>52</v>
      </c>
      <c r="P86" t="str">
        <f t="shared" si="3"/>
        <v>6</v>
      </c>
      <c r="Q86" t="str">
        <f t="shared" si="4"/>
        <v>kobieta</v>
      </c>
      <c r="R86">
        <f t="shared" si="5"/>
        <v>2</v>
      </c>
    </row>
    <row r="87" spans="1:18" x14ac:dyDescent="0.25">
      <c r="A87" t="s">
        <v>23</v>
      </c>
      <c r="B87" s="1" t="s">
        <v>111</v>
      </c>
      <c r="F87">
        <v>87</v>
      </c>
      <c r="M87">
        <v>90</v>
      </c>
      <c r="P87" t="str">
        <f t="shared" si="3"/>
        <v>0</v>
      </c>
      <c r="Q87" t="str">
        <f t="shared" si="4"/>
        <v>kobieta</v>
      </c>
      <c r="R87">
        <f t="shared" si="5"/>
        <v>2</v>
      </c>
    </row>
    <row r="88" spans="1:18" x14ac:dyDescent="0.25">
      <c r="A88" t="s">
        <v>23</v>
      </c>
      <c r="B88" s="1" t="s">
        <v>112</v>
      </c>
      <c r="F88">
        <v>47</v>
      </c>
      <c r="M88">
        <v>40</v>
      </c>
      <c r="P88" t="str">
        <f t="shared" si="3"/>
        <v>7</v>
      </c>
      <c r="Q88" t="str">
        <f t="shared" si="4"/>
        <v>mężczyzna</v>
      </c>
      <c r="R88">
        <f t="shared" si="5"/>
        <v>2</v>
      </c>
    </row>
    <row r="89" spans="1:18" x14ac:dyDescent="0.25">
      <c r="A89" t="s">
        <v>23</v>
      </c>
      <c r="B89" s="1" t="s">
        <v>113</v>
      </c>
      <c r="I89">
        <v>88</v>
      </c>
      <c r="M89">
        <v>46</v>
      </c>
      <c r="P89" t="str">
        <f t="shared" si="3"/>
        <v>7</v>
      </c>
      <c r="Q89" t="str">
        <f t="shared" si="4"/>
        <v>mężczyzna</v>
      </c>
      <c r="R89">
        <f t="shared" si="5"/>
        <v>2</v>
      </c>
    </row>
    <row r="90" spans="1:18" x14ac:dyDescent="0.25">
      <c r="A90" t="s">
        <v>23</v>
      </c>
      <c r="B90" s="1" t="s">
        <v>114</v>
      </c>
      <c r="F90">
        <v>68</v>
      </c>
      <c r="I90">
        <v>78</v>
      </c>
      <c r="M90">
        <v>54</v>
      </c>
      <c r="P90" t="str">
        <f t="shared" si="3"/>
        <v>6</v>
      </c>
      <c r="Q90" t="str">
        <f t="shared" si="4"/>
        <v>kobieta</v>
      </c>
      <c r="R90">
        <f t="shared" si="5"/>
        <v>3</v>
      </c>
    </row>
    <row r="91" spans="1:18" x14ac:dyDescent="0.25">
      <c r="A91" t="s">
        <v>23</v>
      </c>
      <c r="B91" s="1" t="s">
        <v>115</v>
      </c>
      <c r="F91">
        <v>77</v>
      </c>
      <c r="I91">
        <v>44</v>
      </c>
      <c r="M91">
        <v>40</v>
      </c>
      <c r="P91" t="str">
        <f t="shared" si="3"/>
        <v>2</v>
      </c>
      <c r="Q91" t="str">
        <f t="shared" si="4"/>
        <v>kobieta</v>
      </c>
      <c r="R91">
        <f t="shared" si="5"/>
        <v>3</v>
      </c>
    </row>
    <row r="92" spans="1:18" x14ac:dyDescent="0.25">
      <c r="A92" t="s">
        <v>23</v>
      </c>
      <c r="B92" s="1" t="s">
        <v>116</v>
      </c>
      <c r="F92">
        <v>80</v>
      </c>
      <c r="I92">
        <v>82</v>
      </c>
      <c r="M92">
        <v>94</v>
      </c>
      <c r="P92" t="str">
        <f t="shared" si="3"/>
        <v>0</v>
      </c>
      <c r="Q92" t="str">
        <f t="shared" si="4"/>
        <v>kobieta</v>
      </c>
      <c r="R92">
        <f t="shared" si="5"/>
        <v>3</v>
      </c>
    </row>
    <row r="93" spans="1:18" x14ac:dyDescent="0.25">
      <c r="A93" t="s">
        <v>23</v>
      </c>
      <c r="B93" s="1" t="s">
        <v>117</v>
      </c>
      <c r="F93">
        <v>82</v>
      </c>
      <c r="I93">
        <v>61</v>
      </c>
      <c r="P93" t="str">
        <f t="shared" si="3"/>
        <v>2</v>
      </c>
      <c r="Q93" t="str">
        <f t="shared" si="4"/>
        <v>kobieta</v>
      </c>
      <c r="R93">
        <f t="shared" si="5"/>
        <v>2</v>
      </c>
    </row>
    <row r="94" spans="1:18" x14ac:dyDescent="0.25">
      <c r="A94" t="s">
        <v>24</v>
      </c>
      <c r="B94" s="1" t="s">
        <v>118</v>
      </c>
      <c r="E94">
        <v>70</v>
      </c>
      <c r="I94">
        <v>73</v>
      </c>
      <c r="M94">
        <v>70</v>
      </c>
      <c r="P94" t="str">
        <f t="shared" si="3"/>
        <v>7</v>
      </c>
      <c r="Q94" t="str">
        <f t="shared" si="4"/>
        <v>mężczyzna</v>
      </c>
      <c r="R94">
        <f t="shared" si="5"/>
        <v>3</v>
      </c>
    </row>
    <row r="95" spans="1:18" x14ac:dyDescent="0.25">
      <c r="A95" t="s">
        <v>24</v>
      </c>
      <c r="B95" s="1" t="s">
        <v>119</v>
      </c>
      <c r="E95">
        <v>53</v>
      </c>
      <c r="I95">
        <v>67</v>
      </c>
      <c r="M95">
        <v>40</v>
      </c>
      <c r="P95" t="str">
        <f t="shared" si="3"/>
        <v>9</v>
      </c>
      <c r="Q95" t="str">
        <f t="shared" si="4"/>
        <v>mężczyzna</v>
      </c>
      <c r="R95">
        <f t="shared" si="5"/>
        <v>3</v>
      </c>
    </row>
    <row r="96" spans="1:18" x14ac:dyDescent="0.25">
      <c r="A96" t="s">
        <v>24</v>
      </c>
      <c r="B96" s="1" t="s">
        <v>120</v>
      </c>
      <c r="E96">
        <v>75</v>
      </c>
      <c r="H96">
        <v>78</v>
      </c>
      <c r="I96">
        <v>96</v>
      </c>
      <c r="M96">
        <v>90</v>
      </c>
      <c r="P96" t="str">
        <f t="shared" si="3"/>
        <v>9</v>
      </c>
      <c r="Q96" t="str">
        <f t="shared" si="4"/>
        <v>mężczyzna</v>
      </c>
      <c r="R96">
        <f t="shared" si="5"/>
        <v>4</v>
      </c>
    </row>
    <row r="97" spans="1:18" x14ac:dyDescent="0.25">
      <c r="A97" t="s">
        <v>24</v>
      </c>
      <c r="B97" s="1" t="s">
        <v>121</v>
      </c>
      <c r="E97">
        <v>82</v>
      </c>
      <c r="I97">
        <v>91</v>
      </c>
      <c r="M97">
        <v>80</v>
      </c>
      <c r="P97" t="str">
        <f t="shared" si="3"/>
        <v>2</v>
      </c>
      <c r="Q97" t="str">
        <f t="shared" si="4"/>
        <v>kobieta</v>
      </c>
      <c r="R97">
        <f t="shared" si="5"/>
        <v>3</v>
      </c>
    </row>
    <row r="98" spans="1:18" x14ac:dyDescent="0.25">
      <c r="A98" t="s">
        <v>24</v>
      </c>
      <c r="B98" s="1" t="s">
        <v>122</v>
      </c>
      <c r="E98">
        <v>32</v>
      </c>
      <c r="I98">
        <v>74</v>
      </c>
      <c r="N98">
        <v>25</v>
      </c>
      <c r="P98" t="str">
        <f t="shared" si="3"/>
        <v>7</v>
      </c>
      <c r="Q98" t="str">
        <f t="shared" si="4"/>
        <v>mężczyzna</v>
      </c>
      <c r="R98">
        <f t="shared" si="5"/>
        <v>3</v>
      </c>
    </row>
    <row r="99" spans="1:18" x14ac:dyDescent="0.25">
      <c r="A99" t="s">
        <v>24</v>
      </c>
      <c r="B99" s="1" t="s">
        <v>123</v>
      </c>
      <c r="E99">
        <v>77</v>
      </c>
      <c r="H99">
        <v>88</v>
      </c>
      <c r="I99">
        <v>76</v>
      </c>
      <c r="M99">
        <v>68</v>
      </c>
      <c r="P99" t="str">
        <f t="shared" si="3"/>
        <v>3</v>
      </c>
      <c r="Q99" t="str">
        <f t="shared" si="4"/>
        <v>mężczyzna</v>
      </c>
      <c r="R99">
        <f t="shared" si="5"/>
        <v>4</v>
      </c>
    </row>
    <row r="100" spans="1:18" x14ac:dyDescent="0.25">
      <c r="A100" t="s">
        <v>24</v>
      </c>
      <c r="B100" s="1" t="s">
        <v>124</v>
      </c>
      <c r="E100">
        <v>70</v>
      </c>
      <c r="I100">
        <v>65</v>
      </c>
      <c r="M100">
        <v>78</v>
      </c>
      <c r="P100" t="str">
        <f t="shared" si="3"/>
        <v>4</v>
      </c>
      <c r="Q100" t="str">
        <f t="shared" si="4"/>
        <v>kobieta</v>
      </c>
      <c r="R100">
        <f t="shared" si="5"/>
        <v>3</v>
      </c>
    </row>
    <row r="101" spans="1:18" x14ac:dyDescent="0.25">
      <c r="A101" t="s">
        <v>24</v>
      </c>
      <c r="B101" s="1" t="s">
        <v>125</v>
      </c>
      <c r="E101">
        <v>32</v>
      </c>
      <c r="I101">
        <v>75</v>
      </c>
      <c r="M101">
        <v>58</v>
      </c>
      <c r="P101" t="str">
        <f t="shared" si="3"/>
        <v>5</v>
      </c>
      <c r="Q101" t="str">
        <f t="shared" si="4"/>
        <v>mężczyzna</v>
      </c>
      <c r="R101">
        <f t="shared" si="5"/>
        <v>3</v>
      </c>
    </row>
    <row r="102" spans="1:18" x14ac:dyDescent="0.25">
      <c r="A102" t="s">
        <v>24</v>
      </c>
      <c r="B102" s="1" t="s">
        <v>126</v>
      </c>
      <c r="C102">
        <v>37</v>
      </c>
      <c r="E102">
        <v>37</v>
      </c>
      <c r="I102">
        <v>84</v>
      </c>
      <c r="P102" t="str">
        <f t="shared" si="3"/>
        <v>3</v>
      </c>
      <c r="Q102" t="str">
        <f t="shared" si="4"/>
        <v>mężczyzna</v>
      </c>
      <c r="R102">
        <f t="shared" si="5"/>
        <v>3</v>
      </c>
    </row>
    <row r="103" spans="1:18" x14ac:dyDescent="0.25">
      <c r="A103" t="s">
        <v>24</v>
      </c>
      <c r="B103" s="1" t="s">
        <v>127</v>
      </c>
      <c r="E103">
        <v>75</v>
      </c>
      <c r="I103">
        <v>94</v>
      </c>
      <c r="M103">
        <v>82</v>
      </c>
      <c r="P103" t="str">
        <f t="shared" si="3"/>
        <v>3</v>
      </c>
      <c r="Q103" t="str">
        <f t="shared" si="4"/>
        <v>mężczyzna</v>
      </c>
      <c r="R103">
        <f t="shared" si="5"/>
        <v>3</v>
      </c>
    </row>
    <row r="104" spans="1:18" x14ac:dyDescent="0.25">
      <c r="A104" t="s">
        <v>24</v>
      </c>
      <c r="B104" s="1" t="s">
        <v>128</v>
      </c>
      <c r="E104">
        <v>92</v>
      </c>
      <c r="I104">
        <v>86</v>
      </c>
      <c r="M104">
        <v>88</v>
      </c>
      <c r="P104" t="str">
        <f t="shared" si="3"/>
        <v>4</v>
      </c>
      <c r="Q104" t="str">
        <f t="shared" si="4"/>
        <v>kobieta</v>
      </c>
      <c r="R104">
        <f t="shared" si="5"/>
        <v>3</v>
      </c>
    </row>
    <row r="105" spans="1:18" x14ac:dyDescent="0.25">
      <c r="A105" t="s">
        <v>24</v>
      </c>
      <c r="B105" s="1" t="s">
        <v>129</v>
      </c>
      <c r="F105">
        <v>45</v>
      </c>
      <c r="I105">
        <v>80</v>
      </c>
      <c r="M105">
        <v>36</v>
      </c>
      <c r="P105" t="str">
        <f t="shared" si="3"/>
        <v>1</v>
      </c>
      <c r="Q105" t="str">
        <f t="shared" si="4"/>
        <v>mężczyzna</v>
      </c>
      <c r="R105">
        <f t="shared" si="5"/>
        <v>3</v>
      </c>
    </row>
    <row r="106" spans="1:18" x14ac:dyDescent="0.25">
      <c r="A106" t="s">
        <v>24</v>
      </c>
      <c r="B106" s="1" t="s">
        <v>130</v>
      </c>
      <c r="I106">
        <v>94</v>
      </c>
      <c r="M106">
        <v>74</v>
      </c>
      <c r="P106" t="str">
        <f t="shared" si="3"/>
        <v>0</v>
      </c>
      <c r="Q106" t="str">
        <f t="shared" si="4"/>
        <v>kobieta</v>
      </c>
      <c r="R106">
        <f t="shared" si="5"/>
        <v>2</v>
      </c>
    </row>
    <row r="107" spans="1:18" x14ac:dyDescent="0.25">
      <c r="A107" t="s">
        <v>24</v>
      </c>
      <c r="B107" s="1" t="s">
        <v>131</v>
      </c>
      <c r="I107">
        <v>78</v>
      </c>
      <c r="P107" t="str">
        <f t="shared" si="3"/>
        <v>2</v>
      </c>
      <c r="Q107" t="str">
        <f t="shared" si="4"/>
        <v>kobieta</v>
      </c>
      <c r="R107">
        <f t="shared" si="5"/>
        <v>1</v>
      </c>
    </row>
    <row r="108" spans="1:18" x14ac:dyDescent="0.25">
      <c r="A108" t="s">
        <v>24</v>
      </c>
      <c r="B108" s="1" t="s">
        <v>132</v>
      </c>
      <c r="E108">
        <v>72</v>
      </c>
      <c r="I108">
        <v>79</v>
      </c>
      <c r="M108">
        <v>78</v>
      </c>
      <c r="P108" t="str">
        <f t="shared" si="3"/>
        <v>1</v>
      </c>
      <c r="Q108" t="str">
        <f t="shared" si="4"/>
        <v>mężczyzna</v>
      </c>
      <c r="R108">
        <f t="shared" si="5"/>
        <v>3</v>
      </c>
    </row>
    <row r="109" spans="1:18" x14ac:dyDescent="0.25">
      <c r="A109" t="s">
        <v>24</v>
      </c>
      <c r="B109" s="1" t="s">
        <v>133</v>
      </c>
      <c r="E109">
        <v>62</v>
      </c>
      <c r="I109">
        <v>75</v>
      </c>
      <c r="M109">
        <v>38</v>
      </c>
      <c r="P109" t="str">
        <f t="shared" si="3"/>
        <v>5</v>
      </c>
      <c r="Q109" t="str">
        <f t="shared" si="4"/>
        <v>mężczyzna</v>
      </c>
      <c r="R109">
        <f t="shared" si="5"/>
        <v>3</v>
      </c>
    </row>
    <row r="110" spans="1:18" x14ac:dyDescent="0.25">
      <c r="A110" t="s">
        <v>24</v>
      </c>
      <c r="B110" s="1" t="s">
        <v>134</v>
      </c>
      <c r="H110">
        <v>70</v>
      </c>
      <c r="I110">
        <v>79</v>
      </c>
      <c r="M110">
        <v>62</v>
      </c>
      <c r="P110" t="str">
        <f t="shared" si="3"/>
        <v>1</v>
      </c>
      <c r="Q110" t="str">
        <f t="shared" si="4"/>
        <v>mężczyzna</v>
      </c>
      <c r="R110">
        <f t="shared" si="5"/>
        <v>3</v>
      </c>
    </row>
    <row r="111" spans="1:18" x14ac:dyDescent="0.25">
      <c r="A111" t="s">
        <v>24</v>
      </c>
      <c r="B111" s="1" t="s">
        <v>135</v>
      </c>
      <c r="E111">
        <v>48</v>
      </c>
      <c r="I111">
        <v>28</v>
      </c>
      <c r="M111">
        <v>68</v>
      </c>
      <c r="P111" t="str">
        <f t="shared" si="3"/>
        <v>9</v>
      </c>
      <c r="Q111" t="str">
        <f t="shared" si="4"/>
        <v>mężczyzna</v>
      </c>
      <c r="R111">
        <f t="shared" si="5"/>
        <v>3</v>
      </c>
    </row>
    <row r="112" spans="1:18" x14ac:dyDescent="0.25">
      <c r="A112" t="s">
        <v>24</v>
      </c>
      <c r="B112" s="1" t="s">
        <v>136</v>
      </c>
      <c r="E112">
        <v>62</v>
      </c>
      <c r="I112">
        <v>79</v>
      </c>
      <c r="M112">
        <v>66</v>
      </c>
      <c r="P112" t="str">
        <f t="shared" si="3"/>
        <v>9</v>
      </c>
      <c r="Q112" t="str">
        <f t="shared" si="4"/>
        <v>mężczyzna</v>
      </c>
      <c r="R112">
        <f t="shared" si="5"/>
        <v>3</v>
      </c>
    </row>
    <row r="113" spans="1:18" x14ac:dyDescent="0.25">
      <c r="A113" t="s">
        <v>24</v>
      </c>
      <c r="B113" s="1" t="s">
        <v>137</v>
      </c>
      <c r="E113">
        <v>67</v>
      </c>
      <c r="I113">
        <v>85</v>
      </c>
      <c r="M113">
        <v>70</v>
      </c>
      <c r="P113" t="str">
        <f t="shared" si="3"/>
        <v>9</v>
      </c>
      <c r="Q113" t="str">
        <f t="shared" si="4"/>
        <v>mężczyzna</v>
      </c>
      <c r="R113">
        <f t="shared" si="5"/>
        <v>3</v>
      </c>
    </row>
    <row r="114" spans="1:18" x14ac:dyDescent="0.25">
      <c r="A114" t="s">
        <v>24</v>
      </c>
      <c r="B114" s="1" t="s">
        <v>138</v>
      </c>
      <c r="E114">
        <v>67</v>
      </c>
      <c r="I114">
        <v>78</v>
      </c>
      <c r="M114">
        <v>68</v>
      </c>
      <c r="P114" t="str">
        <f t="shared" si="3"/>
        <v>9</v>
      </c>
      <c r="Q114" t="str">
        <f t="shared" si="4"/>
        <v>mężczyzna</v>
      </c>
      <c r="R114">
        <f t="shared" si="5"/>
        <v>3</v>
      </c>
    </row>
    <row r="115" spans="1:18" x14ac:dyDescent="0.25">
      <c r="A115" t="s">
        <v>24</v>
      </c>
      <c r="B115" s="1" t="s">
        <v>139</v>
      </c>
      <c r="H115">
        <v>98</v>
      </c>
      <c r="I115">
        <v>84</v>
      </c>
      <c r="M115">
        <v>92</v>
      </c>
      <c r="P115" t="str">
        <f t="shared" si="3"/>
        <v>3</v>
      </c>
      <c r="Q115" t="str">
        <f t="shared" si="4"/>
        <v>mężczyzna</v>
      </c>
      <c r="R115">
        <f t="shared" si="5"/>
        <v>3</v>
      </c>
    </row>
    <row r="116" spans="1:18" x14ac:dyDescent="0.25">
      <c r="A116" t="s">
        <v>24</v>
      </c>
      <c r="B116" s="1" t="s">
        <v>140</v>
      </c>
      <c r="I116">
        <v>86</v>
      </c>
      <c r="M116">
        <v>60</v>
      </c>
      <c r="P116" t="str">
        <f t="shared" si="3"/>
        <v>4</v>
      </c>
      <c r="Q116" t="str">
        <f t="shared" si="4"/>
        <v>kobieta</v>
      </c>
      <c r="R116">
        <f t="shared" si="5"/>
        <v>2</v>
      </c>
    </row>
    <row r="117" spans="1:18" x14ac:dyDescent="0.25">
      <c r="A117" t="s">
        <v>24</v>
      </c>
      <c r="B117" s="1" t="s">
        <v>141</v>
      </c>
      <c r="E117">
        <v>55</v>
      </c>
      <c r="I117">
        <v>92</v>
      </c>
      <c r="M117">
        <v>78</v>
      </c>
      <c r="P117" t="str">
        <f t="shared" si="3"/>
        <v>8</v>
      </c>
      <c r="Q117" t="str">
        <f t="shared" si="4"/>
        <v>kobieta</v>
      </c>
      <c r="R117">
        <f t="shared" si="5"/>
        <v>3</v>
      </c>
    </row>
    <row r="118" spans="1:18" x14ac:dyDescent="0.25">
      <c r="A118" t="s">
        <v>24</v>
      </c>
      <c r="B118" s="1" t="s">
        <v>142</v>
      </c>
      <c r="E118">
        <v>78</v>
      </c>
      <c r="I118">
        <v>85</v>
      </c>
      <c r="M118">
        <v>92</v>
      </c>
      <c r="P118" t="str">
        <f t="shared" si="3"/>
        <v>4</v>
      </c>
      <c r="Q118" t="str">
        <f t="shared" si="4"/>
        <v>kobieta</v>
      </c>
      <c r="R118">
        <f t="shared" si="5"/>
        <v>3</v>
      </c>
    </row>
    <row r="119" spans="1:18" x14ac:dyDescent="0.25">
      <c r="A119" t="s">
        <v>24</v>
      </c>
      <c r="B119" s="1" t="s">
        <v>143</v>
      </c>
      <c r="H119">
        <v>52</v>
      </c>
      <c r="I119">
        <v>68</v>
      </c>
      <c r="M119">
        <v>56</v>
      </c>
      <c r="P119" t="str">
        <f t="shared" si="3"/>
        <v>7</v>
      </c>
      <c r="Q119" t="str">
        <f t="shared" si="4"/>
        <v>mężczyzna</v>
      </c>
      <c r="R119">
        <f t="shared" si="5"/>
        <v>3</v>
      </c>
    </row>
    <row r="120" spans="1:18" x14ac:dyDescent="0.25">
      <c r="A120" t="s">
        <v>24</v>
      </c>
      <c r="B120" s="1" t="s">
        <v>144</v>
      </c>
      <c r="E120">
        <v>70</v>
      </c>
      <c r="I120">
        <v>86</v>
      </c>
      <c r="M120">
        <v>78</v>
      </c>
      <c r="P120" t="str">
        <f t="shared" si="3"/>
        <v>5</v>
      </c>
      <c r="Q120" t="str">
        <f t="shared" si="4"/>
        <v>mężczyzna</v>
      </c>
      <c r="R120">
        <f t="shared" si="5"/>
        <v>3</v>
      </c>
    </row>
    <row r="121" spans="1:18" x14ac:dyDescent="0.25">
      <c r="A121" t="s">
        <v>24</v>
      </c>
      <c r="B121" s="1" t="s">
        <v>145</v>
      </c>
      <c r="E121">
        <v>32</v>
      </c>
      <c r="I121">
        <v>78</v>
      </c>
      <c r="M121">
        <v>74</v>
      </c>
      <c r="P121" t="str">
        <f t="shared" si="3"/>
        <v>9</v>
      </c>
      <c r="Q121" t="str">
        <f t="shared" si="4"/>
        <v>mężczyzna</v>
      </c>
      <c r="R121">
        <f t="shared" si="5"/>
        <v>3</v>
      </c>
    </row>
    <row r="122" spans="1:18" x14ac:dyDescent="0.25">
      <c r="A122" t="s">
        <v>24</v>
      </c>
      <c r="B122" s="1" t="s">
        <v>146</v>
      </c>
      <c r="E122">
        <v>75</v>
      </c>
      <c r="I122">
        <v>64</v>
      </c>
      <c r="M122">
        <v>74</v>
      </c>
      <c r="P122" t="str">
        <f t="shared" si="3"/>
        <v>9</v>
      </c>
      <c r="Q122" t="str">
        <f t="shared" si="4"/>
        <v>mężczyzna</v>
      </c>
      <c r="R122">
        <f t="shared" si="5"/>
        <v>3</v>
      </c>
    </row>
    <row r="123" spans="1:18" x14ac:dyDescent="0.25">
      <c r="A123" t="s">
        <v>24</v>
      </c>
      <c r="B123" s="1" t="s">
        <v>147</v>
      </c>
      <c r="E123">
        <v>63</v>
      </c>
      <c r="M123">
        <v>92</v>
      </c>
      <c r="P123" t="str">
        <f t="shared" si="3"/>
        <v>3</v>
      </c>
      <c r="Q123" t="str">
        <f t="shared" si="4"/>
        <v>mężczyzna</v>
      </c>
      <c r="R123">
        <f t="shared" si="5"/>
        <v>2</v>
      </c>
    </row>
    <row r="124" spans="1:18" x14ac:dyDescent="0.25">
      <c r="A124" t="s">
        <v>24</v>
      </c>
      <c r="B124" s="1" t="s">
        <v>148</v>
      </c>
      <c r="I124">
        <v>65</v>
      </c>
      <c r="M124">
        <v>68</v>
      </c>
      <c r="P124" t="str">
        <f t="shared" si="3"/>
        <v>6</v>
      </c>
      <c r="Q124" t="str">
        <f t="shared" si="4"/>
        <v>kobieta</v>
      </c>
      <c r="R124">
        <f t="shared" si="5"/>
        <v>2</v>
      </c>
    </row>
    <row r="125" spans="1:18" x14ac:dyDescent="0.25">
      <c r="A125" t="s">
        <v>24</v>
      </c>
      <c r="B125" s="1" t="s">
        <v>149</v>
      </c>
      <c r="I125">
        <v>84</v>
      </c>
      <c r="M125">
        <v>54</v>
      </c>
      <c r="P125" t="str">
        <f t="shared" si="3"/>
        <v>7</v>
      </c>
      <c r="Q125" t="str">
        <f t="shared" si="4"/>
        <v>mężczyzna</v>
      </c>
      <c r="R125">
        <f t="shared" si="5"/>
        <v>2</v>
      </c>
    </row>
    <row r="126" spans="1:18" x14ac:dyDescent="0.25">
      <c r="A126" t="s">
        <v>24</v>
      </c>
      <c r="B126" s="1" t="s">
        <v>150</v>
      </c>
      <c r="E126">
        <v>77</v>
      </c>
      <c r="I126">
        <v>86</v>
      </c>
      <c r="M126">
        <v>64</v>
      </c>
      <c r="P126" t="str">
        <f t="shared" si="3"/>
        <v>0</v>
      </c>
      <c r="Q126" t="str">
        <f t="shared" si="4"/>
        <v>kobieta</v>
      </c>
      <c r="R126">
        <f t="shared" si="5"/>
        <v>3</v>
      </c>
    </row>
    <row r="127" spans="1:18" x14ac:dyDescent="0.25">
      <c r="A127" t="s">
        <v>25</v>
      </c>
      <c r="B127" s="1" t="s">
        <v>151</v>
      </c>
      <c r="K127">
        <v>73</v>
      </c>
      <c r="N127">
        <v>65</v>
      </c>
      <c r="P127" t="str">
        <f t="shared" si="3"/>
        <v>3</v>
      </c>
      <c r="Q127" t="str">
        <f t="shared" si="4"/>
        <v>mężczyzna</v>
      </c>
      <c r="R127">
        <f t="shared" si="5"/>
        <v>2</v>
      </c>
    </row>
    <row r="128" spans="1:18" x14ac:dyDescent="0.25">
      <c r="A128" t="s">
        <v>25</v>
      </c>
      <c r="B128" s="1" t="s">
        <v>152</v>
      </c>
      <c r="K128">
        <v>61</v>
      </c>
      <c r="N128">
        <v>58</v>
      </c>
      <c r="P128" t="str">
        <f t="shared" si="3"/>
        <v>4</v>
      </c>
      <c r="Q128" t="str">
        <f t="shared" si="4"/>
        <v>kobieta</v>
      </c>
      <c r="R128">
        <f t="shared" si="5"/>
        <v>2</v>
      </c>
    </row>
    <row r="129" spans="1:18" x14ac:dyDescent="0.25">
      <c r="A129" t="s">
        <v>25</v>
      </c>
      <c r="B129" s="1" t="s">
        <v>153</v>
      </c>
      <c r="K129">
        <v>65</v>
      </c>
      <c r="N129">
        <v>58</v>
      </c>
      <c r="P129" t="str">
        <f t="shared" si="3"/>
        <v>8</v>
      </c>
      <c r="Q129" t="str">
        <f t="shared" si="4"/>
        <v>kobieta</v>
      </c>
      <c r="R129">
        <f t="shared" si="5"/>
        <v>2</v>
      </c>
    </row>
    <row r="130" spans="1:18" x14ac:dyDescent="0.25">
      <c r="A130" t="s">
        <v>25</v>
      </c>
      <c r="B130" s="1" t="s">
        <v>154</v>
      </c>
      <c r="K130">
        <v>68</v>
      </c>
      <c r="N130">
        <v>88</v>
      </c>
      <c r="P130" t="str">
        <f t="shared" si="3"/>
        <v>2</v>
      </c>
      <c r="Q130" t="str">
        <f t="shared" si="4"/>
        <v>kobieta</v>
      </c>
      <c r="R130">
        <f t="shared" si="5"/>
        <v>2</v>
      </c>
    </row>
    <row r="131" spans="1:18" x14ac:dyDescent="0.25">
      <c r="A131" t="s">
        <v>25</v>
      </c>
      <c r="B131" s="1" t="s">
        <v>155</v>
      </c>
      <c r="F131">
        <v>85</v>
      </c>
      <c r="I131">
        <v>95</v>
      </c>
      <c r="N131">
        <v>88</v>
      </c>
      <c r="P131" t="str">
        <f t="shared" ref="P131:P153" si="6">MID(B131,10,1)</f>
        <v>2</v>
      </c>
      <c r="Q131" t="str">
        <f t="shared" ref="Q131:Q153" si="7">IF(MOD(P131,2) = 0,"kobieta","mężczyzna")</f>
        <v>kobieta</v>
      </c>
      <c r="R131">
        <f t="shared" ref="R131:R153" si="8">COUNTA(C131:O131)</f>
        <v>3</v>
      </c>
    </row>
    <row r="132" spans="1:18" x14ac:dyDescent="0.25">
      <c r="A132" t="s">
        <v>25</v>
      </c>
      <c r="B132" s="1" t="s">
        <v>156</v>
      </c>
      <c r="K132">
        <v>45</v>
      </c>
      <c r="N132">
        <v>83</v>
      </c>
      <c r="P132" t="str">
        <f t="shared" si="6"/>
        <v>4</v>
      </c>
      <c r="Q132" t="str">
        <f t="shared" si="7"/>
        <v>kobieta</v>
      </c>
      <c r="R132">
        <f t="shared" si="8"/>
        <v>2</v>
      </c>
    </row>
    <row r="133" spans="1:18" x14ac:dyDescent="0.25">
      <c r="A133" t="s">
        <v>25</v>
      </c>
      <c r="B133" s="1" t="s">
        <v>157</v>
      </c>
      <c r="I133">
        <v>79</v>
      </c>
      <c r="K133">
        <v>79</v>
      </c>
      <c r="N133">
        <v>53</v>
      </c>
      <c r="P133" t="str">
        <f t="shared" si="6"/>
        <v>1</v>
      </c>
      <c r="Q133" t="str">
        <f t="shared" si="7"/>
        <v>mężczyzna</v>
      </c>
      <c r="R133">
        <f t="shared" si="8"/>
        <v>3</v>
      </c>
    </row>
    <row r="134" spans="1:18" x14ac:dyDescent="0.25">
      <c r="A134" t="s">
        <v>25</v>
      </c>
      <c r="B134" s="1" t="s">
        <v>158</v>
      </c>
      <c r="F134">
        <v>38</v>
      </c>
      <c r="I134">
        <v>69</v>
      </c>
      <c r="K134">
        <v>72</v>
      </c>
      <c r="N134">
        <v>60</v>
      </c>
      <c r="P134" t="str">
        <f t="shared" si="6"/>
        <v>2</v>
      </c>
      <c r="Q134" t="str">
        <f t="shared" si="7"/>
        <v>kobieta</v>
      </c>
      <c r="R134">
        <f t="shared" si="8"/>
        <v>4</v>
      </c>
    </row>
    <row r="135" spans="1:18" x14ac:dyDescent="0.25">
      <c r="A135" t="s">
        <v>25</v>
      </c>
      <c r="B135" s="1" t="s">
        <v>159</v>
      </c>
      <c r="C135">
        <v>62</v>
      </c>
      <c r="D135">
        <v>35</v>
      </c>
      <c r="K135">
        <v>52</v>
      </c>
      <c r="P135" t="str">
        <f t="shared" si="6"/>
        <v>4</v>
      </c>
      <c r="Q135" t="str">
        <f t="shared" si="7"/>
        <v>kobieta</v>
      </c>
      <c r="R135">
        <f t="shared" si="8"/>
        <v>3</v>
      </c>
    </row>
    <row r="136" spans="1:18" x14ac:dyDescent="0.25">
      <c r="A136" t="s">
        <v>25</v>
      </c>
      <c r="B136" s="1" t="s">
        <v>160</v>
      </c>
      <c r="F136">
        <v>50</v>
      </c>
      <c r="K136">
        <v>63</v>
      </c>
      <c r="P136" t="str">
        <f t="shared" si="6"/>
        <v>6</v>
      </c>
      <c r="Q136" t="str">
        <f t="shared" si="7"/>
        <v>kobieta</v>
      </c>
      <c r="R136">
        <f t="shared" si="8"/>
        <v>2</v>
      </c>
    </row>
    <row r="137" spans="1:18" x14ac:dyDescent="0.25">
      <c r="A137" t="s">
        <v>25</v>
      </c>
      <c r="B137" s="1" t="s">
        <v>161</v>
      </c>
      <c r="F137">
        <v>82</v>
      </c>
      <c r="M137">
        <v>66</v>
      </c>
      <c r="N137">
        <v>85</v>
      </c>
      <c r="P137" t="str">
        <f t="shared" si="6"/>
        <v>8</v>
      </c>
      <c r="Q137" t="str">
        <f t="shared" si="7"/>
        <v>kobieta</v>
      </c>
      <c r="R137">
        <f t="shared" si="8"/>
        <v>3</v>
      </c>
    </row>
    <row r="138" spans="1:18" x14ac:dyDescent="0.25">
      <c r="A138" t="s">
        <v>25</v>
      </c>
      <c r="B138" s="1" t="s">
        <v>162</v>
      </c>
      <c r="K138">
        <v>79</v>
      </c>
      <c r="N138">
        <v>83</v>
      </c>
      <c r="P138" t="str">
        <f t="shared" si="6"/>
        <v>6</v>
      </c>
      <c r="Q138" t="str">
        <f t="shared" si="7"/>
        <v>kobieta</v>
      </c>
      <c r="R138">
        <f t="shared" si="8"/>
        <v>2</v>
      </c>
    </row>
    <row r="139" spans="1:18" x14ac:dyDescent="0.25">
      <c r="A139" t="s">
        <v>25</v>
      </c>
      <c r="B139" s="1" t="s">
        <v>163</v>
      </c>
      <c r="G139">
        <v>66</v>
      </c>
      <c r="I139">
        <v>93</v>
      </c>
      <c r="K139">
        <v>83</v>
      </c>
      <c r="N139">
        <v>100</v>
      </c>
      <c r="P139" t="str">
        <f t="shared" si="6"/>
        <v>8</v>
      </c>
      <c r="Q139" t="str">
        <f t="shared" si="7"/>
        <v>kobieta</v>
      </c>
      <c r="R139">
        <f t="shared" si="8"/>
        <v>4</v>
      </c>
    </row>
    <row r="140" spans="1:18" x14ac:dyDescent="0.25">
      <c r="A140" t="s">
        <v>25</v>
      </c>
      <c r="B140" s="1" t="s">
        <v>164</v>
      </c>
      <c r="F140">
        <v>75</v>
      </c>
      <c r="I140">
        <v>83</v>
      </c>
      <c r="M140">
        <v>30</v>
      </c>
      <c r="N140">
        <v>80</v>
      </c>
      <c r="P140" t="str">
        <f t="shared" si="6"/>
        <v>4</v>
      </c>
      <c r="Q140" t="str">
        <f t="shared" si="7"/>
        <v>kobieta</v>
      </c>
      <c r="R140">
        <f t="shared" si="8"/>
        <v>4</v>
      </c>
    </row>
    <row r="141" spans="1:18" x14ac:dyDescent="0.25">
      <c r="A141" t="s">
        <v>25</v>
      </c>
      <c r="B141" s="1" t="s">
        <v>165</v>
      </c>
      <c r="K141">
        <v>96</v>
      </c>
      <c r="P141" t="str">
        <f t="shared" si="6"/>
        <v>4</v>
      </c>
      <c r="Q141" t="str">
        <f t="shared" si="7"/>
        <v>kobieta</v>
      </c>
      <c r="R141">
        <f t="shared" si="8"/>
        <v>1</v>
      </c>
    </row>
    <row r="142" spans="1:18" x14ac:dyDescent="0.25">
      <c r="A142" t="s">
        <v>25</v>
      </c>
      <c r="B142" s="1" t="s">
        <v>166</v>
      </c>
      <c r="G142">
        <v>24</v>
      </c>
      <c r="I142">
        <v>63</v>
      </c>
      <c r="K142">
        <v>61</v>
      </c>
      <c r="N142">
        <v>58</v>
      </c>
      <c r="O142">
        <v>16</v>
      </c>
      <c r="P142" t="str">
        <f t="shared" si="6"/>
        <v>6</v>
      </c>
      <c r="Q142" t="str">
        <f t="shared" si="7"/>
        <v>kobieta</v>
      </c>
      <c r="R142">
        <f t="shared" si="8"/>
        <v>5</v>
      </c>
    </row>
    <row r="143" spans="1:18" x14ac:dyDescent="0.25">
      <c r="A143" t="s">
        <v>25</v>
      </c>
      <c r="B143" s="1" t="s">
        <v>167</v>
      </c>
      <c r="G143">
        <v>72</v>
      </c>
      <c r="I143">
        <v>76</v>
      </c>
      <c r="K143">
        <v>77</v>
      </c>
      <c r="N143">
        <v>75</v>
      </c>
      <c r="O143">
        <v>46</v>
      </c>
      <c r="P143" t="str">
        <f t="shared" si="6"/>
        <v>0</v>
      </c>
      <c r="Q143" t="str">
        <f t="shared" si="7"/>
        <v>kobieta</v>
      </c>
      <c r="R143">
        <f t="shared" si="8"/>
        <v>5</v>
      </c>
    </row>
    <row r="144" spans="1:18" x14ac:dyDescent="0.25">
      <c r="A144" t="s">
        <v>25</v>
      </c>
      <c r="B144" s="1" t="s">
        <v>168</v>
      </c>
      <c r="I144">
        <v>71</v>
      </c>
      <c r="K144">
        <v>70</v>
      </c>
      <c r="N144">
        <v>55</v>
      </c>
      <c r="P144" t="str">
        <f t="shared" si="6"/>
        <v>8</v>
      </c>
      <c r="Q144" t="str">
        <f t="shared" si="7"/>
        <v>kobieta</v>
      </c>
      <c r="R144">
        <f t="shared" si="8"/>
        <v>3</v>
      </c>
    </row>
    <row r="145" spans="1:18" x14ac:dyDescent="0.25">
      <c r="A145" t="s">
        <v>25</v>
      </c>
      <c r="B145" s="1" t="s">
        <v>169</v>
      </c>
      <c r="I145">
        <v>89</v>
      </c>
      <c r="N145">
        <v>63</v>
      </c>
      <c r="P145" t="str">
        <f t="shared" si="6"/>
        <v>6</v>
      </c>
      <c r="Q145" t="str">
        <f t="shared" si="7"/>
        <v>kobieta</v>
      </c>
      <c r="R145">
        <f t="shared" si="8"/>
        <v>2</v>
      </c>
    </row>
    <row r="146" spans="1:18" x14ac:dyDescent="0.25">
      <c r="A146" t="s">
        <v>25</v>
      </c>
      <c r="B146" s="1" t="s">
        <v>170</v>
      </c>
      <c r="I146">
        <v>74</v>
      </c>
      <c r="P146" t="str">
        <f t="shared" si="6"/>
        <v>0</v>
      </c>
      <c r="Q146" t="str">
        <f t="shared" si="7"/>
        <v>kobieta</v>
      </c>
      <c r="R146">
        <f t="shared" si="8"/>
        <v>1</v>
      </c>
    </row>
    <row r="147" spans="1:18" x14ac:dyDescent="0.25">
      <c r="A147" t="s">
        <v>25</v>
      </c>
      <c r="B147" s="1" t="s">
        <v>171</v>
      </c>
      <c r="J147">
        <v>73</v>
      </c>
      <c r="K147">
        <v>82</v>
      </c>
      <c r="N147">
        <v>70</v>
      </c>
      <c r="P147" t="str">
        <f t="shared" si="6"/>
        <v>2</v>
      </c>
      <c r="Q147" t="str">
        <f t="shared" si="7"/>
        <v>kobieta</v>
      </c>
      <c r="R147">
        <f t="shared" si="8"/>
        <v>3</v>
      </c>
    </row>
    <row r="148" spans="1:18" x14ac:dyDescent="0.25">
      <c r="A148" t="s">
        <v>25</v>
      </c>
      <c r="B148" s="1" t="s">
        <v>172</v>
      </c>
      <c r="C148">
        <v>18</v>
      </c>
      <c r="D148">
        <v>12</v>
      </c>
      <c r="P148" t="str">
        <f t="shared" si="6"/>
        <v>0</v>
      </c>
      <c r="Q148" t="str">
        <f t="shared" si="7"/>
        <v>kobieta</v>
      </c>
      <c r="R148">
        <f t="shared" si="8"/>
        <v>2</v>
      </c>
    </row>
    <row r="149" spans="1:18" x14ac:dyDescent="0.25">
      <c r="A149" t="s">
        <v>25</v>
      </c>
      <c r="B149" s="1" t="s">
        <v>173</v>
      </c>
      <c r="I149">
        <v>78</v>
      </c>
      <c r="M149">
        <v>40</v>
      </c>
      <c r="P149" t="str">
        <f t="shared" si="6"/>
        <v>6</v>
      </c>
      <c r="Q149" t="str">
        <f t="shared" si="7"/>
        <v>kobieta</v>
      </c>
      <c r="R149">
        <f t="shared" si="8"/>
        <v>2</v>
      </c>
    </row>
    <row r="150" spans="1:18" x14ac:dyDescent="0.25">
      <c r="A150" t="s">
        <v>25</v>
      </c>
      <c r="B150" s="1" t="s">
        <v>174</v>
      </c>
      <c r="K150">
        <v>71</v>
      </c>
      <c r="N150">
        <v>58</v>
      </c>
      <c r="P150" t="str">
        <f t="shared" si="6"/>
        <v>8</v>
      </c>
      <c r="Q150" t="str">
        <f t="shared" si="7"/>
        <v>kobieta</v>
      </c>
      <c r="R150">
        <f t="shared" si="8"/>
        <v>2</v>
      </c>
    </row>
    <row r="151" spans="1:18" x14ac:dyDescent="0.25">
      <c r="A151" t="s">
        <v>25</v>
      </c>
      <c r="B151" s="1" t="s">
        <v>175</v>
      </c>
      <c r="F151">
        <v>53</v>
      </c>
      <c r="I151">
        <v>66</v>
      </c>
      <c r="K151">
        <v>67</v>
      </c>
      <c r="N151">
        <v>63</v>
      </c>
      <c r="P151" t="str">
        <f t="shared" si="6"/>
        <v>2</v>
      </c>
      <c r="Q151" t="str">
        <f t="shared" si="7"/>
        <v>kobieta</v>
      </c>
      <c r="R151">
        <f t="shared" si="8"/>
        <v>4</v>
      </c>
    </row>
    <row r="152" spans="1:18" x14ac:dyDescent="0.25">
      <c r="A152" t="s">
        <v>25</v>
      </c>
      <c r="B152" s="1" t="s">
        <v>176</v>
      </c>
      <c r="F152">
        <v>52</v>
      </c>
      <c r="K152">
        <v>70</v>
      </c>
      <c r="M152">
        <v>36</v>
      </c>
      <c r="P152" t="str">
        <f t="shared" si="6"/>
        <v>2</v>
      </c>
      <c r="Q152" t="str">
        <f t="shared" si="7"/>
        <v>kobieta</v>
      </c>
      <c r="R152">
        <f t="shared" si="8"/>
        <v>3</v>
      </c>
    </row>
    <row r="153" spans="1:18" x14ac:dyDescent="0.25">
      <c r="A153" t="s">
        <v>25</v>
      </c>
      <c r="B153" s="1" t="s">
        <v>177</v>
      </c>
      <c r="C153">
        <v>43</v>
      </c>
      <c r="D153">
        <v>43</v>
      </c>
      <c r="K153">
        <v>70</v>
      </c>
      <c r="P153" t="str">
        <f t="shared" si="6"/>
        <v>8</v>
      </c>
      <c r="Q153" t="str">
        <f t="shared" si="7"/>
        <v>kobieta</v>
      </c>
      <c r="R153">
        <f t="shared" si="8"/>
        <v>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workbookViewId="0">
      <selection activeCell="E1" sqref="E1:F1048576"/>
    </sheetView>
  </sheetViews>
  <sheetFormatPr defaultRowHeight="15" x14ac:dyDescent="0.25"/>
  <cols>
    <col min="1" max="1" width="6.5703125" bestFit="1" customWidth="1"/>
    <col min="2" max="2" width="13.7109375" customWidth="1"/>
    <col min="3" max="3" width="14" bestFit="1" customWidth="1"/>
    <col min="4" max="4" width="8.140625" bestFit="1" customWidth="1"/>
    <col min="5" max="5" width="13.140625" customWidth="1"/>
    <col min="6" max="6" width="17.85546875" customWidth="1"/>
    <col min="8" max="8" width="17.7109375" bestFit="1" customWidth="1"/>
    <col min="9" max="9" width="16.7109375" customWidth="1"/>
    <col min="10" max="10" width="22.85546875" bestFit="1" customWidth="1"/>
  </cols>
  <sheetData>
    <row r="1" spans="1:10" x14ac:dyDescent="0.25">
      <c r="A1" s="2" t="s">
        <v>0</v>
      </c>
      <c r="B1" s="3" t="s">
        <v>1</v>
      </c>
      <c r="C1" s="2" t="s">
        <v>16</v>
      </c>
      <c r="D1" s="2" t="s">
        <v>18</v>
      </c>
      <c r="E1" s="2" t="s">
        <v>200</v>
      </c>
      <c r="F1" s="2" t="s">
        <v>199</v>
      </c>
    </row>
    <row r="2" spans="1:10" x14ac:dyDescent="0.25">
      <c r="A2" t="s">
        <v>21</v>
      </c>
      <c r="B2" s="1" t="s">
        <v>26</v>
      </c>
      <c r="C2">
        <v>80</v>
      </c>
      <c r="D2">
        <v>67</v>
      </c>
      <c r="E2" t="str">
        <f>MID(B2,10,1)</f>
        <v>2</v>
      </c>
      <c r="F2" t="str">
        <f>IF(MOD(E2,2) = 0,"kobieta","mężczyzna")</f>
        <v>kobieta</v>
      </c>
    </row>
    <row r="3" spans="1:10" x14ac:dyDescent="0.25">
      <c r="A3" t="s">
        <v>21</v>
      </c>
      <c r="B3" s="1" t="s">
        <v>27</v>
      </c>
      <c r="C3">
        <v>56</v>
      </c>
      <c r="D3">
        <v>40</v>
      </c>
      <c r="E3" t="str">
        <f t="shared" ref="E3:E66" si="0">MID(B3,10,1)</f>
        <v>4</v>
      </c>
      <c r="F3" t="str">
        <f t="shared" ref="F3:F66" si="1">IF(MOD(E3,2) = 0,"kobieta","mężczyzna")</f>
        <v>kobieta</v>
      </c>
    </row>
    <row r="4" spans="1:10" x14ac:dyDescent="0.25">
      <c r="A4" t="s">
        <v>21</v>
      </c>
      <c r="B4" s="1" t="s">
        <v>28</v>
      </c>
      <c r="C4">
        <v>60</v>
      </c>
      <c r="D4">
        <v>61</v>
      </c>
      <c r="E4" t="str">
        <f t="shared" si="0"/>
        <v>4</v>
      </c>
      <c r="F4" t="str">
        <f t="shared" si="1"/>
        <v>kobieta</v>
      </c>
      <c r="H4" s="4" t="s">
        <v>178</v>
      </c>
      <c r="I4" t="s">
        <v>201</v>
      </c>
      <c r="J4" t="s">
        <v>202</v>
      </c>
    </row>
    <row r="5" spans="1:10" x14ac:dyDescent="0.25">
      <c r="A5" t="s">
        <v>21</v>
      </c>
      <c r="B5" s="1" t="s">
        <v>29</v>
      </c>
      <c r="C5">
        <v>70</v>
      </c>
      <c r="D5">
        <v>73</v>
      </c>
      <c r="E5" t="str">
        <f t="shared" si="0"/>
        <v>0</v>
      </c>
      <c r="F5" t="str">
        <f t="shared" si="1"/>
        <v>kobieta</v>
      </c>
      <c r="H5" s="15" t="s">
        <v>203</v>
      </c>
      <c r="I5" s="16">
        <v>62.409523809523812</v>
      </c>
      <c r="J5" s="16">
        <v>71.48571428571428</v>
      </c>
    </row>
    <row r="6" spans="1:10" x14ac:dyDescent="0.25">
      <c r="A6" t="s">
        <v>21</v>
      </c>
      <c r="B6" s="1" t="s">
        <v>30</v>
      </c>
      <c r="C6">
        <v>70</v>
      </c>
      <c r="D6">
        <v>51</v>
      </c>
      <c r="E6" t="str">
        <f t="shared" si="0"/>
        <v>1</v>
      </c>
      <c r="F6" t="str">
        <f t="shared" si="1"/>
        <v>mężczyzna</v>
      </c>
      <c r="H6" s="15" t="s">
        <v>204</v>
      </c>
      <c r="I6" s="16">
        <v>60.787234042553195</v>
      </c>
      <c r="J6" s="16">
        <v>78.936170212765958</v>
      </c>
    </row>
    <row r="7" spans="1:10" x14ac:dyDescent="0.25">
      <c r="A7" t="s">
        <v>21</v>
      </c>
      <c r="B7" s="1" t="s">
        <v>31</v>
      </c>
      <c r="C7">
        <v>48</v>
      </c>
      <c r="D7">
        <v>40</v>
      </c>
      <c r="E7" t="str">
        <f t="shared" si="0"/>
        <v>1</v>
      </c>
      <c r="F7" t="str">
        <f t="shared" si="1"/>
        <v>mężczyzna</v>
      </c>
      <c r="H7" s="15" t="s">
        <v>179</v>
      </c>
      <c r="I7" s="16">
        <v>61.907894736842103</v>
      </c>
      <c r="J7" s="16">
        <v>73.78947368421052</v>
      </c>
    </row>
    <row r="8" spans="1:10" x14ac:dyDescent="0.25">
      <c r="A8" t="s">
        <v>21</v>
      </c>
      <c r="B8" s="1" t="s">
        <v>32</v>
      </c>
      <c r="C8">
        <v>94</v>
      </c>
      <c r="D8">
        <v>74</v>
      </c>
      <c r="E8" t="str">
        <f t="shared" si="0"/>
        <v>8</v>
      </c>
      <c r="F8" t="str">
        <f t="shared" si="1"/>
        <v>kobieta</v>
      </c>
    </row>
    <row r="9" spans="1:10" x14ac:dyDescent="0.25">
      <c r="A9" t="s">
        <v>21</v>
      </c>
      <c r="B9" s="1" t="s">
        <v>33</v>
      </c>
      <c r="C9">
        <v>96</v>
      </c>
      <c r="D9">
        <v>77</v>
      </c>
      <c r="E9" t="str">
        <f t="shared" si="0"/>
        <v>6</v>
      </c>
      <c r="F9" t="str">
        <f t="shared" si="1"/>
        <v>kobieta</v>
      </c>
    </row>
    <row r="10" spans="1:10" x14ac:dyDescent="0.25">
      <c r="A10" t="s">
        <v>21</v>
      </c>
      <c r="B10" s="1" t="s">
        <v>34</v>
      </c>
      <c r="C10">
        <v>86</v>
      </c>
      <c r="D10">
        <v>73</v>
      </c>
      <c r="E10" t="str">
        <f t="shared" si="0"/>
        <v>3</v>
      </c>
      <c r="F10" t="str">
        <f t="shared" si="1"/>
        <v>mężczyzna</v>
      </c>
    </row>
    <row r="11" spans="1:10" x14ac:dyDescent="0.25">
      <c r="A11" t="s">
        <v>21</v>
      </c>
      <c r="B11" s="1" t="s">
        <v>35</v>
      </c>
      <c r="C11">
        <v>40</v>
      </c>
      <c r="D11">
        <v>43</v>
      </c>
      <c r="E11" t="str">
        <f t="shared" si="0"/>
        <v>6</v>
      </c>
      <c r="F11" t="str">
        <f t="shared" si="1"/>
        <v>kobieta</v>
      </c>
    </row>
    <row r="12" spans="1:10" x14ac:dyDescent="0.25">
      <c r="A12" t="s">
        <v>21</v>
      </c>
      <c r="B12" s="1" t="s">
        <v>36</v>
      </c>
      <c r="C12">
        <v>70</v>
      </c>
      <c r="D12">
        <v>76</v>
      </c>
      <c r="E12" t="str">
        <f t="shared" si="0"/>
        <v>6</v>
      </c>
      <c r="F12" t="str">
        <f t="shared" si="1"/>
        <v>kobieta</v>
      </c>
    </row>
    <row r="13" spans="1:10" x14ac:dyDescent="0.25">
      <c r="A13" t="s">
        <v>21</v>
      </c>
      <c r="B13" s="1" t="s">
        <v>37</v>
      </c>
      <c r="C13">
        <v>98</v>
      </c>
      <c r="D13">
        <v>80</v>
      </c>
      <c r="E13" t="str">
        <f t="shared" si="0"/>
        <v>4</v>
      </c>
      <c r="F13" t="str">
        <f t="shared" si="1"/>
        <v>kobieta</v>
      </c>
    </row>
    <row r="14" spans="1:10" x14ac:dyDescent="0.25">
      <c r="A14" t="s">
        <v>21</v>
      </c>
      <c r="B14" s="1" t="s">
        <v>38</v>
      </c>
      <c r="C14">
        <v>92</v>
      </c>
      <c r="D14">
        <v>79</v>
      </c>
      <c r="E14" t="str">
        <f t="shared" si="0"/>
        <v>0</v>
      </c>
      <c r="F14" t="str">
        <f t="shared" si="1"/>
        <v>kobieta</v>
      </c>
    </row>
    <row r="15" spans="1:10" x14ac:dyDescent="0.25">
      <c r="A15" t="s">
        <v>21</v>
      </c>
      <c r="B15" s="1" t="s">
        <v>39</v>
      </c>
      <c r="C15">
        <v>88</v>
      </c>
      <c r="D15">
        <v>59</v>
      </c>
      <c r="E15" t="str">
        <f t="shared" si="0"/>
        <v>4</v>
      </c>
      <c r="F15" t="str">
        <f t="shared" si="1"/>
        <v>kobieta</v>
      </c>
    </row>
    <row r="16" spans="1:10" x14ac:dyDescent="0.25">
      <c r="A16" t="s">
        <v>21</v>
      </c>
      <c r="B16" s="1" t="s">
        <v>40</v>
      </c>
      <c r="C16">
        <v>92</v>
      </c>
      <c r="D16">
        <v>56</v>
      </c>
      <c r="E16" t="str">
        <f t="shared" si="0"/>
        <v>1</v>
      </c>
      <c r="F16" t="str">
        <f t="shared" si="1"/>
        <v>mężczyzna</v>
      </c>
    </row>
    <row r="17" spans="1:6" x14ac:dyDescent="0.25">
      <c r="A17" t="s">
        <v>21</v>
      </c>
      <c r="B17" s="1" t="s">
        <v>41</v>
      </c>
      <c r="C17">
        <v>58</v>
      </c>
      <c r="D17">
        <v>59</v>
      </c>
      <c r="E17" t="str">
        <f t="shared" si="0"/>
        <v>6</v>
      </c>
      <c r="F17" t="str">
        <f t="shared" si="1"/>
        <v>kobieta</v>
      </c>
    </row>
    <row r="18" spans="1:6" x14ac:dyDescent="0.25">
      <c r="A18" t="s">
        <v>21</v>
      </c>
      <c r="B18" s="1" t="s">
        <v>42</v>
      </c>
      <c r="C18">
        <v>78</v>
      </c>
      <c r="D18">
        <v>54</v>
      </c>
      <c r="E18" t="str">
        <f t="shared" si="0"/>
        <v>0</v>
      </c>
      <c r="F18" t="str">
        <f t="shared" si="1"/>
        <v>kobieta</v>
      </c>
    </row>
    <row r="19" spans="1:6" x14ac:dyDescent="0.25">
      <c r="A19" t="s">
        <v>21</v>
      </c>
      <c r="B19" s="1" t="s">
        <v>43</v>
      </c>
      <c r="C19">
        <v>92</v>
      </c>
      <c r="D19">
        <v>73</v>
      </c>
      <c r="E19" t="str">
        <f t="shared" si="0"/>
        <v>4</v>
      </c>
      <c r="F19" t="str">
        <f t="shared" si="1"/>
        <v>kobieta</v>
      </c>
    </row>
    <row r="20" spans="1:6" x14ac:dyDescent="0.25">
      <c r="A20" t="s">
        <v>21</v>
      </c>
      <c r="B20" s="1" t="s">
        <v>44</v>
      </c>
      <c r="C20">
        <v>78</v>
      </c>
      <c r="D20">
        <v>56</v>
      </c>
      <c r="E20" t="str">
        <f t="shared" si="0"/>
        <v>0</v>
      </c>
      <c r="F20" t="str">
        <f t="shared" si="1"/>
        <v>kobieta</v>
      </c>
    </row>
    <row r="21" spans="1:6" x14ac:dyDescent="0.25">
      <c r="A21" t="s">
        <v>21</v>
      </c>
      <c r="B21" s="1" t="s">
        <v>45</v>
      </c>
      <c r="C21">
        <v>64</v>
      </c>
      <c r="D21">
        <v>84</v>
      </c>
      <c r="E21" t="str">
        <f t="shared" si="0"/>
        <v>8</v>
      </c>
      <c r="F21" t="str">
        <f t="shared" si="1"/>
        <v>kobieta</v>
      </c>
    </row>
    <row r="22" spans="1:6" x14ac:dyDescent="0.25">
      <c r="A22" t="s">
        <v>21</v>
      </c>
      <c r="B22" s="1" t="s">
        <v>46</v>
      </c>
      <c r="C22">
        <v>70</v>
      </c>
      <c r="D22">
        <v>64</v>
      </c>
      <c r="E22" t="str">
        <f t="shared" si="0"/>
        <v>2</v>
      </c>
      <c r="F22" t="str">
        <f t="shared" si="1"/>
        <v>kobieta</v>
      </c>
    </row>
    <row r="23" spans="1:6" x14ac:dyDescent="0.25">
      <c r="A23" t="s">
        <v>21</v>
      </c>
      <c r="B23" s="1" t="s">
        <v>47</v>
      </c>
      <c r="C23">
        <v>58</v>
      </c>
      <c r="D23">
        <v>54</v>
      </c>
      <c r="E23" t="str">
        <f t="shared" si="0"/>
        <v>4</v>
      </c>
      <c r="F23" t="str">
        <f t="shared" si="1"/>
        <v>kobieta</v>
      </c>
    </row>
    <row r="24" spans="1:6" x14ac:dyDescent="0.25">
      <c r="A24" t="s">
        <v>21</v>
      </c>
      <c r="B24" s="1" t="s">
        <v>48</v>
      </c>
      <c r="C24">
        <v>76</v>
      </c>
      <c r="D24">
        <v>50</v>
      </c>
      <c r="E24" t="str">
        <f t="shared" si="0"/>
        <v>4</v>
      </c>
      <c r="F24" t="str">
        <f t="shared" si="1"/>
        <v>kobieta</v>
      </c>
    </row>
    <row r="25" spans="1:6" x14ac:dyDescent="0.25">
      <c r="A25" t="s">
        <v>21</v>
      </c>
      <c r="B25" s="1" t="s">
        <v>49</v>
      </c>
      <c r="C25">
        <v>50</v>
      </c>
      <c r="D25">
        <v>33</v>
      </c>
      <c r="E25" t="str">
        <f t="shared" si="0"/>
        <v>4</v>
      </c>
      <c r="F25" t="str">
        <f t="shared" si="1"/>
        <v>kobieta</v>
      </c>
    </row>
    <row r="26" spans="1:6" x14ac:dyDescent="0.25">
      <c r="A26" t="s">
        <v>21</v>
      </c>
      <c r="B26" s="1" t="s">
        <v>50</v>
      </c>
      <c r="C26">
        <v>62</v>
      </c>
      <c r="D26">
        <v>76</v>
      </c>
      <c r="E26" t="str">
        <f t="shared" si="0"/>
        <v>6</v>
      </c>
      <c r="F26" t="str">
        <f t="shared" si="1"/>
        <v>kobieta</v>
      </c>
    </row>
    <row r="27" spans="1:6" x14ac:dyDescent="0.25">
      <c r="A27" t="s">
        <v>21</v>
      </c>
      <c r="B27" s="1" t="s">
        <v>51</v>
      </c>
      <c r="C27">
        <v>72</v>
      </c>
      <c r="D27">
        <v>84</v>
      </c>
      <c r="E27" t="str">
        <f t="shared" si="0"/>
        <v>6</v>
      </c>
      <c r="F27" t="str">
        <f t="shared" si="1"/>
        <v>kobieta</v>
      </c>
    </row>
    <row r="28" spans="1:6" x14ac:dyDescent="0.25">
      <c r="A28" t="s">
        <v>21</v>
      </c>
      <c r="B28" s="1" t="s">
        <v>52</v>
      </c>
      <c r="C28">
        <v>80</v>
      </c>
      <c r="D28">
        <v>74</v>
      </c>
      <c r="E28" t="str">
        <f t="shared" si="0"/>
        <v>6</v>
      </c>
      <c r="F28" t="str">
        <f t="shared" si="1"/>
        <v>kobieta</v>
      </c>
    </row>
    <row r="29" spans="1:6" x14ac:dyDescent="0.25">
      <c r="A29" t="s">
        <v>21</v>
      </c>
      <c r="B29" s="1" t="s">
        <v>53</v>
      </c>
      <c r="C29">
        <v>86</v>
      </c>
      <c r="D29">
        <v>64</v>
      </c>
      <c r="E29" t="str">
        <f t="shared" si="0"/>
        <v>4</v>
      </c>
      <c r="F29" t="str">
        <f t="shared" si="1"/>
        <v>kobieta</v>
      </c>
    </row>
    <row r="30" spans="1:6" x14ac:dyDescent="0.25">
      <c r="A30" t="s">
        <v>21</v>
      </c>
      <c r="B30" s="1" t="s">
        <v>54</v>
      </c>
      <c r="C30">
        <v>82</v>
      </c>
      <c r="D30">
        <v>60</v>
      </c>
      <c r="E30" t="str">
        <f t="shared" si="0"/>
        <v>4</v>
      </c>
      <c r="F30" t="str">
        <f t="shared" si="1"/>
        <v>kobieta</v>
      </c>
    </row>
    <row r="31" spans="1:6" x14ac:dyDescent="0.25">
      <c r="A31" t="s">
        <v>21</v>
      </c>
      <c r="B31" s="1" t="s">
        <v>55</v>
      </c>
      <c r="C31">
        <v>80</v>
      </c>
      <c r="D31">
        <v>63</v>
      </c>
      <c r="E31" t="str">
        <f t="shared" si="0"/>
        <v>4</v>
      </c>
      <c r="F31" t="str">
        <f t="shared" si="1"/>
        <v>kobieta</v>
      </c>
    </row>
    <row r="32" spans="1:6" x14ac:dyDescent="0.25">
      <c r="A32" t="s">
        <v>21</v>
      </c>
      <c r="B32" s="1" t="s">
        <v>56</v>
      </c>
      <c r="C32">
        <v>92</v>
      </c>
      <c r="D32">
        <v>76</v>
      </c>
      <c r="E32" t="str">
        <f t="shared" si="0"/>
        <v>0</v>
      </c>
      <c r="F32" t="str">
        <f t="shared" si="1"/>
        <v>kobieta</v>
      </c>
    </row>
    <row r="33" spans="1:6" x14ac:dyDescent="0.25">
      <c r="A33" t="s">
        <v>21</v>
      </c>
      <c r="B33" s="1" t="s">
        <v>57</v>
      </c>
      <c r="C33">
        <v>94</v>
      </c>
      <c r="D33">
        <v>66</v>
      </c>
      <c r="E33" t="str">
        <f t="shared" si="0"/>
        <v>6</v>
      </c>
      <c r="F33" t="str">
        <f t="shared" si="1"/>
        <v>kobieta</v>
      </c>
    </row>
    <row r="34" spans="1:6" x14ac:dyDescent="0.25">
      <c r="A34" t="s">
        <v>21</v>
      </c>
      <c r="B34" s="1" t="s">
        <v>58</v>
      </c>
      <c r="C34">
        <v>86</v>
      </c>
      <c r="D34">
        <v>63</v>
      </c>
      <c r="E34" t="str">
        <f t="shared" si="0"/>
        <v>3</v>
      </c>
      <c r="F34" t="str">
        <f t="shared" si="1"/>
        <v>mężczyzna</v>
      </c>
    </row>
    <row r="35" spans="1:6" x14ac:dyDescent="0.25">
      <c r="A35" t="s">
        <v>21</v>
      </c>
      <c r="B35" s="1" t="s">
        <v>59</v>
      </c>
      <c r="C35">
        <v>82</v>
      </c>
      <c r="D35">
        <v>79</v>
      </c>
      <c r="E35" t="str">
        <f t="shared" si="0"/>
        <v>0</v>
      </c>
      <c r="F35" t="str">
        <f t="shared" si="1"/>
        <v>kobieta</v>
      </c>
    </row>
    <row r="36" spans="1:6" x14ac:dyDescent="0.25">
      <c r="A36" t="s">
        <v>22</v>
      </c>
      <c r="B36" s="1" t="s">
        <v>60</v>
      </c>
      <c r="C36">
        <v>46</v>
      </c>
      <c r="D36">
        <v>60</v>
      </c>
      <c r="E36" t="str">
        <f t="shared" si="0"/>
        <v>1</v>
      </c>
      <c r="F36" t="str">
        <f t="shared" si="1"/>
        <v>mężczyzna</v>
      </c>
    </row>
    <row r="37" spans="1:6" x14ac:dyDescent="0.25">
      <c r="A37" t="s">
        <v>22</v>
      </c>
      <c r="B37" s="1" t="s">
        <v>61</v>
      </c>
      <c r="C37">
        <v>50</v>
      </c>
      <c r="D37">
        <v>40</v>
      </c>
      <c r="E37" t="str">
        <f t="shared" si="0"/>
        <v>8</v>
      </c>
      <c r="F37" t="str">
        <f t="shared" si="1"/>
        <v>kobieta</v>
      </c>
    </row>
    <row r="38" spans="1:6" x14ac:dyDescent="0.25">
      <c r="A38" t="s">
        <v>22</v>
      </c>
      <c r="B38" s="1" t="s">
        <v>62</v>
      </c>
      <c r="C38">
        <v>88</v>
      </c>
      <c r="D38">
        <v>57</v>
      </c>
      <c r="E38" t="str">
        <f t="shared" si="0"/>
        <v>2</v>
      </c>
      <c r="F38" t="str">
        <f t="shared" si="1"/>
        <v>kobieta</v>
      </c>
    </row>
    <row r="39" spans="1:6" x14ac:dyDescent="0.25">
      <c r="A39" t="s">
        <v>22</v>
      </c>
      <c r="B39" s="1" t="s">
        <v>63</v>
      </c>
      <c r="C39">
        <v>70</v>
      </c>
      <c r="D39">
        <v>56</v>
      </c>
      <c r="E39" t="str">
        <f t="shared" si="0"/>
        <v>0</v>
      </c>
      <c r="F39" t="str">
        <f t="shared" si="1"/>
        <v>kobieta</v>
      </c>
    </row>
    <row r="40" spans="1:6" x14ac:dyDescent="0.25">
      <c r="A40" t="s">
        <v>22</v>
      </c>
      <c r="B40" s="1" t="s">
        <v>64</v>
      </c>
      <c r="C40">
        <v>86</v>
      </c>
      <c r="D40">
        <v>53</v>
      </c>
      <c r="E40" t="str">
        <f t="shared" si="0"/>
        <v>3</v>
      </c>
      <c r="F40" t="str">
        <f t="shared" si="1"/>
        <v>mężczyzna</v>
      </c>
    </row>
    <row r="41" spans="1:6" x14ac:dyDescent="0.25">
      <c r="A41" t="s">
        <v>22</v>
      </c>
      <c r="B41" s="1" t="s">
        <v>65</v>
      </c>
      <c r="C41">
        <v>34</v>
      </c>
      <c r="D41">
        <v>30</v>
      </c>
      <c r="E41" t="str">
        <f t="shared" si="0"/>
        <v>0</v>
      </c>
      <c r="F41" t="str">
        <f t="shared" si="1"/>
        <v>kobieta</v>
      </c>
    </row>
    <row r="42" spans="1:6" x14ac:dyDescent="0.25">
      <c r="A42" t="s">
        <v>22</v>
      </c>
      <c r="B42" s="1" t="s">
        <v>66</v>
      </c>
      <c r="C42">
        <v>68</v>
      </c>
      <c r="D42">
        <v>70</v>
      </c>
      <c r="E42" t="str">
        <f t="shared" si="0"/>
        <v>4</v>
      </c>
      <c r="F42" t="str">
        <f t="shared" si="1"/>
        <v>kobieta</v>
      </c>
    </row>
    <row r="43" spans="1:6" x14ac:dyDescent="0.25">
      <c r="A43" t="s">
        <v>22</v>
      </c>
      <c r="B43" s="1" t="s">
        <v>67</v>
      </c>
      <c r="C43">
        <v>56</v>
      </c>
      <c r="D43">
        <v>79</v>
      </c>
      <c r="E43" t="str">
        <f t="shared" si="0"/>
        <v>9</v>
      </c>
      <c r="F43" t="str">
        <f t="shared" si="1"/>
        <v>mężczyzna</v>
      </c>
    </row>
    <row r="44" spans="1:6" x14ac:dyDescent="0.25">
      <c r="A44" t="s">
        <v>22</v>
      </c>
      <c r="B44" s="1" t="s">
        <v>68</v>
      </c>
      <c r="C44">
        <v>40</v>
      </c>
      <c r="D44">
        <v>80</v>
      </c>
      <c r="E44" t="str">
        <f t="shared" si="0"/>
        <v>5</v>
      </c>
      <c r="F44" t="str">
        <f t="shared" si="1"/>
        <v>mężczyzna</v>
      </c>
    </row>
    <row r="45" spans="1:6" x14ac:dyDescent="0.25">
      <c r="A45" t="s">
        <v>22</v>
      </c>
      <c r="B45" s="1" t="s">
        <v>69</v>
      </c>
      <c r="C45">
        <v>50</v>
      </c>
      <c r="D45">
        <v>54</v>
      </c>
      <c r="E45" t="str">
        <f t="shared" si="0"/>
        <v>8</v>
      </c>
      <c r="F45" t="str">
        <f t="shared" si="1"/>
        <v>kobieta</v>
      </c>
    </row>
    <row r="46" spans="1:6" x14ac:dyDescent="0.25">
      <c r="A46" t="s">
        <v>22</v>
      </c>
      <c r="B46" s="1" t="s">
        <v>70</v>
      </c>
      <c r="C46">
        <v>70</v>
      </c>
      <c r="D46">
        <v>63</v>
      </c>
      <c r="E46" t="str">
        <f t="shared" si="0"/>
        <v>0</v>
      </c>
      <c r="F46" t="str">
        <f t="shared" si="1"/>
        <v>kobieta</v>
      </c>
    </row>
    <row r="47" spans="1:6" x14ac:dyDescent="0.25">
      <c r="A47" t="s">
        <v>22</v>
      </c>
      <c r="B47" s="1" t="s">
        <v>71</v>
      </c>
      <c r="C47">
        <v>64</v>
      </c>
      <c r="D47">
        <v>63</v>
      </c>
      <c r="E47" t="str">
        <f t="shared" si="0"/>
        <v>8</v>
      </c>
      <c r="F47" t="str">
        <f t="shared" si="1"/>
        <v>kobieta</v>
      </c>
    </row>
    <row r="48" spans="1:6" x14ac:dyDescent="0.25">
      <c r="A48" t="s">
        <v>22</v>
      </c>
      <c r="B48" s="1" t="s">
        <v>72</v>
      </c>
      <c r="C48">
        <v>68</v>
      </c>
      <c r="D48">
        <v>51</v>
      </c>
      <c r="E48" t="str">
        <f t="shared" si="0"/>
        <v>0</v>
      </c>
      <c r="F48" t="str">
        <f t="shared" si="1"/>
        <v>kobieta</v>
      </c>
    </row>
    <row r="49" spans="1:6" x14ac:dyDescent="0.25">
      <c r="A49" t="s">
        <v>22</v>
      </c>
      <c r="B49" s="1" t="s">
        <v>73</v>
      </c>
      <c r="C49">
        <v>52</v>
      </c>
      <c r="D49">
        <v>56</v>
      </c>
      <c r="E49" t="str">
        <f t="shared" si="0"/>
        <v>9</v>
      </c>
      <c r="F49" t="str">
        <f t="shared" si="1"/>
        <v>mężczyzna</v>
      </c>
    </row>
    <row r="50" spans="1:6" x14ac:dyDescent="0.25">
      <c r="A50" t="s">
        <v>22</v>
      </c>
      <c r="B50" s="1" t="s">
        <v>74</v>
      </c>
      <c r="C50">
        <v>58</v>
      </c>
      <c r="D50">
        <v>51</v>
      </c>
      <c r="E50" t="str">
        <f t="shared" si="0"/>
        <v>4</v>
      </c>
      <c r="F50" t="str">
        <f t="shared" si="1"/>
        <v>kobieta</v>
      </c>
    </row>
    <row r="51" spans="1:6" x14ac:dyDescent="0.25">
      <c r="A51" t="s">
        <v>22</v>
      </c>
      <c r="B51" s="1" t="s">
        <v>75</v>
      </c>
      <c r="C51">
        <v>72</v>
      </c>
      <c r="D51">
        <v>41</v>
      </c>
      <c r="E51" t="str">
        <f t="shared" si="0"/>
        <v>7</v>
      </c>
      <c r="F51" t="str">
        <f t="shared" si="1"/>
        <v>mężczyzna</v>
      </c>
    </row>
    <row r="52" spans="1:6" x14ac:dyDescent="0.25">
      <c r="A52" t="s">
        <v>22</v>
      </c>
      <c r="B52" s="1" t="s">
        <v>76</v>
      </c>
      <c r="C52">
        <v>56</v>
      </c>
      <c r="D52">
        <v>60</v>
      </c>
      <c r="E52" t="str">
        <f t="shared" si="0"/>
        <v>0</v>
      </c>
      <c r="F52" t="str">
        <f t="shared" si="1"/>
        <v>kobieta</v>
      </c>
    </row>
    <row r="53" spans="1:6" x14ac:dyDescent="0.25">
      <c r="A53" t="s">
        <v>22</v>
      </c>
      <c r="B53" s="1" t="s">
        <v>77</v>
      </c>
      <c r="C53">
        <v>44</v>
      </c>
      <c r="D53">
        <v>66</v>
      </c>
      <c r="E53" t="str">
        <f t="shared" si="0"/>
        <v>1</v>
      </c>
      <c r="F53" t="str">
        <f t="shared" si="1"/>
        <v>mężczyzna</v>
      </c>
    </row>
    <row r="54" spans="1:6" x14ac:dyDescent="0.25">
      <c r="A54" t="s">
        <v>22</v>
      </c>
      <c r="B54" s="1" t="s">
        <v>78</v>
      </c>
      <c r="C54">
        <v>32</v>
      </c>
      <c r="D54">
        <v>51</v>
      </c>
      <c r="E54" t="str">
        <f t="shared" si="0"/>
        <v>4</v>
      </c>
      <c r="F54" t="str">
        <f t="shared" si="1"/>
        <v>kobieta</v>
      </c>
    </row>
    <row r="55" spans="1:6" x14ac:dyDescent="0.25">
      <c r="A55" t="s">
        <v>22</v>
      </c>
      <c r="B55" s="1" t="s">
        <v>79</v>
      </c>
      <c r="C55">
        <v>66</v>
      </c>
      <c r="D55">
        <v>34</v>
      </c>
      <c r="E55" t="str">
        <f t="shared" si="0"/>
        <v>3</v>
      </c>
      <c r="F55" t="str">
        <f t="shared" si="1"/>
        <v>mężczyzna</v>
      </c>
    </row>
    <row r="56" spans="1:6" x14ac:dyDescent="0.25">
      <c r="A56" t="s">
        <v>22</v>
      </c>
      <c r="B56" s="1" t="s">
        <v>80</v>
      </c>
      <c r="C56">
        <v>64</v>
      </c>
      <c r="D56">
        <v>56</v>
      </c>
      <c r="E56" t="str">
        <f t="shared" si="0"/>
        <v>8</v>
      </c>
      <c r="F56" t="str">
        <f t="shared" si="1"/>
        <v>kobieta</v>
      </c>
    </row>
    <row r="57" spans="1:6" x14ac:dyDescent="0.25">
      <c r="A57" t="s">
        <v>22</v>
      </c>
      <c r="B57" s="1" t="s">
        <v>81</v>
      </c>
      <c r="C57">
        <v>72</v>
      </c>
      <c r="D57">
        <v>60</v>
      </c>
      <c r="E57" t="str">
        <f t="shared" si="0"/>
        <v>8</v>
      </c>
      <c r="F57" t="str">
        <f t="shared" si="1"/>
        <v>kobieta</v>
      </c>
    </row>
    <row r="58" spans="1:6" x14ac:dyDescent="0.25">
      <c r="A58" t="s">
        <v>22</v>
      </c>
      <c r="B58" s="1" t="s">
        <v>82</v>
      </c>
      <c r="C58">
        <v>52</v>
      </c>
      <c r="D58">
        <v>46</v>
      </c>
      <c r="E58" t="str">
        <f t="shared" si="0"/>
        <v>8</v>
      </c>
      <c r="F58" t="str">
        <f t="shared" si="1"/>
        <v>kobieta</v>
      </c>
    </row>
    <row r="59" spans="1:6" x14ac:dyDescent="0.25">
      <c r="A59" t="s">
        <v>22</v>
      </c>
      <c r="B59" s="1" t="s">
        <v>83</v>
      </c>
      <c r="C59">
        <v>50</v>
      </c>
      <c r="D59">
        <v>43</v>
      </c>
      <c r="E59" t="str">
        <f t="shared" si="0"/>
        <v>2</v>
      </c>
      <c r="F59" t="str">
        <f t="shared" si="1"/>
        <v>kobieta</v>
      </c>
    </row>
    <row r="60" spans="1:6" x14ac:dyDescent="0.25">
      <c r="A60" t="s">
        <v>22</v>
      </c>
      <c r="B60" s="1" t="s">
        <v>84</v>
      </c>
      <c r="C60">
        <v>58</v>
      </c>
      <c r="D60">
        <v>59</v>
      </c>
      <c r="E60" t="str">
        <f t="shared" si="0"/>
        <v>5</v>
      </c>
      <c r="F60" t="str">
        <f t="shared" si="1"/>
        <v>mężczyzna</v>
      </c>
    </row>
    <row r="61" spans="1:6" x14ac:dyDescent="0.25">
      <c r="A61" t="s">
        <v>22</v>
      </c>
      <c r="B61" s="1" t="s">
        <v>85</v>
      </c>
      <c r="C61">
        <v>78</v>
      </c>
      <c r="D61">
        <v>66</v>
      </c>
      <c r="E61" t="str">
        <f t="shared" si="0"/>
        <v>8</v>
      </c>
      <c r="F61" t="str">
        <f t="shared" si="1"/>
        <v>kobieta</v>
      </c>
    </row>
    <row r="62" spans="1:6" x14ac:dyDescent="0.25">
      <c r="A62" t="s">
        <v>22</v>
      </c>
      <c r="B62" s="1" t="s">
        <v>86</v>
      </c>
      <c r="C62">
        <v>72</v>
      </c>
      <c r="D62">
        <v>69</v>
      </c>
      <c r="E62" t="str">
        <f t="shared" si="0"/>
        <v>4</v>
      </c>
      <c r="F62" t="str">
        <f t="shared" si="1"/>
        <v>kobieta</v>
      </c>
    </row>
    <row r="63" spans="1:6" x14ac:dyDescent="0.25">
      <c r="A63" t="s">
        <v>22</v>
      </c>
      <c r="B63" s="1" t="s">
        <v>87</v>
      </c>
      <c r="C63">
        <v>70</v>
      </c>
      <c r="D63">
        <v>53</v>
      </c>
      <c r="E63" t="str">
        <f t="shared" si="0"/>
        <v>0</v>
      </c>
      <c r="F63" t="str">
        <f t="shared" si="1"/>
        <v>kobieta</v>
      </c>
    </row>
    <row r="64" spans="1:6" x14ac:dyDescent="0.25">
      <c r="A64" t="s">
        <v>22</v>
      </c>
      <c r="B64" s="1" t="s">
        <v>88</v>
      </c>
      <c r="C64">
        <v>60</v>
      </c>
      <c r="D64">
        <v>47</v>
      </c>
      <c r="E64" t="str">
        <f t="shared" si="0"/>
        <v>6</v>
      </c>
      <c r="F64" t="str">
        <f t="shared" si="1"/>
        <v>kobieta</v>
      </c>
    </row>
    <row r="65" spans="1:6" x14ac:dyDescent="0.25">
      <c r="A65" t="s">
        <v>22</v>
      </c>
      <c r="B65" s="1" t="s">
        <v>89</v>
      </c>
      <c r="C65">
        <v>66</v>
      </c>
      <c r="D65">
        <v>66</v>
      </c>
      <c r="E65" t="str">
        <f t="shared" si="0"/>
        <v>2</v>
      </c>
      <c r="F65" t="str">
        <f t="shared" si="1"/>
        <v>kobieta</v>
      </c>
    </row>
    <row r="66" spans="1:6" x14ac:dyDescent="0.25">
      <c r="A66" t="s">
        <v>22</v>
      </c>
      <c r="B66" s="1" t="s">
        <v>90</v>
      </c>
      <c r="C66">
        <v>76</v>
      </c>
      <c r="D66">
        <v>44</v>
      </c>
      <c r="E66" t="str">
        <f t="shared" si="0"/>
        <v>6</v>
      </c>
      <c r="F66" t="str">
        <f t="shared" si="1"/>
        <v>kobieta</v>
      </c>
    </row>
    <row r="67" spans="1:6" x14ac:dyDescent="0.25">
      <c r="A67" t="s">
        <v>23</v>
      </c>
      <c r="B67" s="1" t="s">
        <v>91</v>
      </c>
      <c r="C67">
        <v>76</v>
      </c>
      <c r="D67">
        <v>49</v>
      </c>
      <c r="E67" t="str">
        <f t="shared" ref="E67:E130" si="2">MID(B67,10,1)</f>
        <v>2</v>
      </c>
      <c r="F67" t="str">
        <f t="shared" ref="F67:F130" si="3">IF(MOD(E67,2) = 0,"kobieta","mężczyzna")</f>
        <v>kobieta</v>
      </c>
    </row>
    <row r="68" spans="1:6" x14ac:dyDescent="0.25">
      <c r="A68" t="s">
        <v>23</v>
      </c>
      <c r="B68" s="1" t="s">
        <v>92</v>
      </c>
      <c r="C68">
        <v>76</v>
      </c>
      <c r="D68">
        <v>36</v>
      </c>
      <c r="E68" t="str">
        <f t="shared" si="2"/>
        <v>6</v>
      </c>
      <c r="F68" t="str">
        <f t="shared" si="3"/>
        <v>kobieta</v>
      </c>
    </row>
    <row r="69" spans="1:6" x14ac:dyDescent="0.25">
      <c r="A69" t="s">
        <v>23</v>
      </c>
      <c r="B69" s="1" t="s">
        <v>93</v>
      </c>
      <c r="C69">
        <v>66</v>
      </c>
      <c r="D69">
        <v>54</v>
      </c>
      <c r="E69" t="str">
        <f t="shared" si="2"/>
        <v>2</v>
      </c>
      <c r="F69" t="str">
        <f t="shared" si="3"/>
        <v>kobieta</v>
      </c>
    </row>
    <row r="70" spans="1:6" x14ac:dyDescent="0.25">
      <c r="A70" t="s">
        <v>23</v>
      </c>
      <c r="B70" s="1" t="s">
        <v>94</v>
      </c>
      <c r="C70">
        <v>72</v>
      </c>
      <c r="D70">
        <v>49</v>
      </c>
      <c r="E70" t="str">
        <f t="shared" si="2"/>
        <v>5</v>
      </c>
      <c r="F70" t="str">
        <f t="shared" si="3"/>
        <v>mężczyzna</v>
      </c>
    </row>
    <row r="71" spans="1:6" x14ac:dyDescent="0.25">
      <c r="A71" t="s">
        <v>23</v>
      </c>
      <c r="B71" s="1" t="s">
        <v>95</v>
      </c>
      <c r="C71">
        <v>94</v>
      </c>
      <c r="D71">
        <v>71</v>
      </c>
      <c r="E71" t="str">
        <f t="shared" si="2"/>
        <v>3</v>
      </c>
      <c r="F71" t="str">
        <f t="shared" si="3"/>
        <v>mężczyzna</v>
      </c>
    </row>
    <row r="72" spans="1:6" x14ac:dyDescent="0.25">
      <c r="A72" t="s">
        <v>23</v>
      </c>
      <c r="B72" s="1" t="s">
        <v>96</v>
      </c>
      <c r="C72">
        <v>52</v>
      </c>
      <c r="D72">
        <v>34</v>
      </c>
      <c r="E72" t="str">
        <f t="shared" si="2"/>
        <v>5</v>
      </c>
      <c r="F72" t="str">
        <f t="shared" si="3"/>
        <v>mężczyzna</v>
      </c>
    </row>
    <row r="73" spans="1:6" x14ac:dyDescent="0.25">
      <c r="A73" t="s">
        <v>23</v>
      </c>
      <c r="B73" s="1" t="s">
        <v>97</v>
      </c>
      <c r="C73">
        <v>70</v>
      </c>
      <c r="D73">
        <v>63</v>
      </c>
      <c r="E73" t="str">
        <f t="shared" si="2"/>
        <v>2</v>
      </c>
      <c r="F73" t="str">
        <f t="shared" si="3"/>
        <v>kobieta</v>
      </c>
    </row>
    <row r="74" spans="1:6" x14ac:dyDescent="0.25">
      <c r="A74" t="s">
        <v>23</v>
      </c>
      <c r="B74" s="1" t="s">
        <v>98</v>
      </c>
      <c r="C74">
        <v>88</v>
      </c>
      <c r="D74">
        <v>64</v>
      </c>
      <c r="E74" t="str">
        <f t="shared" si="2"/>
        <v>4</v>
      </c>
      <c r="F74" t="str">
        <f t="shared" si="3"/>
        <v>kobieta</v>
      </c>
    </row>
    <row r="75" spans="1:6" x14ac:dyDescent="0.25">
      <c r="A75" t="s">
        <v>23</v>
      </c>
      <c r="B75" s="1" t="s">
        <v>99</v>
      </c>
      <c r="C75">
        <v>48</v>
      </c>
      <c r="D75">
        <v>49</v>
      </c>
      <c r="E75" t="str">
        <f t="shared" si="2"/>
        <v>4</v>
      </c>
      <c r="F75" t="str">
        <f t="shared" si="3"/>
        <v>kobieta</v>
      </c>
    </row>
    <row r="76" spans="1:6" x14ac:dyDescent="0.25">
      <c r="A76" t="s">
        <v>23</v>
      </c>
      <c r="B76" s="1" t="s">
        <v>100</v>
      </c>
      <c r="C76">
        <v>72</v>
      </c>
      <c r="D76">
        <v>57</v>
      </c>
      <c r="E76" t="str">
        <f t="shared" si="2"/>
        <v>6</v>
      </c>
      <c r="F76" t="str">
        <f t="shared" si="3"/>
        <v>kobieta</v>
      </c>
    </row>
    <row r="77" spans="1:6" x14ac:dyDescent="0.25">
      <c r="A77" t="s">
        <v>23</v>
      </c>
      <c r="B77" s="1" t="s">
        <v>101</v>
      </c>
      <c r="C77">
        <v>78</v>
      </c>
      <c r="D77">
        <v>63</v>
      </c>
      <c r="E77" t="str">
        <f t="shared" si="2"/>
        <v>7</v>
      </c>
      <c r="F77" t="str">
        <f t="shared" si="3"/>
        <v>mężczyzna</v>
      </c>
    </row>
    <row r="78" spans="1:6" x14ac:dyDescent="0.25">
      <c r="A78" t="s">
        <v>23</v>
      </c>
      <c r="B78" s="1" t="s">
        <v>102</v>
      </c>
      <c r="C78">
        <v>64</v>
      </c>
      <c r="D78">
        <v>63</v>
      </c>
      <c r="E78" t="str">
        <f t="shared" si="2"/>
        <v>4</v>
      </c>
      <c r="F78" t="str">
        <f t="shared" si="3"/>
        <v>kobieta</v>
      </c>
    </row>
    <row r="79" spans="1:6" x14ac:dyDescent="0.25">
      <c r="A79" t="s">
        <v>23</v>
      </c>
      <c r="B79" s="1" t="s">
        <v>103</v>
      </c>
      <c r="C79">
        <v>52</v>
      </c>
      <c r="D79">
        <v>51</v>
      </c>
      <c r="E79" t="str">
        <f t="shared" si="2"/>
        <v>5</v>
      </c>
      <c r="F79" t="str">
        <f t="shared" si="3"/>
        <v>mężczyzna</v>
      </c>
    </row>
    <row r="80" spans="1:6" x14ac:dyDescent="0.25">
      <c r="A80" t="s">
        <v>23</v>
      </c>
      <c r="B80" s="1" t="s">
        <v>104</v>
      </c>
      <c r="C80">
        <v>68</v>
      </c>
      <c r="D80">
        <v>47</v>
      </c>
      <c r="E80" t="str">
        <f t="shared" si="2"/>
        <v>2</v>
      </c>
      <c r="F80" t="str">
        <f t="shared" si="3"/>
        <v>kobieta</v>
      </c>
    </row>
    <row r="81" spans="1:6" x14ac:dyDescent="0.25">
      <c r="A81" t="s">
        <v>23</v>
      </c>
      <c r="B81" s="1" t="s">
        <v>105</v>
      </c>
      <c r="C81">
        <v>82</v>
      </c>
      <c r="D81">
        <v>53</v>
      </c>
      <c r="E81" t="str">
        <f t="shared" si="2"/>
        <v>1</v>
      </c>
      <c r="F81" t="str">
        <f t="shared" si="3"/>
        <v>mężczyzna</v>
      </c>
    </row>
    <row r="82" spans="1:6" x14ac:dyDescent="0.25">
      <c r="A82" t="s">
        <v>23</v>
      </c>
      <c r="B82" s="1" t="s">
        <v>106</v>
      </c>
      <c r="C82">
        <v>88</v>
      </c>
      <c r="D82">
        <v>59</v>
      </c>
      <c r="E82" t="str">
        <f t="shared" si="2"/>
        <v>6</v>
      </c>
      <c r="F82" t="str">
        <f t="shared" si="3"/>
        <v>kobieta</v>
      </c>
    </row>
    <row r="83" spans="1:6" x14ac:dyDescent="0.25">
      <c r="A83" t="s">
        <v>23</v>
      </c>
      <c r="B83" s="1" t="s">
        <v>107</v>
      </c>
      <c r="C83">
        <v>76</v>
      </c>
      <c r="D83">
        <v>66</v>
      </c>
      <c r="E83" t="str">
        <f t="shared" si="2"/>
        <v>0</v>
      </c>
      <c r="F83" t="str">
        <f t="shared" si="3"/>
        <v>kobieta</v>
      </c>
    </row>
    <row r="84" spans="1:6" x14ac:dyDescent="0.25">
      <c r="A84" t="s">
        <v>23</v>
      </c>
      <c r="B84" s="1" t="s">
        <v>108</v>
      </c>
      <c r="C84">
        <v>86</v>
      </c>
      <c r="D84">
        <v>63</v>
      </c>
      <c r="E84" t="str">
        <f t="shared" si="2"/>
        <v>2</v>
      </c>
      <c r="F84" t="str">
        <f t="shared" si="3"/>
        <v>kobieta</v>
      </c>
    </row>
    <row r="85" spans="1:6" x14ac:dyDescent="0.25">
      <c r="A85" t="s">
        <v>23</v>
      </c>
      <c r="B85" s="1" t="s">
        <v>109</v>
      </c>
      <c r="C85">
        <v>100</v>
      </c>
      <c r="D85">
        <v>76</v>
      </c>
      <c r="E85" t="str">
        <f t="shared" si="2"/>
        <v>4</v>
      </c>
      <c r="F85" t="str">
        <f t="shared" si="3"/>
        <v>kobieta</v>
      </c>
    </row>
    <row r="86" spans="1:6" x14ac:dyDescent="0.25">
      <c r="A86" t="s">
        <v>23</v>
      </c>
      <c r="B86" s="1" t="s">
        <v>110</v>
      </c>
      <c r="C86">
        <v>74</v>
      </c>
      <c r="D86">
        <v>54</v>
      </c>
      <c r="E86" t="str">
        <f t="shared" si="2"/>
        <v>6</v>
      </c>
      <c r="F86" t="str">
        <f t="shared" si="3"/>
        <v>kobieta</v>
      </c>
    </row>
    <row r="87" spans="1:6" x14ac:dyDescent="0.25">
      <c r="A87" t="s">
        <v>23</v>
      </c>
      <c r="B87" s="1" t="s">
        <v>111</v>
      </c>
      <c r="C87">
        <v>96</v>
      </c>
      <c r="D87">
        <v>91</v>
      </c>
      <c r="E87" t="str">
        <f t="shared" si="2"/>
        <v>0</v>
      </c>
      <c r="F87" t="str">
        <f t="shared" si="3"/>
        <v>kobieta</v>
      </c>
    </row>
    <row r="88" spans="1:6" x14ac:dyDescent="0.25">
      <c r="A88" t="s">
        <v>23</v>
      </c>
      <c r="B88" s="1" t="s">
        <v>112</v>
      </c>
      <c r="C88">
        <v>76</v>
      </c>
      <c r="D88">
        <v>54</v>
      </c>
      <c r="E88" t="str">
        <f t="shared" si="2"/>
        <v>7</v>
      </c>
      <c r="F88" t="str">
        <f t="shared" si="3"/>
        <v>mężczyzna</v>
      </c>
    </row>
    <row r="89" spans="1:6" x14ac:dyDescent="0.25">
      <c r="A89" t="s">
        <v>23</v>
      </c>
      <c r="B89" s="1" t="s">
        <v>113</v>
      </c>
      <c r="C89">
        <v>88</v>
      </c>
      <c r="D89">
        <v>77</v>
      </c>
      <c r="E89" t="str">
        <f t="shared" si="2"/>
        <v>7</v>
      </c>
      <c r="F89" t="str">
        <f t="shared" si="3"/>
        <v>mężczyzna</v>
      </c>
    </row>
    <row r="90" spans="1:6" x14ac:dyDescent="0.25">
      <c r="A90" t="s">
        <v>23</v>
      </c>
      <c r="B90" s="1" t="s">
        <v>114</v>
      </c>
      <c r="C90">
        <v>100</v>
      </c>
      <c r="D90">
        <v>50</v>
      </c>
      <c r="E90" t="str">
        <f t="shared" si="2"/>
        <v>6</v>
      </c>
      <c r="F90" t="str">
        <f t="shared" si="3"/>
        <v>kobieta</v>
      </c>
    </row>
    <row r="91" spans="1:6" x14ac:dyDescent="0.25">
      <c r="A91" t="s">
        <v>23</v>
      </c>
      <c r="B91" s="1" t="s">
        <v>115</v>
      </c>
      <c r="C91">
        <v>78</v>
      </c>
      <c r="D91">
        <v>60</v>
      </c>
      <c r="E91" t="str">
        <f t="shared" si="2"/>
        <v>2</v>
      </c>
      <c r="F91" t="str">
        <f t="shared" si="3"/>
        <v>kobieta</v>
      </c>
    </row>
    <row r="92" spans="1:6" x14ac:dyDescent="0.25">
      <c r="A92" t="s">
        <v>23</v>
      </c>
      <c r="B92" s="1" t="s">
        <v>116</v>
      </c>
      <c r="C92">
        <v>86</v>
      </c>
      <c r="D92">
        <v>63</v>
      </c>
      <c r="E92" t="str">
        <f t="shared" si="2"/>
        <v>0</v>
      </c>
      <c r="F92" t="str">
        <f t="shared" si="3"/>
        <v>kobieta</v>
      </c>
    </row>
    <row r="93" spans="1:6" x14ac:dyDescent="0.25">
      <c r="A93" t="s">
        <v>23</v>
      </c>
      <c r="B93" s="1" t="s">
        <v>117</v>
      </c>
      <c r="C93">
        <v>68</v>
      </c>
      <c r="D93">
        <v>71</v>
      </c>
      <c r="E93" t="str">
        <f t="shared" si="2"/>
        <v>2</v>
      </c>
      <c r="F93" t="str">
        <f t="shared" si="3"/>
        <v>kobieta</v>
      </c>
    </row>
    <row r="94" spans="1:6" x14ac:dyDescent="0.25">
      <c r="A94" t="s">
        <v>24</v>
      </c>
      <c r="B94" s="1" t="s">
        <v>118</v>
      </c>
      <c r="C94">
        <v>90</v>
      </c>
      <c r="D94">
        <v>59</v>
      </c>
      <c r="E94" t="str">
        <f t="shared" si="2"/>
        <v>7</v>
      </c>
      <c r="F94" t="str">
        <f t="shared" si="3"/>
        <v>mężczyzna</v>
      </c>
    </row>
    <row r="95" spans="1:6" x14ac:dyDescent="0.25">
      <c r="A95" t="s">
        <v>24</v>
      </c>
      <c r="B95" s="1" t="s">
        <v>119</v>
      </c>
      <c r="C95">
        <v>90</v>
      </c>
      <c r="D95">
        <v>64</v>
      </c>
      <c r="E95" t="str">
        <f t="shared" si="2"/>
        <v>9</v>
      </c>
      <c r="F95" t="str">
        <f t="shared" si="3"/>
        <v>mężczyzna</v>
      </c>
    </row>
    <row r="96" spans="1:6" x14ac:dyDescent="0.25">
      <c r="A96" t="s">
        <v>24</v>
      </c>
      <c r="B96" s="1" t="s">
        <v>120</v>
      </c>
      <c r="C96">
        <v>100</v>
      </c>
      <c r="D96">
        <v>80</v>
      </c>
      <c r="E96" t="str">
        <f t="shared" si="2"/>
        <v>9</v>
      </c>
      <c r="F96" t="str">
        <f t="shared" si="3"/>
        <v>mężczyzna</v>
      </c>
    </row>
    <row r="97" spans="1:6" x14ac:dyDescent="0.25">
      <c r="A97" t="s">
        <v>24</v>
      </c>
      <c r="B97" s="1" t="s">
        <v>121</v>
      </c>
      <c r="C97">
        <v>86</v>
      </c>
      <c r="D97">
        <v>84</v>
      </c>
      <c r="E97" t="str">
        <f t="shared" si="2"/>
        <v>2</v>
      </c>
      <c r="F97" t="str">
        <f t="shared" si="3"/>
        <v>kobieta</v>
      </c>
    </row>
    <row r="98" spans="1:6" x14ac:dyDescent="0.25">
      <c r="A98" t="s">
        <v>24</v>
      </c>
      <c r="B98" s="1" t="s">
        <v>122</v>
      </c>
      <c r="C98">
        <v>82</v>
      </c>
      <c r="D98">
        <v>60</v>
      </c>
      <c r="E98" t="str">
        <f t="shared" si="2"/>
        <v>7</v>
      </c>
      <c r="F98" t="str">
        <f t="shared" si="3"/>
        <v>mężczyzna</v>
      </c>
    </row>
    <row r="99" spans="1:6" x14ac:dyDescent="0.25">
      <c r="A99" t="s">
        <v>24</v>
      </c>
      <c r="B99" s="1" t="s">
        <v>123</v>
      </c>
      <c r="C99">
        <v>98</v>
      </c>
      <c r="D99">
        <v>73</v>
      </c>
      <c r="E99" t="str">
        <f t="shared" si="2"/>
        <v>3</v>
      </c>
      <c r="F99" t="str">
        <f t="shared" si="3"/>
        <v>mężczyzna</v>
      </c>
    </row>
    <row r="100" spans="1:6" x14ac:dyDescent="0.25">
      <c r="A100" t="s">
        <v>24</v>
      </c>
      <c r="B100" s="1" t="s">
        <v>124</v>
      </c>
      <c r="C100">
        <v>94</v>
      </c>
      <c r="D100">
        <v>76</v>
      </c>
      <c r="E100" t="str">
        <f t="shared" si="2"/>
        <v>4</v>
      </c>
      <c r="F100" t="str">
        <f t="shared" si="3"/>
        <v>kobieta</v>
      </c>
    </row>
    <row r="101" spans="1:6" x14ac:dyDescent="0.25">
      <c r="A101" t="s">
        <v>24</v>
      </c>
      <c r="B101" s="1" t="s">
        <v>125</v>
      </c>
      <c r="C101">
        <v>72</v>
      </c>
      <c r="D101">
        <v>54</v>
      </c>
      <c r="E101" t="str">
        <f t="shared" si="2"/>
        <v>5</v>
      </c>
      <c r="F101" t="str">
        <f t="shared" si="3"/>
        <v>mężczyzna</v>
      </c>
    </row>
    <row r="102" spans="1:6" x14ac:dyDescent="0.25">
      <c r="A102" t="s">
        <v>24</v>
      </c>
      <c r="B102" s="1" t="s">
        <v>126</v>
      </c>
      <c r="C102">
        <v>86</v>
      </c>
      <c r="D102">
        <v>53</v>
      </c>
      <c r="E102" t="str">
        <f t="shared" si="2"/>
        <v>3</v>
      </c>
      <c r="F102" t="str">
        <f t="shared" si="3"/>
        <v>mężczyzna</v>
      </c>
    </row>
    <row r="103" spans="1:6" x14ac:dyDescent="0.25">
      <c r="A103" t="s">
        <v>24</v>
      </c>
      <c r="B103" s="1" t="s">
        <v>127</v>
      </c>
      <c r="C103">
        <v>84</v>
      </c>
      <c r="D103">
        <v>56</v>
      </c>
      <c r="E103" t="str">
        <f t="shared" si="2"/>
        <v>3</v>
      </c>
      <c r="F103" t="str">
        <f t="shared" si="3"/>
        <v>mężczyzna</v>
      </c>
    </row>
    <row r="104" spans="1:6" x14ac:dyDescent="0.25">
      <c r="A104" t="s">
        <v>24</v>
      </c>
      <c r="B104" s="1" t="s">
        <v>128</v>
      </c>
      <c r="C104">
        <v>94</v>
      </c>
      <c r="D104">
        <v>77</v>
      </c>
      <c r="E104" t="str">
        <f t="shared" si="2"/>
        <v>4</v>
      </c>
      <c r="F104" t="str">
        <f t="shared" si="3"/>
        <v>kobieta</v>
      </c>
    </row>
    <row r="105" spans="1:6" x14ac:dyDescent="0.25">
      <c r="A105" t="s">
        <v>24</v>
      </c>
      <c r="B105" s="1" t="s">
        <v>129</v>
      </c>
      <c r="C105">
        <v>78</v>
      </c>
      <c r="D105">
        <v>30</v>
      </c>
      <c r="E105" t="str">
        <f t="shared" si="2"/>
        <v>1</v>
      </c>
      <c r="F105" t="str">
        <f t="shared" si="3"/>
        <v>mężczyzna</v>
      </c>
    </row>
    <row r="106" spans="1:6" x14ac:dyDescent="0.25">
      <c r="A106" t="s">
        <v>24</v>
      </c>
      <c r="B106" s="1" t="s">
        <v>130</v>
      </c>
      <c r="C106">
        <v>80</v>
      </c>
      <c r="D106">
        <v>74</v>
      </c>
      <c r="E106" t="str">
        <f t="shared" si="2"/>
        <v>0</v>
      </c>
      <c r="F106" t="str">
        <f t="shared" si="3"/>
        <v>kobieta</v>
      </c>
    </row>
    <row r="107" spans="1:6" x14ac:dyDescent="0.25">
      <c r="A107" t="s">
        <v>24</v>
      </c>
      <c r="B107" s="1" t="s">
        <v>131</v>
      </c>
      <c r="C107">
        <v>64</v>
      </c>
      <c r="D107">
        <v>54</v>
      </c>
      <c r="E107" t="str">
        <f t="shared" si="2"/>
        <v>2</v>
      </c>
      <c r="F107" t="str">
        <f t="shared" si="3"/>
        <v>kobieta</v>
      </c>
    </row>
    <row r="108" spans="1:6" x14ac:dyDescent="0.25">
      <c r="A108" t="s">
        <v>24</v>
      </c>
      <c r="B108" s="1" t="s">
        <v>132</v>
      </c>
      <c r="C108">
        <v>100</v>
      </c>
      <c r="D108">
        <v>64</v>
      </c>
      <c r="E108" t="str">
        <f t="shared" si="2"/>
        <v>1</v>
      </c>
      <c r="F108" t="str">
        <f t="shared" si="3"/>
        <v>mężczyzna</v>
      </c>
    </row>
    <row r="109" spans="1:6" x14ac:dyDescent="0.25">
      <c r="A109" t="s">
        <v>24</v>
      </c>
      <c r="B109" s="1" t="s">
        <v>133</v>
      </c>
      <c r="C109">
        <v>92</v>
      </c>
      <c r="D109">
        <v>74</v>
      </c>
      <c r="E109" t="str">
        <f t="shared" si="2"/>
        <v>5</v>
      </c>
      <c r="F109" t="str">
        <f t="shared" si="3"/>
        <v>mężczyzna</v>
      </c>
    </row>
    <row r="110" spans="1:6" x14ac:dyDescent="0.25">
      <c r="A110" t="s">
        <v>24</v>
      </c>
      <c r="B110" s="1" t="s">
        <v>134</v>
      </c>
      <c r="C110">
        <v>94</v>
      </c>
      <c r="D110">
        <v>59</v>
      </c>
      <c r="E110" t="str">
        <f t="shared" si="2"/>
        <v>1</v>
      </c>
      <c r="F110" t="str">
        <f t="shared" si="3"/>
        <v>mężczyzna</v>
      </c>
    </row>
    <row r="111" spans="1:6" x14ac:dyDescent="0.25">
      <c r="A111" t="s">
        <v>24</v>
      </c>
      <c r="B111" s="1" t="s">
        <v>135</v>
      </c>
      <c r="C111">
        <v>88</v>
      </c>
      <c r="D111">
        <v>51</v>
      </c>
      <c r="E111" t="str">
        <f t="shared" si="2"/>
        <v>9</v>
      </c>
      <c r="F111" t="str">
        <f t="shared" si="3"/>
        <v>mężczyzna</v>
      </c>
    </row>
    <row r="112" spans="1:6" x14ac:dyDescent="0.25">
      <c r="A112" t="s">
        <v>24</v>
      </c>
      <c r="B112" s="1" t="s">
        <v>136</v>
      </c>
      <c r="C112">
        <v>100</v>
      </c>
      <c r="D112">
        <v>51</v>
      </c>
      <c r="E112" t="str">
        <f t="shared" si="2"/>
        <v>9</v>
      </c>
      <c r="F112" t="str">
        <f t="shared" si="3"/>
        <v>mężczyzna</v>
      </c>
    </row>
    <row r="113" spans="1:6" x14ac:dyDescent="0.25">
      <c r="A113" t="s">
        <v>24</v>
      </c>
      <c r="B113" s="1" t="s">
        <v>137</v>
      </c>
      <c r="C113">
        <v>92</v>
      </c>
      <c r="D113">
        <v>63</v>
      </c>
      <c r="E113" t="str">
        <f t="shared" si="2"/>
        <v>9</v>
      </c>
      <c r="F113" t="str">
        <f t="shared" si="3"/>
        <v>mężczyzna</v>
      </c>
    </row>
    <row r="114" spans="1:6" x14ac:dyDescent="0.25">
      <c r="A114" t="s">
        <v>24</v>
      </c>
      <c r="B114" s="1" t="s">
        <v>138</v>
      </c>
      <c r="C114">
        <v>98</v>
      </c>
      <c r="D114">
        <v>63</v>
      </c>
      <c r="E114" t="str">
        <f t="shared" si="2"/>
        <v>9</v>
      </c>
      <c r="F114" t="str">
        <f t="shared" si="3"/>
        <v>mężczyzna</v>
      </c>
    </row>
    <row r="115" spans="1:6" x14ac:dyDescent="0.25">
      <c r="A115" t="s">
        <v>24</v>
      </c>
      <c r="B115" s="1" t="s">
        <v>139</v>
      </c>
      <c r="C115">
        <v>96</v>
      </c>
      <c r="D115">
        <v>66</v>
      </c>
      <c r="E115" t="str">
        <f t="shared" si="2"/>
        <v>3</v>
      </c>
      <c r="F115" t="str">
        <f t="shared" si="3"/>
        <v>mężczyzna</v>
      </c>
    </row>
    <row r="116" spans="1:6" x14ac:dyDescent="0.25">
      <c r="A116" t="s">
        <v>24</v>
      </c>
      <c r="B116" s="1" t="s">
        <v>140</v>
      </c>
      <c r="C116">
        <v>94</v>
      </c>
      <c r="D116">
        <v>57</v>
      </c>
      <c r="E116" t="str">
        <f t="shared" si="2"/>
        <v>4</v>
      </c>
      <c r="F116" t="str">
        <f t="shared" si="3"/>
        <v>kobieta</v>
      </c>
    </row>
    <row r="117" spans="1:6" x14ac:dyDescent="0.25">
      <c r="A117" t="s">
        <v>24</v>
      </c>
      <c r="B117" s="1" t="s">
        <v>141</v>
      </c>
      <c r="C117">
        <v>94</v>
      </c>
      <c r="D117">
        <v>63</v>
      </c>
      <c r="E117" t="str">
        <f t="shared" si="2"/>
        <v>8</v>
      </c>
      <c r="F117" t="str">
        <f t="shared" si="3"/>
        <v>kobieta</v>
      </c>
    </row>
    <row r="118" spans="1:6" x14ac:dyDescent="0.25">
      <c r="A118" t="s">
        <v>24</v>
      </c>
      <c r="B118" s="1" t="s">
        <v>142</v>
      </c>
      <c r="C118">
        <v>100</v>
      </c>
      <c r="D118">
        <v>70</v>
      </c>
      <c r="E118" t="str">
        <f t="shared" si="2"/>
        <v>4</v>
      </c>
      <c r="F118" t="str">
        <f t="shared" si="3"/>
        <v>kobieta</v>
      </c>
    </row>
    <row r="119" spans="1:6" x14ac:dyDescent="0.25">
      <c r="A119" t="s">
        <v>24</v>
      </c>
      <c r="B119" s="1" t="s">
        <v>143</v>
      </c>
      <c r="C119">
        <v>94</v>
      </c>
      <c r="D119">
        <v>57</v>
      </c>
      <c r="E119" t="str">
        <f t="shared" si="2"/>
        <v>7</v>
      </c>
      <c r="F119" t="str">
        <f t="shared" si="3"/>
        <v>mężczyzna</v>
      </c>
    </row>
    <row r="120" spans="1:6" x14ac:dyDescent="0.25">
      <c r="A120" t="s">
        <v>24</v>
      </c>
      <c r="B120" s="1" t="s">
        <v>144</v>
      </c>
      <c r="C120">
        <v>98</v>
      </c>
      <c r="D120">
        <v>90</v>
      </c>
      <c r="E120" t="str">
        <f t="shared" si="2"/>
        <v>5</v>
      </c>
      <c r="F120" t="str">
        <f t="shared" si="3"/>
        <v>mężczyzna</v>
      </c>
    </row>
    <row r="121" spans="1:6" x14ac:dyDescent="0.25">
      <c r="A121" t="s">
        <v>24</v>
      </c>
      <c r="B121" s="1" t="s">
        <v>145</v>
      </c>
      <c r="C121">
        <v>90</v>
      </c>
      <c r="D121">
        <v>74</v>
      </c>
      <c r="E121" t="str">
        <f t="shared" si="2"/>
        <v>9</v>
      </c>
      <c r="F121" t="str">
        <f t="shared" si="3"/>
        <v>mężczyzna</v>
      </c>
    </row>
    <row r="122" spans="1:6" x14ac:dyDescent="0.25">
      <c r="A122" t="s">
        <v>24</v>
      </c>
      <c r="B122" s="1" t="s">
        <v>146</v>
      </c>
      <c r="C122">
        <v>92</v>
      </c>
      <c r="D122">
        <v>70</v>
      </c>
      <c r="E122" t="str">
        <f t="shared" si="2"/>
        <v>9</v>
      </c>
      <c r="F122" t="str">
        <f t="shared" si="3"/>
        <v>mężczyzna</v>
      </c>
    </row>
    <row r="123" spans="1:6" x14ac:dyDescent="0.25">
      <c r="A123" t="s">
        <v>24</v>
      </c>
      <c r="B123" s="1" t="s">
        <v>147</v>
      </c>
      <c r="C123">
        <v>96</v>
      </c>
      <c r="D123">
        <v>67</v>
      </c>
      <c r="E123" t="str">
        <f t="shared" si="2"/>
        <v>3</v>
      </c>
      <c r="F123" t="str">
        <f t="shared" si="3"/>
        <v>mężczyzna</v>
      </c>
    </row>
    <row r="124" spans="1:6" x14ac:dyDescent="0.25">
      <c r="A124" t="s">
        <v>24</v>
      </c>
      <c r="B124" s="1" t="s">
        <v>148</v>
      </c>
      <c r="C124">
        <v>94</v>
      </c>
      <c r="D124">
        <v>81</v>
      </c>
      <c r="E124" t="str">
        <f t="shared" si="2"/>
        <v>6</v>
      </c>
      <c r="F124" t="str">
        <f t="shared" si="3"/>
        <v>kobieta</v>
      </c>
    </row>
    <row r="125" spans="1:6" x14ac:dyDescent="0.25">
      <c r="A125" t="s">
        <v>24</v>
      </c>
      <c r="B125" s="1" t="s">
        <v>149</v>
      </c>
      <c r="C125">
        <v>82</v>
      </c>
      <c r="D125">
        <v>73</v>
      </c>
      <c r="E125" t="str">
        <f t="shared" si="2"/>
        <v>7</v>
      </c>
      <c r="F125" t="str">
        <f t="shared" si="3"/>
        <v>mężczyzna</v>
      </c>
    </row>
    <row r="126" spans="1:6" x14ac:dyDescent="0.25">
      <c r="A126" t="s">
        <v>24</v>
      </c>
      <c r="B126" s="1" t="s">
        <v>150</v>
      </c>
      <c r="C126">
        <v>98</v>
      </c>
      <c r="D126">
        <v>59</v>
      </c>
      <c r="E126" t="str">
        <f t="shared" si="2"/>
        <v>0</v>
      </c>
      <c r="F126" t="str">
        <f t="shared" si="3"/>
        <v>kobieta</v>
      </c>
    </row>
    <row r="127" spans="1:6" x14ac:dyDescent="0.25">
      <c r="A127" t="s">
        <v>25</v>
      </c>
      <c r="B127" s="1" t="s">
        <v>151</v>
      </c>
      <c r="C127">
        <v>58</v>
      </c>
      <c r="D127">
        <v>69</v>
      </c>
      <c r="E127" t="str">
        <f t="shared" si="2"/>
        <v>3</v>
      </c>
      <c r="F127" t="str">
        <f t="shared" si="3"/>
        <v>mężczyzna</v>
      </c>
    </row>
    <row r="128" spans="1:6" x14ac:dyDescent="0.25">
      <c r="A128" t="s">
        <v>25</v>
      </c>
      <c r="B128" s="1" t="s">
        <v>152</v>
      </c>
      <c r="C128">
        <v>68</v>
      </c>
      <c r="D128">
        <v>69</v>
      </c>
      <c r="E128" t="str">
        <f t="shared" si="2"/>
        <v>4</v>
      </c>
      <c r="F128" t="str">
        <f t="shared" si="3"/>
        <v>kobieta</v>
      </c>
    </row>
    <row r="129" spans="1:6" x14ac:dyDescent="0.25">
      <c r="A129" t="s">
        <v>25</v>
      </c>
      <c r="B129" s="1" t="s">
        <v>153</v>
      </c>
      <c r="C129">
        <v>50</v>
      </c>
      <c r="D129">
        <v>81</v>
      </c>
      <c r="E129" t="str">
        <f t="shared" si="2"/>
        <v>8</v>
      </c>
      <c r="F129" t="str">
        <f t="shared" si="3"/>
        <v>kobieta</v>
      </c>
    </row>
    <row r="130" spans="1:6" x14ac:dyDescent="0.25">
      <c r="A130" t="s">
        <v>25</v>
      </c>
      <c r="B130" s="1" t="s">
        <v>154</v>
      </c>
      <c r="C130">
        <v>58</v>
      </c>
      <c r="D130">
        <v>76</v>
      </c>
      <c r="E130" t="str">
        <f t="shared" si="2"/>
        <v>2</v>
      </c>
      <c r="F130" t="str">
        <f t="shared" si="3"/>
        <v>kobieta</v>
      </c>
    </row>
    <row r="131" spans="1:6" x14ac:dyDescent="0.25">
      <c r="A131" t="s">
        <v>25</v>
      </c>
      <c r="B131" s="1" t="s">
        <v>155</v>
      </c>
      <c r="C131">
        <v>82</v>
      </c>
      <c r="D131">
        <v>73</v>
      </c>
      <c r="E131" t="str">
        <f t="shared" ref="E131:E153" si="4">MID(B131,10,1)</f>
        <v>2</v>
      </c>
      <c r="F131" t="str">
        <f t="shared" ref="F131:F153" si="5">IF(MOD(E131,2) = 0,"kobieta","mężczyzna")</f>
        <v>kobieta</v>
      </c>
    </row>
    <row r="132" spans="1:6" x14ac:dyDescent="0.25">
      <c r="A132" t="s">
        <v>25</v>
      </c>
      <c r="B132" s="1" t="s">
        <v>156</v>
      </c>
      <c r="C132">
        <v>74</v>
      </c>
      <c r="D132">
        <v>61</v>
      </c>
      <c r="E132" t="str">
        <f t="shared" si="4"/>
        <v>4</v>
      </c>
      <c r="F132" t="str">
        <f t="shared" si="5"/>
        <v>kobieta</v>
      </c>
    </row>
    <row r="133" spans="1:6" x14ac:dyDescent="0.25">
      <c r="A133" t="s">
        <v>25</v>
      </c>
      <c r="B133" s="1" t="s">
        <v>157</v>
      </c>
      <c r="C133">
        <v>64</v>
      </c>
      <c r="D133">
        <v>74</v>
      </c>
      <c r="E133" t="str">
        <f t="shared" si="4"/>
        <v>1</v>
      </c>
      <c r="F133" t="str">
        <f t="shared" si="5"/>
        <v>mężczyzna</v>
      </c>
    </row>
    <row r="134" spans="1:6" x14ac:dyDescent="0.25">
      <c r="A134" t="s">
        <v>25</v>
      </c>
      <c r="B134" s="1" t="s">
        <v>158</v>
      </c>
      <c r="C134">
        <v>56</v>
      </c>
      <c r="D134">
        <v>54</v>
      </c>
      <c r="E134" t="str">
        <f t="shared" si="4"/>
        <v>2</v>
      </c>
      <c r="F134" t="str">
        <f t="shared" si="5"/>
        <v>kobieta</v>
      </c>
    </row>
    <row r="135" spans="1:6" x14ac:dyDescent="0.25">
      <c r="A135" t="s">
        <v>25</v>
      </c>
      <c r="B135" s="1" t="s">
        <v>159</v>
      </c>
      <c r="C135">
        <v>56</v>
      </c>
      <c r="D135">
        <v>67</v>
      </c>
      <c r="E135" t="str">
        <f t="shared" si="4"/>
        <v>4</v>
      </c>
      <c r="F135" t="str">
        <f t="shared" si="5"/>
        <v>kobieta</v>
      </c>
    </row>
    <row r="136" spans="1:6" x14ac:dyDescent="0.25">
      <c r="A136" t="s">
        <v>25</v>
      </c>
      <c r="B136" s="1" t="s">
        <v>160</v>
      </c>
      <c r="C136">
        <v>54</v>
      </c>
      <c r="D136">
        <v>60</v>
      </c>
      <c r="E136" t="str">
        <f t="shared" si="4"/>
        <v>6</v>
      </c>
      <c r="F136" t="str">
        <f t="shared" si="5"/>
        <v>kobieta</v>
      </c>
    </row>
    <row r="137" spans="1:6" x14ac:dyDescent="0.25">
      <c r="A137" t="s">
        <v>25</v>
      </c>
      <c r="B137" s="1" t="s">
        <v>161</v>
      </c>
      <c r="C137">
        <v>100</v>
      </c>
      <c r="D137">
        <v>73</v>
      </c>
      <c r="E137" t="str">
        <f t="shared" si="4"/>
        <v>8</v>
      </c>
      <c r="F137" t="str">
        <f t="shared" si="5"/>
        <v>kobieta</v>
      </c>
    </row>
    <row r="138" spans="1:6" x14ac:dyDescent="0.25">
      <c r="A138" t="s">
        <v>25</v>
      </c>
      <c r="B138" s="1" t="s">
        <v>162</v>
      </c>
      <c r="C138">
        <v>56</v>
      </c>
      <c r="D138">
        <v>81</v>
      </c>
      <c r="E138" t="str">
        <f t="shared" si="4"/>
        <v>6</v>
      </c>
      <c r="F138" t="str">
        <f t="shared" si="5"/>
        <v>kobieta</v>
      </c>
    </row>
    <row r="139" spans="1:6" x14ac:dyDescent="0.25">
      <c r="A139" t="s">
        <v>25</v>
      </c>
      <c r="B139" s="1" t="s">
        <v>163</v>
      </c>
      <c r="C139">
        <v>78</v>
      </c>
      <c r="D139">
        <v>90</v>
      </c>
      <c r="E139" t="str">
        <f t="shared" si="4"/>
        <v>8</v>
      </c>
      <c r="F139" t="str">
        <f t="shared" si="5"/>
        <v>kobieta</v>
      </c>
    </row>
    <row r="140" spans="1:6" x14ac:dyDescent="0.25">
      <c r="A140" t="s">
        <v>25</v>
      </c>
      <c r="B140" s="1" t="s">
        <v>164</v>
      </c>
      <c r="C140">
        <v>78</v>
      </c>
      <c r="D140">
        <v>79</v>
      </c>
      <c r="E140" t="str">
        <f t="shared" si="4"/>
        <v>4</v>
      </c>
      <c r="F140" t="str">
        <f t="shared" si="5"/>
        <v>kobieta</v>
      </c>
    </row>
    <row r="141" spans="1:6" x14ac:dyDescent="0.25">
      <c r="A141" t="s">
        <v>25</v>
      </c>
      <c r="B141" s="1" t="s">
        <v>165</v>
      </c>
      <c r="C141">
        <v>44</v>
      </c>
      <c r="D141">
        <v>69</v>
      </c>
      <c r="E141" t="str">
        <f t="shared" si="4"/>
        <v>4</v>
      </c>
      <c r="F141" t="str">
        <f t="shared" si="5"/>
        <v>kobieta</v>
      </c>
    </row>
    <row r="142" spans="1:6" x14ac:dyDescent="0.25">
      <c r="A142" t="s">
        <v>25</v>
      </c>
      <c r="B142" s="1" t="s">
        <v>166</v>
      </c>
      <c r="C142">
        <v>40</v>
      </c>
      <c r="D142">
        <v>76</v>
      </c>
      <c r="E142" t="str">
        <f t="shared" si="4"/>
        <v>6</v>
      </c>
      <c r="F142" t="str">
        <f t="shared" si="5"/>
        <v>kobieta</v>
      </c>
    </row>
    <row r="143" spans="1:6" x14ac:dyDescent="0.25">
      <c r="A143" t="s">
        <v>25</v>
      </c>
      <c r="B143" s="1" t="s">
        <v>167</v>
      </c>
      <c r="C143">
        <v>64</v>
      </c>
      <c r="D143">
        <v>79</v>
      </c>
      <c r="E143" t="str">
        <f t="shared" si="4"/>
        <v>0</v>
      </c>
      <c r="F143" t="str">
        <f t="shared" si="5"/>
        <v>kobieta</v>
      </c>
    </row>
    <row r="144" spans="1:6" x14ac:dyDescent="0.25">
      <c r="A144" t="s">
        <v>25</v>
      </c>
      <c r="B144" s="1" t="s">
        <v>168</v>
      </c>
      <c r="C144">
        <v>40</v>
      </c>
      <c r="D144">
        <v>37</v>
      </c>
      <c r="E144" t="str">
        <f t="shared" si="4"/>
        <v>8</v>
      </c>
      <c r="F144" t="str">
        <f t="shared" si="5"/>
        <v>kobieta</v>
      </c>
    </row>
    <row r="145" spans="1:6" x14ac:dyDescent="0.25">
      <c r="A145" t="s">
        <v>25</v>
      </c>
      <c r="B145" s="1" t="s">
        <v>169</v>
      </c>
      <c r="C145">
        <v>56</v>
      </c>
      <c r="D145">
        <v>57</v>
      </c>
      <c r="E145" t="str">
        <f t="shared" si="4"/>
        <v>6</v>
      </c>
      <c r="F145" t="str">
        <f t="shared" si="5"/>
        <v>kobieta</v>
      </c>
    </row>
    <row r="146" spans="1:6" x14ac:dyDescent="0.25">
      <c r="A146" t="s">
        <v>25</v>
      </c>
      <c r="B146" s="1" t="s">
        <v>170</v>
      </c>
      <c r="C146">
        <v>66</v>
      </c>
      <c r="D146">
        <v>56</v>
      </c>
      <c r="E146" t="str">
        <f t="shared" si="4"/>
        <v>0</v>
      </c>
      <c r="F146" t="str">
        <f t="shared" si="5"/>
        <v>kobieta</v>
      </c>
    </row>
    <row r="147" spans="1:6" x14ac:dyDescent="0.25">
      <c r="A147" t="s">
        <v>25</v>
      </c>
      <c r="B147" s="1" t="s">
        <v>171</v>
      </c>
      <c r="C147">
        <v>68</v>
      </c>
      <c r="D147">
        <v>50</v>
      </c>
      <c r="E147" t="str">
        <f t="shared" si="4"/>
        <v>2</v>
      </c>
      <c r="F147" t="str">
        <f t="shared" si="5"/>
        <v>kobieta</v>
      </c>
    </row>
    <row r="148" spans="1:6" x14ac:dyDescent="0.25">
      <c r="A148" t="s">
        <v>25</v>
      </c>
      <c r="B148" s="1" t="s">
        <v>172</v>
      </c>
      <c r="C148">
        <v>58</v>
      </c>
      <c r="D148">
        <v>43</v>
      </c>
      <c r="E148" t="str">
        <f t="shared" si="4"/>
        <v>0</v>
      </c>
      <c r="F148" t="str">
        <f t="shared" si="5"/>
        <v>kobieta</v>
      </c>
    </row>
    <row r="149" spans="1:6" x14ac:dyDescent="0.25">
      <c r="A149" t="s">
        <v>25</v>
      </c>
      <c r="B149" s="1" t="s">
        <v>173</v>
      </c>
      <c r="C149">
        <v>96</v>
      </c>
      <c r="D149">
        <v>80</v>
      </c>
      <c r="E149" t="str">
        <f t="shared" si="4"/>
        <v>6</v>
      </c>
      <c r="F149" t="str">
        <f t="shared" si="5"/>
        <v>kobieta</v>
      </c>
    </row>
    <row r="150" spans="1:6" x14ac:dyDescent="0.25">
      <c r="A150" t="s">
        <v>25</v>
      </c>
      <c r="B150" s="1" t="s">
        <v>174</v>
      </c>
      <c r="C150">
        <v>38</v>
      </c>
      <c r="D150">
        <v>47</v>
      </c>
      <c r="E150" t="str">
        <f t="shared" si="4"/>
        <v>8</v>
      </c>
      <c r="F150" t="str">
        <f t="shared" si="5"/>
        <v>kobieta</v>
      </c>
    </row>
    <row r="151" spans="1:6" x14ac:dyDescent="0.25">
      <c r="A151" t="s">
        <v>25</v>
      </c>
      <c r="B151" s="1" t="s">
        <v>175</v>
      </c>
      <c r="C151">
        <v>62</v>
      </c>
      <c r="D151">
        <v>71</v>
      </c>
      <c r="E151" t="str">
        <f t="shared" si="4"/>
        <v>2</v>
      </c>
      <c r="F151" t="str">
        <f t="shared" si="5"/>
        <v>kobieta</v>
      </c>
    </row>
    <row r="152" spans="1:6" x14ac:dyDescent="0.25">
      <c r="A152" t="s">
        <v>25</v>
      </c>
      <c r="B152" s="1" t="s">
        <v>176</v>
      </c>
      <c r="C152">
        <v>58</v>
      </c>
      <c r="D152">
        <v>41</v>
      </c>
      <c r="E152" t="str">
        <f t="shared" si="4"/>
        <v>2</v>
      </c>
      <c r="F152" t="str">
        <f t="shared" si="5"/>
        <v>kobieta</v>
      </c>
    </row>
    <row r="153" spans="1:6" x14ac:dyDescent="0.25">
      <c r="A153" t="s">
        <v>25</v>
      </c>
      <c r="B153" s="1" t="s">
        <v>177</v>
      </c>
      <c r="C153">
        <v>62</v>
      </c>
      <c r="D153">
        <v>59</v>
      </c>
      <c r="E153" t="str">
        <f t="shared" si="4"/>
        <v>8</v>
      </c>
      <c r="F153" t="str">
        <f t="shared" si="5"/>
        <v>kobieta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workbookViewId="0">
      <selection activeCell="K12" sqref="K12"/>
    </sheetView>
  </sheetViews>
  <sheetFormatPr defaultRowHeight="15" x14ac:dyDescent="0.25"/>
  <cols>
    <col min="1" max="1" width="6.5703125" bestFit="1" customWidth="1"/>
    <col min="2" max="2" width="13.7109375" customWidth="1"/>
    <col min="3" max="3" width="14" bestFit="1" customWidth="1"/>
    <col min="5" max="5" width="9.85546875" bestFit="1" customWidth="1"/>
    <col min="11" max="11" width="9.85546875" bestFit="1" customWidth="1"/>
    <col min="14" max="14" width="9.85546875" bestFit="1" customWidth="1"/>
  </cols>
  <sheetData>
    <row r="1" spans="1:14" x14ac:dyDescent="0.25">
      <c r="A1" s="2" t="s">
        <v>0</v>
      </c>
      <c r="B1" s="3" t="s">
        <v>1</v>
      </c>
      <c r="C1" s="2" t="s">
        <v>16</v>
      </c>
      <c r="D1" s="2" t="s">
        <v>197</v>
      </c>
    </row>
    <row r="2" spans="1:14" x14ac:dyDescent="0.25">
      <c r="A2" t="s">
        <v>21</v>
      </c>
      <c r="B2" s="1" t="s">
        <v>26</v>
      </c>
      <c r="C2">
        <v>80</v>
      </c>
      <c r="D2" t="str">
        <f>VLOOKUP(C2,$I$4:$J$9,2)</f>
        <v>[76..90]</v>
      </c>
    </row>
    <row r="3" spans="1:14" x14ac:dyDescent="0.25">
      <c r="A3" t="s">
        <v>21</v>
      </c>
      <c r="B3" s="1" t="s">
        <v>27</v>
      </c>
      <c r="C3">
        <v>56</v>
      </c>
      <c r="D3" t="str">
        <f t="shared" ref="D3:D66" si="0">VLOOKUP(C3,$I$4:$J$9,2)</f>
        <v>[51..75]</v>
      </c>
      <c r="I3" s="13" t="s">
        <v>193</v>
      </c>
      <c r="J3" s="13" t="s">
        <v>194</v>
      </c>
      <c r="K3" s="12" t="s">
        <v>195</v>
      </c>
      <c r="L3" s="12" t="s">
        <v>196</v>
      </c>
      <c r="N3" t="s">
        <v>198</v>
      </c>
    </row>
    <row r="4" spans="1:14" x14ac:dyDescent="0.25">
      <c r="A4" t="s">
        <v>21</v>
      </c>
      <c r="B4" s="1" t="s">
        <v>28</v>
      </c>
      <c r="C4">
        <v>60</v>
      </c>
      <c r="D4" t="str">
        <f t="shared" si="0"/>
        <v>[51..75]</v>
      </c>
      <c r="I4" s="13">
        <v>0</v>
      </c>
      <c r="J4" s="13" t="s">
        <v>187</v>
      </c>
      <c r="K4" s="12">
        <f>COUNTIF($D$2:$D$153,"[0..30]")</f>
        <v>0</v>
      </c>
      <c r="L4" s="14">
        <f>K4/$N$4</f>
        <v>0</v>
      </c>
      <c r="N4">
        <f>SUM(K4:K9)</f>
        <v>152</v>
      </c>
    </row>
    <row r="5" spans="1:14" x14ac:dyDescent="0.25">
      <c r="A5" t="s">
        <v>21</v>
      </c>
      <c r="B5" s="1" t="s">
        <v>29</v>
      </c>
      <c r="C5">
        <v>70</v>
      </c>
      <c r="D5" t="str">
        <f t="shared" si="0"/>
        <v>[51..75]</v>
      </c>
      <c r="I5" s="13">
        <v>31</v>
      </c>
      <c r="J5" s="13" t="s">
        <v>188</v>
      </c>
      <c r="K5" s="12">
        <f>COUNTIF($D$2:$D$153,"[31..50]")</f>
        <v>17</v>
      </c>
      <c r="L5" s="14">
        <f t="shared" ref="L5:L9" si="1">K5/$N$4</f>
        <v>0.1118421052631579</v>
      </c>
    </row>
    <row r="6" spans="1:14" x14ac:dyDescent="0.25">
      <c r="A6" t="s">
        <v>21</v>
      </c>
      <c r="B6" s="1" t="s">
        <v>30</v>
      </c>
      <c r="C6">
        <v>70</v>
      </c>
      <c r="D6" t="str">
        <f t="shared" si="0"/>
        <v>[51..75]</v>
      </c>
      <c r="I6" s="13">
        <v>51</v>
      </c>
      <c r="J6" s="13" t="s">
        <v>189</v>
      </c>
      <c r="K6" s="12">
        <f>COUNTIF($D$2:$D$153,"[51..75]")</f>
        <v>59</v>
      </c>
      <c r="L6" s="14">
        <f t="shared" si="1"/>
        <v>0.38815789473684209</v>
      </c>
    </row>
    <row r="7" spans="1:14" x14ac:dyDescent="0.25">
      <c r="A7" t="s">
        <v>21</v>
      </c>
      <c r="B7" s="1" t="s">
        <v>31</v>
      </c>
      <c r="C7">
        <v>48</v>
      </c>
      <c r="D7" t="str">
        <f t="shared" si="0"/>
        <v>[31..50]</v>
      </c>
      <c r="I7" s="13">
        <v>76</v>
      </c>
      <c r="J7" s="13" t="s">
        <v>190</v>
      </c>
      <c r="K7" s="12">
        <f>COUNTIF($D$2:$D$153,"[76..90]")</f>
        <v>42</v>
      </c>
      <c r="L7" s="14">
        <f t="shared" si="1"/>
        <v>0.27631578947368424</v>
      </c>
    </row>
    <row r="8" spans="1:14" x14ac:dyDescent="0.25">
      <c r="A8" t="s">
        <v>21</v>
      </c>
      <c r="B8" s="1" t="s">
        <v>32</v>
      </c>
      <c r="C8">
        <v>94</v>
      </c>
      <c r="D8" t="str">
        <f t="shared" si="0"/>
        <v>[91..99]</v>
      </c>
      <c r="I8" s="13">
        <v>91</v>
      </c>
      <c r="J8" s="13" t="s">
        <v>191</v>
      </c>
      <c r="K8" s="12">
        <f>COUNTIF($D$2:$D$153,"[91..99]")</f>
        <v>27</v>
      </c>
      <c r="L8" s="14">
        <f t="shared" si="1"/>
        <v>0.17763157894736842</v>
      </c>
    </row>
    <row r="9" spans="1:14" x14ac:dyDescent="0.25">
      <c r="A9" t="s">
        <v>21</v>
      </c>
      <c r="B9" s="1" t="s">
        <v>33</v>
      </c>
      <c r="C9">
        <v>96</v>
      </c>
      <c r="D9" t="str">
        <f t="shared" si="0"/>
        <v>[91..99]</v>
      </c>
      <c r="I9" s="13">
        <v>100</v>
      </c>
      <c r="J9" s="13" t="s">
        <v>192</v>
      </c>
      <c r="K9" s="12">
        <f>COUNTIF($D$2:$D$153,"[100]")</f>
        <v>7</v>
      </c>
      <c r="L9" s="14">
        <f t="shared" si="1"/>
        <v>4.6052631578947366E-2</v>
      </c>
    </row>
    <row r="10" spans="1:14" x14ac:dyDescent="0.25">
      <c r="A10" t="s">
        <v>21</v>
      </c>
      <c r="B10" s="1" t="s">
        <v>34</v>
      </c>
      <c r="C10">
        <v>86</v>
      </c>
      <c r="D10" t="str">
        <f t="shared" si="0"/>
        <v>[76..90]</v>
      </c>
    </row>
    <row r="11" spans="1:14" x14ac:dyDescent="0.25">
      <c r="A11" t="s">
        <v>21</v>
      </c>
      <c r="B11" s="1" t="s">
        <v>35</v>
      </c>
      <c r="C11">
        <v>40</v>
      </c>
      <c r="D11" t="str">
        <f t="shared" si="0"/>
        <v>[31..50]</v>
      </c>
    </row>
    <row r="12" spans="1:14" x14ac:dyDescent="0.25">
      <c r="A12" t="s">
        <v>21</v>
      </c>
      <c r="B12" s="1" t="s">
        <v>36</v>
      </c>
      <c r="C12">
        <v>70</v>
      </c>
      <c r="D12" t="str">
        <f t="shared" si="0"/>
        <v>[51..75]</v>
      </c>
    </row>
    <row r="13" spans="1:14" x14ac:dyDescent="0.25">
      <c r="A13" t="s">
        <v>21</v>
      </c>
      <c r="B13" s="1" t="s">
        <v>37</v>
      </c>
      <c r="C13">
        <v>98</v>
      </c>
      <c r="D13" t="str">
        <f t="shared" si="0"/>
        <v>[91..99]</v>
      </c>
    </row>
    <row r="14" spans="1:14" x14ac:dyDescent="0.25">
      <c r="A14" t="s">
        <v>21</v>
      </c>
      <c r="B14" s="1" t="s">
        <v>38</v>
      </c>
      <c r="C14">
        <v>92</v>
      </c>
      <c r="D14" t="str">
        <f t="shared" si="0"/>
        <v>[91..99]</v>
      </c>
    </row>
    <row r="15" spans="1:14" x14ac:dyDescent="0.25">
      <c r="A15" t="s">
        <v>21</v>
      </c>
      <c r="B15" s="1" t="s">
        <v>39</v>
      </c>
      <c r="C15">
        <v>88</v>
      </c>
      <c r="D15" t="str">
        <f t="shared" si="0"/>
        <v>[76..90]</v>
      </c>
    </row>
    <row r="16" spans="1:14" x14ac:dyDescent="0.25">
      <c r="A16" t="s">
        <v>21</v>
      </c>
      <c r="B16" s="1" t="s">
        <v>40</v>
      </c>
      <c r="C16">
        <v>92</v>
      </c>
      <c r="D16" t="str">
        <f t="shared" si="0"/>
        <v>[91..99]</v>
      </c>
    </row>
    <row r="17" spans="1:4" x14ac:dyDescent="0.25">
      <c r="A17" t="s">
        <v>21</v>
      </c>
      <c r="B17" s="1" t="s">
        <v>41</v>
      </c>
      <c r="C17">
        <v>58</v>
      </c>
      <c r="D17" t="str">
        <f t="shared" si="0"/>
        <v>[51..75]</v>
      </c>
    </row>
    <row r="18" spans="1:4" x14ac:dyDescent="0.25">
      <c r="A18" t="s">
        <v>21</v>
      </c>
      <c r="B18" s="1" t="s">
        <v>42</v>
      </c>
      <c r="C18">
        <v>78</v>
      </c>
      <c r="D18" t="str">
        <f t="shared" si="0"/>
        <v>[76..90]</v>
      </c>
    </row>
    <row r="19" spans="1:4" x14ac:dyDescent="0.25">
      <c r="A19" t="s">
        <v>21</v>
      </c>
      <c r="B19" s="1" t="s">
        <v>43</v>
      </c>
      <c r="C19">
        <v>92</v>
      </c>
      <c r="D19" t="str">
        <f t="shared" si="0"/>
        <v>[91..99]</v>
      </c>
    </row>
    <row r="20" spans="1:4" x14ac:dyDescent="0.25">
      <c r="A20" t="s">
        <v>21</v>
      </c>
      <c r="B20" s="1" t="s">
        <v>44</v>
      </c>
      <c r="C20">
        <v>78</v>
      </c>
      <c r="D20" t="str">
        <f t="shared" si="0"/>
        <v>[76..90]</v>
      </c>
    </row>
    <row r="21" spans="1:4" x14ac:dyDescent="0.25">
      <c r="A21" t="s">
        <v>21</v>
      </c>
      <c r="B21" s="1" t="s">
        <v>45</v>
      </c>
      <c r="C21">
        <v>64</v>
      </c>
      <c r="D21" t="str">
        <f t="shared" si="0"/>
        <v>[51..75]</v>
      </c>
    </row>
    <row r="22" spans="1:4" x14ac:dyDescent="0.25">
      <c r="A22" t="s">
        <v>21</v>
      </c>
      <c r="B22" s="1" t="s">
        <v>46</v>
      </c>
      <c r="C22">
        <v>70</v>
      </c>
      <c r="D22" t="str">
        <f t="shared" si="0"/>
        <v>[51..75]</v>
      </c>
    </row>
    <row r="23" spans="1:4" x14ac:dyDescent="0.25">
      <c r="A23" t="s">
        <v>21</v>
      </c>
      <c r="B23" s="1" t="s">
        <v>47</v>
      </c>
      <c r="C23">
        <v>58</v>
      </c>
      <c r="D23" t="str">
        <f t="shared" si="0"/>
        <v>[51..75]</v>
      </c>
    </row>
    <row r="24" spans="1:4" x14ac:dyDescent="0.25">
      <c r="A24" t="s">
        <v>21</v>
      </c>
      <c r="B24" s="1" t="s">
        <v>48</v>
      </c>
      <c r="C24">
        <v>76</v>
      </c>
      <c r="D24" t="str">
        <f t="shared" si="0"/>
        <v>[76..90]</v>
      </c>
    </row>
    <row r="25" spans="1:4" x14ac:dyDescent="0.25">
      <c r="A25" t="s">
        <v>21</v>
      </c>
      <c r="B25" s="1" t="s">
        <v>49</v>
      </c>
      <c r="C25">
        <v>50</v>
      </c>
      <c r="D25" t="str">
        <f t="shared" si="0"/>
        <v>[31..50]</v>
      </c>
    </row>
    <row r="26" spans="1:4" x14ac:dyDescent="0.25">
      <c r="A26" t="s">
        <v>21</v>
      </c>
      <c r="B26" s="1" t="s">
        <v>50</v>
      </c>
      <c r="C26">
        <v>62</v>
      </c>
      <c r="D26" t="str">
        <f t="shared" si="0"/>
        <v>[51..75]</v>
      </c>
    </row>
    <row r="27" spans="1:4" x14ac:dyDescent="0.25">
      <c r="A27" t="s">
        <v>21</v>
      </c>
      <c r="B27" s="1" t="s">
        <v>51</v>
      </c>
      <c r="C27">
        <v>72</v>
      </c>
      <c r="D27" t="str">
        <f t="shared" si="0"/>
        <v>[51..75]</v>
      </c>
    </row>
    <row r="28" spans="1:4" x14ac:dyDescent="0.25">
      <c r="A28" t="s">
        <v>21</v>
      </c>
      <c r="B28" s="1" t="s">
        <v>52</v>
      </c>
      <c r="C28">
        <v>80</v>
      </c>
      <c r="D28" t="str">
        <f t="shared" si="0"/>
        <v>[76..90]</v>
      </c>
    </row>
    <row r="29" spans="1:4" x14ac:dyDescent="0.25">
      <c r="A29" t="s">
        <v>21</v>
      </c>
      <c r="B29" s="1" t="s">
        <v>53</v>
      </c>
      <c r="C29">
        <v>86</v>
      </c>
      <c r="D29" t="str">
        <f t="shared" si="0"/>
        <v>[76..90]</v>
      </c>
    </row>
    <row r="30" spans="1:4" x14ac:dyDescent="0.25">
      <c r="A30" t="s">
        <v>21</v>
      </c>
      <c r="B30" s="1" t="s">
        <v>54</v>
      </c>
      <c r="C30">
        <v>82</v>
      </c>
      <c r="D30" t="str">
        <f t="shared" si="0"/>
        <v>[76..90]</v>
      </c>
    </row>
    <row r="31" spans="1:4" x14ac:dyDescent="0.25">
      <c r="A31" t="s">
        <v>21</v>
      </c>
      <c r="B31" s="1" t="s">
        <v>55</v>
      </c>
      <c r="C31">
        <v>80</v>
      </c>
      <c r="D31" t="str">
        <f t="shared" si="0"/>
        <v>[76..90]</v>
      </c>
    </row>
    <row r="32" spans="1:4" x14ac:dyDescent="0.25">
      <c r="A32" t="s">
        <v>21</v>
      </c>
      <c r="B32" s="1" t="s">
        <v>56</v>
      </c>
      <c r="C32">
        <v>92</v>
      </c>
      <c r="D32" t="str">
        <f t="shared" si="0"/>
        <v>[91..99]</v>
      </c>
    </row>
    <row r="33" spans="1:4" x14ac:dyDescent="0.25">
      <c r="A33" t="s">
        <v>21</v>
      </c>
      <c r="B33" s="1" t="s">
        <v>57</v>
      </c>
      <c r="C33">
        <v>94</v>
      </c>
      <c r="D33" t="str">
        <f t="shared" si="0"/>
        <v>[91..99]</v>
      </c>
    </row>
    <row r="34" spans="1:4" x14ac:dyDescent="0.25">
      <c r="A34" t="s">
        <v>21</v>
      </c>
      <c r="B34" s="1" t="s">
        <v>58</v>
      </c>
      <c r="C34">
        <v>86</v>
      </c>
      <c r="D34" t="str">
        <f t="shared" si="0"/>
        <v>[76..90]</v>
      </c>
    </row>
    <row r="35" spans="1:4" x14ac:dyDescent="0.25">
      <c r="A35" t="s">
        <v>21</v>
      </c>
      <c r="B35" s="1" t="s">
        <v>59</v>
      </c>
      <c r="C35">
        <v>82</v>
      </c>
      <c r="D35" t="str">
        <f t="shared" si="0"/>
        <v>[76..90]</v>
      </c>
    </row>
    <row r="36" spans="1:4" x14ac:dyDescent="0.25">
      <c r="A36" t="s">
        <v>22</v>
      </c>
      <c r="B36" s="1" t="s">
        <v>60</v>
      </c>
      <c r="C36">
        <v>46</v>
      </c>
      <c r="D36" t="str">
        <f t="shared" si="0"/>
        <v>[31..50]</v>
      </c>
    </row>
    <row r="37" spans="1:4" x14ac:dyDescent="0.25">
      <c r="A37" t="s">
        <v>22</v>
      </c>
      <c r="B37" s="1" t="s">
        <v>61</v>
      </c>
      <c r="C37">
        <v>50</v>
      </c>
      <c r="D37" t="str">
        <f t="shared" si="0"/>
        <v>[31..50]</v>
      </c>
    </row>
    <row r="38" spans="1:4" x14ac:dyDescent="0.25">
      <c r="A38" t="s">
        <v>22</v>
      </c>
      <c r="B38" s="1" t="s">
        <v>62</v>
      </c>
      <c r="C38">
        <v>88</v>
      </c>
      <c r="D38" t="str">
        <f t="shared" si="0"/>
        <v>[76..90]</v>
      </c>
    </row>
    <row r="39" spans="1:4" x14ac:dyDescent="0.25">
      <c r="A39" t="s">
        <v>22</v>
      </c>
      <c r="B39" s="1" t="s">
        <v>63</v>
      </c>
      <c r="C39">
        <v>70</v>
      </c>
      <c r="D39" t="str">
        <f t="shared" si="0"/>
        <v>[51..75]</v>
      </c>
    </row>
    <row r="40" spans="1:4" x14ac:dyDescent="0.25">
      <c r="A40" t="s">
        <v>22</v>
      </c>
      <c r="B40" s="1" t="s">
        <v>64</v>
      </c>
      <c r="C40">
        <v>86</v>
      </c>
      <c r="D40" t="str">
        <f t="shared" si="0"/>
        <v>[76..90]</v>
      </c>
    </row>
    <row r="41" spans="1:4" x14ac:dyDescent="0.25">
      <c r="A41" t="s">
        <v>22</v>
      </c>
      <c r="B41" s="1" t="s">
        <v>65</v>
      </c>
      <c r="C41">
        <v>34</v>
      </c>
      <c r="D41" t="str">
        <f t="shared" si="0"/>
        <v>[31..50]</v>
      </c>
    </row>
    <row r="42" spans="1:4" x14ac:dyDescent="0.25">
      <c r="A42" t="s">
        <v>22</v>
      </c>
      <c r="B42" s="1" t="s">
        <v>66</v>
      </c>
      <c r="C42">
        <v>68</v>
      </c>
      <c r="D42" t="str">
        <f t="shared" si="0"/>
        <v>[51..75]</v>
      </c>
    </row>
    <row r="43" spans="1:4" x14ac:dyDescent="0.25">
      <c r="A43" t="s">
        <v>22</v>
      </c>
      <c r="B43" s="1" t="s">
        <v>67</v>
      </c>
      <c r="C43">
        <v>56</v>
      </c>
      <c r="D43" t="str">
        <f t="shared" si="0"/>
        <v>[51..75]</v>
      </c>
    </row>
    <row r="44" spans="1:4" x14ac:dyDescent="0.25">
      <c r="A44" t="s">
        <v>22</v>
      </c>
      <c r="B44" s="1" t="s">
        <v>68</v>
      </c>
      <c r="C44">
        <v>40</v>
      </c>
      <c r="D44" t="str">
        <f t="shared" si="0"/>
        <v>[31..50]</v>
      </c>
    </row>
    <row r="45" spans="1:4" x14ac:dyDescent="0.25">
      <c r="A45" t="s">
        <v>22</v>
      </c>
      <c r="B45" s="1" t="s">
        <v>69</v>
      </c>
      <c r="C45">
        <v>50</v>
      </c>
      <c r="D45" t="str">
        <f t="shared" si="0"/>
        <v>[31..50]</v>
      </c>
    </row>
    <row r="46" spans="1:4" x14ac:dyDescent="0.25">
      <c r="A46" t="s">
        <v>22</v>
      </c>
      <c r="B46" s="1" t="s">
        <v>70</v>
      </c>
      <c r="C46">
        <v>70</v>
      </c>
      <c r="D46" t="str">
        <f t="shared" si="0"/>
        <v>[51..75]</v>
      </c>
    </row>
    <row r="47" spans="1:4" x14ac:dyDescent="0.25">
      <c r="A47" t="s">
        <v>22</v>
      </c>
      <c r="B47" s="1" t="s">
        <v>71</v>
      </c>
      <c r="C47">
        <v>64</v>
      </c>
      <c r="D47" t="str">
        <f t="shared" si="0"/>
        <v>[51..75]</v>
      </c>
    </row>
    <row r="48" spans="1:4" x14ac:dyDescent="0.25">
      <c r="A48" t="s">
        <v>22</v>
      </c>
      <c r="B48" s="1" t="s">
        <v>72</v>
      </c>
      <c r="C48">
        <v>68</v>
      </c>
      <c r="D48" t="str">
        <f t="shared" si="0"/>
        <v>[51..75]</v>
      </c>
    </row>
    <row r="49" spans="1:4" x14ac:dyDescent="0.25">
      <c r="A49" t="s">
        <v>22</v>
      </c>
      <c r="B49" s="1" t="s">
        <v>73</v>
      </c>
      <c r="C49">
        <v>52</v>
      </c>
      <c r="D49" t="str">
        <f t="shared" si="0"/>
        <v>[51..75]</v>
      </c>
    </row>
    <row r="50" spans="1:4" x14ac:dyDescent="0.25">
      <c r="A50" t="s">
        <v>22</v>
      </c>
      <c r="B50" s="1" t="s">
        <v>74</v>
      </c>
      <c r="C50">
        <v>58</v>
      </c>
      <c r="D50" t="str">
        <f t="shared" si="0"/>
        <v>[51..75]</v>
      </c>
    </row>
    <row r="51" spans="1:4" x14ac:dyDescent="0.25">
      <c r="A51" t="s">
        <v>22</v>
      </c>
      <c r="B51" s="1" t="s">
        <v>75</v>
      </c>
      <c r="C51">
        <v>72</v>
      </c>
      <c r="D51" t="str">
        <f t="shared" si="0"/>
        <v>[51..75]</v>
      </c>
    </row>
    <row r="52" spans="1:4" x14ac:dyDescent="0.25">
      <c r="A52" t="s">
        <v>22</v>
      </c>
      <c r="B52" s="1" t="s">
        <v>76</v>
      </c>
      <c r="C52">
        <v>56</v>
      </c>
      <c r="D52" t="str">
        <f t="shared" si="0"/>
        <v>[51..75]</v>
      </c>
    </row>
    <row r="53" spans="1:4" x14ac:dyDescent="0.25">
      <c r="A53" t="s">
        <v>22</v>
      </c>
      <c r="B53" s="1" t="s">
        <v>77</v>
      </c>
      <c r="C53">
        <v>44</v>
      </c>
      <c r="D53" t="str">
        <f t="shared" si="0"/>
        <v>[31..50]</v>
      </c>
    </row>
    <row r="54" spans="1:4" x14ac:dyDescent="0.25">
      <c r="A54" t="s">
        <v>22</v>
      </c>
      <c r="B54" s="1" t="s">
        <v>78</v>
      </c>
      <c r="C54">
        <v>32</v>
      </c>
      <c r="D54" t="str">
        <f t="shared" si="0"/>
        <v>[31..50]</v>
      </c>
    </row>
    <row r="55" spans="1:4" x14ac:dyDescent="0.25">
      <c r="A55" t="s">
        <v>22</v>
      </c>
      <c r="B55" s="1" t="s">
        <v>79</v>
      </c>
      <c r="C55">
        <v>66</v>
      </c>
      <c r="D55" t="str">
        <f t="shared" si="0"/>
        <v>[51..75]</v>
      </c>
    </row>
    <row r="56" spans="1:4" x14ac:dyDescent="0.25">
      <c r="A56" t="s">
        <v>22</v>
      </c>
      <c r="B56" s="1" t="s">
        <v>80</v>
      </c>
      <c r="C56">
        <v>64</v>
      </c>
      <c r="D56" t="str">
        <f t="shared" si="0"/>
        <v>[51..75]</v>
      </c>
    </row>
    <row r="57" spans="1:4" x14ac:dyDescent="0.25">
      <c r="A57" t="s">
        <v>22</v>
      </c>
      <c r="B57" s="1" t="s">
        <v>81</v>
      </c>
      <c r="C57">
        <v>72</v>
      </c>
      <c r="D57" t="str">
        <f t="shared" si="0"/>
        <v>[51..75]</v>
      </c>
    </row>
    <row r="58" spans="1:4" x14ac:dyDescent="0.25">
      <c r="A58" t="s">
        <v>22</v>
      </c>
      <c r="B58" s="1" t="s">
        <v>82</v>
      </c>
      <c r="C58">
        <v>52</v>
      </c>
      <c r="D58" t="str">
        <f t="shared" si="0"/>
        <v>[51..75]</v>
      </c>
    </row>
    <row r="59" spans="1:4" x14ac:dyDescent="0.25">
      <c r="A59" t="s">
        <v>22</v>
      </c>
      <c r="B59" s="1" t="s">
        <v>83</v>
      </c>
      <c r="C59">
        <v>50</v>
      </c>
      <c r="D59" t="str">
        <f t="shared" si="0"/>
        <v>[31..50]</v>
      </c>
    </row>
    <row r="60" spans="1:4" x14ac:dyDescent="0.25">
      <c r="A60" t="s">
        <v>22</v>
      </c>
      <c r="B60" s="1" t="s">
        <v>84</v>
      </c>
      <c r="C60">
        <v>58</v>
      </c>
      <c r="D60" t="str">
        <f t="shared" si="0"/>
        <v>[51..75]</v>
      </c>
    </row>
    <row r="61" spans="1:4" x14ac:dyDescent="0.25">
      <c r="A61" t="s">
        <v>22</v>
      </c>
      <c r="B61" s="1" t="s">
        <v>85</v>
      </c>
      <c r="C61">
        <v>78</v>
      </c>
      <c r="D61" t="str">
        <f t="shared" si="0"/>
        <v>[76..90]</v>
      </c>
    </row>
    <row r="62" spans="1:4" x14ac:dyDescent="0.25">
      <c r="A62" t="s">
        <v>22</v>
      </c>
      <c r="B62" s="1" t="s">
        <v>86</v>
      </c>
      <c r="C62">
        <v>72</v>
      </c>
      <c r="D62" t="str">
        <f t="shared" si="0"/>
        <v>[51..75]</v>
      </c>
    </row>
    <row r="63" spans="1:4" x14ac:dyDescent="0.25">
      <c r="A63" t="s">
        <v>22</v>
      </c>
      <c r="B63" s="1" t="s">
        <v>87</v>
      </c>
      <c r="C63">
        <v>70</v>
      </c>
      <c r="D63" t="str">
        <f t="shared" si="0"/>
        <v>[51..75]</v>
      </c>
    </row>
    <row r="64" spans="1:4" x14ac:dyDescent="0.25">
      <c r="A64" t="s">
        <v>22</v>
      </c>
      <c r="B64" s="1" t="s">
        <v>88</v>
      </c>
      <c r="C64">
        <v>60</v>
      </c>
      <c r="D64" t="str">
        <f t="shared" si="0"/>
        <v>[51..75]</v>
      </c>
    </row>
    <row r="65" spans="1:4" x14ac:dyDescent="0.25">
      <c r="A65" t="s">
        <v>22</v>
      </c>
      <c r="B65" s="1" t="s">
        <v>89</v>
      </c>
      <c r="C65">
        <v>66</v>
      </c>
      <c r="D65" t="str">
        <f t="shared" si="0"/>
        <v>[51..75]</v>
      </c>
    </row>
    <row r="66" spans="1:4" x14ac:dyDescent="0.25">
      <c r="A66" t="s">
        <v>22</v>
      </c>
      <c r="B66" s="1" t="s">
        <v>90</v>
      </c>
      <c r="C66">
        <v>76</v>
      </c>
      <c r="D66" t="str">
        <f t="shared" si="0"/>
        <v>[76..90]</v>
      </c>
    </row>
    <row r="67" spans="1:4" x14ac:dyDescent="0.25">
      <c r="A67" t="s">
        <v>23</v>
      </c>
      <c r="B67" s="1" t="s">
        <v>91</v>
      </c>
      <c r="C67">
        <v>76</v>
      </c>
      <c r="D67" t="str">
        <f t="shared" ref="D67:D130" si="2">VLOOKUP(C67,$I$4:$J$9,2)</f>
        <v>[76..90]</v>
      </c>
    </row>
    <row r="68" spans="1:4" x14ac:dyDescent="0.25">
      <c r="A68" t="s">
        <v>23</v>
      </c>
      <c r="B68" s="1" t="s">
        <v>92</v>
      </c>
      <c r="C68">
        <v>76</v>
      </c>
      <c r="D68" t="str">
        <f t="shared" si="2"/>
        <v>[76..90]</v>
      </c>
    </row>
    <row r="69" spans="1:4" x14ac:dyDescent="0.25">
      <c r="A69" t="s">
        <v>23</v>
      </c>
      <c r="B69" s="1" t="s">
        <v>93</v>
      </c>
      <c r="C69">
        <v>66</v>
      </c>
      <c r="D69" t="str">
        <f t="shared" si="2"/>
        <v>[51..75]</v>
      </c>
    </row>
    <row r="70" spans="1:4" x14ac:dyDescent="0.25">
      <c r="A70" t="s">
        <v>23</v>
      </c>
      <c r="B70" s="1" t="s">
        <v>94</v>
      </c>
      <c r="C70">
        <v>72</v>
      </c>
      <c r="D70" t="str">
        <f t="shared" si="2"/>
        <v>[51..75]</v>
      </c>
    </row>
    <row r="71" spans="1:4" x14ac:dyDescent="0.25">
      <c r="A71" t="s">
        <v>23</v>
      </c>
      <c r="B71" s="1" t="s">
        <v>95</v>
      </c>
      <c r="C71">
        <v>94</v>
      </c>
      <c r="D71" t="str">
        <f t="shared" si="2"/>
        <v>[91..99]</v>
      </c>
    </row>
    <row r="72" spans="1:4" x14ac:dyDescent="0.25">
      <c r="A72" t="s">
        <v>23</v>
      </c>
      <c r="B72" s="1" t="s">
        <v>96</v>
      </c>
      <c r="C72">
        <v>52</v>
      </c>
      <c r="D72" t="str">
        <f t="shared" si="2"/>
        <v>[51..75]</v>
      </c>
    </row>
    <row r="73" spans="1:4" x14ac:dyDescent="0.25">
      <c r="A73" t="s">
        <v>23</v>
      </c>
      <c r="B73" s="1" t="s">
        <v>97</v>
      </c>
      <c r="C73">
        <v>70</v>
      </c>
      <c r="D73" t="str">
        <f t="shared" si="2"/>
        <v>[51..75]</v>
      </c>
    </row>
    <row r="74" spans="1:4" x14ac:dyDescent="0.25">
      <c r="A74" t="s">
        <v>23</v>
      </c>
      <c r="B74" s="1" t="s">
        <v>98</v>
      </c>
      <c r="C74">
        <v>88</v>
      </c>
      <c r="D74" t="str">
        <f t="shared" si="2"/>
        <v>[76..90]</v>
      </c>
    </row>
    <row r="75" spans="1:4" x14ac:dyDescent="0.25">
      <c r="A75" t="s">
        <v>23</v>
      </c>
      <c r="B75" s="1" t="s">
        <v>99</v>
      </c>
      <c r="C75">
        <v>48</v>
      </c>
      <c r="D75" t="str">
        <f t="shared" si="2"/>
        <v>[31..50]</v>
      </c>
    </row>
    <row r="76" spans="1:4" x14ac:dyDescent="0.25">
      <c r="A76" t="s">
        <v>23</v>
      </c>
      <c r="B76" s="1" t="s">
        <v>100</v>
      </c>
      <c r="C76">
        <v>72</v>
      </c>
      <c r="D76" t="str">
        <f t="shared" si="2"/>
        <v>[51..75]</v>
      </c>
    </row>
    <row r="77" spans="1:4" x14ac:dyDescent="0.25">
      <c r="A77" t="s">
        <v>23</v>
      </c>
      <c r="B77" s="1" t="s">
        <v>101</v>
      </c>
      <c r="C77">
        <v>78</v>
      </c>
      <c r="D77" t="str">
        <f t="shared" si="2"/>
        <v>[76..90]</v>
      </c>
    </row>
    <row r="78" spans="1:4" x14ac:dyDescent="0.25">
      <c r="A78" t="s">
        <v>23</v>
      </c>
      <c r="B78" s="1" t="s">
        <v>102</v>
      </c>
      <c r="C78">
        <v>64</v>
      </c>
      <c r="D78" t="str">
        <f t="shared" si="2"/>
        <v>[51..75]</v>
      </c>
    </row>
    <row r="79" spans="1:4" x14ac:dyDescent="0.25">
      <c r="A79" t="s">
        <v>23</v>
      </c>
      <c r="B79" s="1" t="s">
        <v>103</v>
      </c>
      <c r="C79">
        <v>52</v>
      </c>
      <c r="D79" t="str">
        <f t="shared" si="2"/>
        <v>[51..75]</v>
      </c>
    </row>
    <row r="80" spans="1:4" x14ac:dyDescent="0.25">
      <c r="A80" t="s">
        <v>23</v>
      </c>
      <c r="B80" s="1" t="s">
        <v>104</v>
      </c>
      <c r="C80">
        <v>68</v>
      </c>
      <c r="D80" t="str">
        <f t="shared" si="2"/>
        <v>[51..75]</v>
      </c>
    </row>
    <row r="81" spans="1:4" x14ac:dyDescent="0.25">
      <c r="A81" t="s">
        <v>23</v>
      </c>
      <c r="B81" s="1" t="s">
        <v>105</v>
      </c>
      <c r="C81">
        <v>82</v>
      </c>
      <c r="D81" t="str">
        <f t="shared" si="2"/>
        <v>[76..90]</v>
      </c>
    </row>
    <row r="82" spans="1:4" x14ac:dyDescent="0.25">
      <c r="A82" t="s">
        <v>23</v>
      </c>
      <c r="B82" s="1" t="s">
        <v>106</v>
      </c>
      <c r="C82">
        <v>88</v>
      </c>
      <c r="D82" t="str">
        <f t="shared" si="2"/>
        <v>[76..90]</v>
      </c>
    </row>
    <row r="83" spans="1:4" x14ac:dyDescent="0.25">
      <c r="A83" t="s">
        <v>23</v>
      </c>
      <c r="B83" s="1" t="s">
        <v>107</v>
      </c>
      <c r="C83">
        <v>76</v>
      </c>
      <c r="D83" t="str">
        <f t="shared" si="2"/>
        <v>[76..90]</v>
      </c>
    </row>
    <row r="84" spans="1:4" x14ac:dyDescent="0.25">
      <c r="A84" t="s">
        <v>23</v>
      </c>
      <c r="B84" s="1" t="s">
        <v>108</v>
      </c>
      <c r="C84">
        <v>86</v>
      </c>
      <c r="D84" t="str">
        <f t="shared" si="2"/>
        <v>[76..90]</v>
      </c>
    </row>
    <row r="85" spans="1:4" x14ac:dyDescent="0.25">
      <c r="A85" t="s">
        <v>23</v>
      </c>
      <c r="B85" s="1" t="s">
        <v>109</v>
      </c>
      <c r="C85">
        <v>100</v>
      </c>
      <c r="D85" t="str">
        <f t="shared" si="2"/>
        <v>[100]</v>
      </c>
    </row>
    <row r="86" spans="1:4" x14ac:dyDescent="0.25">
      <c r="A86" t="s">
        <v>23</v>
      </c>
      <c r="B86" s="1" t="s">
        <v>110</v>
      </c>
      <c r="C86">
        <v>74</v>
      </c>
      <c r="D86" t="str">
        <f t="shared" si="2"/>
        <v>[51..75]</v>
      </c>
    </row>
    <row r="87" spans="1:4" x14ac:dyDescent="0.25">
      <c r="A87" t="s">
        <v>23</v>
      </c>
      <c r="B87" s="1" t="s">
        <v>111</v>
      </c>
      <c r="C87">
        <v>96</v>
      </c>
      <c r="D87" t="str">
        <f t="shared" si="2"/>
        <v>[91..99]</v>
      </c>
    </row>
    <row r="88" spans="1:4" x14ac:dyDescent="0.25">
      <c r="A88" t="s">
        <v>23</v>
      </c>
      <c r="B88" s="1" t="s">
        <v>112</v>
      </c>
      <c r="C88">
        <v>76</v>
      </c>
      <c r="D88" t="str">
        <f t="shared" si="2"/>
        <v>[76..90]</v>
      </c>
    </row>
    <row r="89" spans="1:4" x14ac:dyDescent="0.25">
      <c r="A89" t="s">
        <v>23</v>
      </c>
      <c r="B89" s="1" t="s">
        <v>113</v>
      </c>
      <c r="C89">
        <v>88</v>
      </c>
      <c r="D89" t="str">
        <f t="shared" si="2"/>
        <v>[76..90]</v>
      </c>
    </row>
    <row r="90" spans="1:4" x14ac:dyDescent="0.25">
      <c r="A90" t="s">
        <v>23</v>
      </c>
      <c r="B90" s="1" t="s">
        <v>114</v>
      </c>
      <c r="C90">
        <v>100</v>
      </c>
      <c r="D90" t="str">
        <f t="shared" si="2"/>
        <v>[100]</v>
      </c>
    </row>
    <row r="91" spans="1:4" x14ac:dyDescent="0.25">
      <c r="A91" t="s">
        <v>23</v>
      </c>
      <c r="B91" s="1" t="s">
        <v>115</v>
      </c>
      <c r="C91">
        <v>78</v>
      </c>
      <c r="D91" t="str">
        <f t="shared" si="2"/>
        <v>[76..90]</v>
      </c>
    </row>
    <row r="92" spans="1:4" x14ac:dyDescent="0.25">
      <c r="A92" t="s">
        <v>23</v>
      </c>
      <c r="B92" s="1" t="s">
        <v>116</v>
      </c>
      <c r="C92">
        <v>86</v>
      </c>
      <c r="D92" t="str">
        <f t="shared" si="2"/>
        <v>[76..90]</v>
      </c>
    </row>
    <row r="93" spans="1:4" x14ac:dyDescent="0.25">
      <c r="A93" t="s">
        <v>23</v>
      </c>
      <c r="B93" s="1" t="s">
        <v>117</v>
      </c>
      <c r="C93">
        <v>68</v>
      </c>
      <c r="D93" t="str">
        <f t="shared" si="2"/>
        <v>[51..75]</v>
      </c>
    </row>
    <row r="94" spans="1:4" x14ac:dyDescent="0.25">
      <c r="A94" t="s">
        <v>24</v>
      </c>
      <c r="B94" s="1" t="s">
        <v>118</v>
      </c>
      <c r="C94">
        <v>90</v>
      </c>
      <c r="D94" t="str">
        <f t="shared" si="2"/>
        <v>[76..90]</v>
      </c>
    </row>
    <row r="95" spans="1:4" x14ac:dyDescent="0.25">
      <c r="A95" t="s">
        <v>24</v>
      </c>
      <c r="B95" s="1" t="s">
        <v>119</v>
      </c>
      <c r="C95">
        <v>90</v>
      </c>
      <c r="D95" t="str">
        <f t="shared" si="2"/>
        <v>[76..90]</v>
      </c>
    </row>
    <row r="96" spans="1:4" x14ac:dyDescent="0.25">
      <c r="A96" t="s">
        <v>24</v>
      </c>
      <c r="B96" s="1" t="s">
        <v>120</v>
      </c>
      <c r="C96">
        <v>100</v>
      </c>
      <c r="D96" t="str">
        <f t="shared" si="2"/>
        <v>[100]</v>
      </c>
    </row>
    <row r="97" spans="1:4" x14ac:dyDescent="0.25">
      <c r="A97" t="s">
        <v>24</v>
      </c>
      <c r="B97" s="1" t="s">
        <v>121</v>
      </c>
      <c r="C97">
        <v>86</v>
      </c>
      <c r="D97" t="str">
        <f t="shared" si="2"/>
        <v>[76..90]</v>
      </c>
    </row>
    <row r="98" spans="1:4" x14ac:dyDescent="0.25">
      <c r="A98" t="s">
        <v>24</v>
      </c>
      <c r="B98" s="1" t="s">
        <v>122</v>
      </c>
      <c r="C98">
        <v>82</v>
      </c>
      <c r="D98" t="str">
        <f t="shared" si="2"/>
        <v>[76..90]</v>
      </c>
    </row>
    <row r="99" spans="1:4" x14ac:dyDescent="0.25">
      <c r="A99" t="s">
        <v>24</v>
      </c>
      <c r="B99" s="1" t="s">
        <v>123</v>
      </c>
      <c r="C99">
        <v>98</v>
      </c>
      <c r="D99" t="str">
        <f t="shared" si="2"/>
        <v>[91..99]</v>
      </c>
    </row>
    <row r="100" spans="1:4" x14ac:dyDescent="0.25">
      <c r="A100" t="s">
        <v>24</v>
      </c>
      <c r="B100" s="1" t="s">
        <v>124</v>
      </c>
      <c r="C100">
        <v>94</v>
      </c>
      <c r="D100" t="str">
        <f t="shared" si="2"/>
        <v>[91..99]</v>
      </c>
    </row>
    <row r="101" spans="1:4" x14ac:dyDescent="0.25">
      <c r="A101" t="s">
        <v>24</v>
      </c>
      <c r="B101" s="1" t="s">
        <v>125</v>
      </c>
      <c r="C101">
        <v>72</v>
      </c>
      <c r="D101" t="str">
        <f t="shared" si="2"/>
        <v>[51..75]</v>
      </c>
    </row>
    <row r="102" spans="1:4" x14ac:dyDescent="0.25">
      <c r="A102" t="s">
        <v>24</v>
      </c>
      <c r="B102" s="1" t="s">
        <v>126</v>
      </c>
      <c r="C102">
        <v>86</v>
      </c>
      <c r="D102" t="str">
        <f t="shared" si="2"/>
        <v>[76..90]</v>
      </c>
    </row>
    <row r="103" spans="1:4" x14ac:dyDescent="0.25">
      <c r="A103" t="s">
        <v>24</v>
      </c>
      <c r="B103" s="1" t="s">
        <v>127</v>
      </c>
      <c r="C103">
        <v>84</v>
      </c>
      <c r="D103" t="str">
        <f t="shared" si="2"/>
        <v>[76..90]</v>
      </c>
    </row>
    <row r="104" spans="1:4" x14ac:dyDescent="0.25">
      <c r="A104" t="s">
        <v>24</v>
      </c>
      <c r="B104" s="1" t="s">
        <v>128</v>
      </c>
      <c r="C104">
        <v>94</v>
      </c>
      <c r="D104" t="str">
        <f t="shared" si="2"/>
        <v>[91..99]</v>
      </c>
    </row>
    <row r="105" spans="1:4" x14ac:dyDescent="0.25">
      <c r="A105" t="s">
        <v>24</v>
      </c>
      <c r="B105" s="1" t="s">
        <v>129</v>
      </c>
      <c r="C105">
        <v>78</v>
      </c>
      <c r="D105" t="str">
        <f t="shared" si="2"/>
        <v>[76..90]</v>
      </c>
    </row>
    <row r="106" spans="1:4" x14ac:dyDescent="0.25">
      <c r="A106" t="s">
        <v>24</v>
      </c>
      <c r="B106" s="1" t="s">
        <v>130</v>
      </c>
      <c r="C106">
        <v>80</v>
      </c>
      <c r="D106" t="str">
        <f t="shared" si="2"/>
        <v>[76..90]</v>
      </c>
    </row>
    <row r="107" spans="1:4" x14ac:dyDescent="0.25">
      <c r="A107" t="s">
        <v>24</v>
      </c>
      <c r="B107" s="1" t="s">
        <v>131</v>
      </c>
      <c r="C107">
        <v>64</v>
      </c>
      <c r="D107" t="str">
        <f t="shared" si="2"/>
        <v>[51..75]</v>
      </c>
    </row>
    <row r="108" spans="1:4" x14ac:dyDescent="0.25">
      <c r="A108" t="s">
        <v>24</v>
      </c>
      <c r="B108" s="1" t="s">
        <v>132</v>
      </c>
      <c r="C108">
        <v>100</v>
      </c>
      <c r="D108" t="str">
        <f t="shared" si="2"/>
        <v>[100]</v>
      </c>
    </row>
    <row r="109" spans="1:4" x14ac:dyDescent="0.25">
      <c r="A109" t="s">
        <v>24</v>
      </c>
      <c r="B109" s="1" t="s">
        <v>133</v>
      </c>
      <c r="C109">
        <v>92</v>
      </c>
      <c r="D109" t="str">
        <f t="shared" si="2"/>
        <v>[91..99]</v>
      </c>
    </row>
    <row r="110" spans="1:4" x14ac:dyDescent="0.25">
      <c r="A110" t="s">
        <v>24</v>
      </c>
      <c r="B110" s="1" t="s">
        <v>134</v>
      </c>
      <c r="C110">
        <v>94</v>
      </c>
      <c r="D110" t="str">
        <f t="shared" si="2"/>
        <v>[91..99]</v>
      </c>
    </row>
    <row r="111" spans="1:4" x14ac:dyDescent="0.25">
      <c r="A111" t="s">
        <v>24</v>
      </c>
      <c r="B111" s="1" t="s">
        <v>135</v>
      </c>
      <c r="C111">
        <v>88</v>
      </c>
      <c r="D111" t="str">
        <f t="shared" si="2"/>
        <v>[76..90]</v>
      </c>
    </row>
    <row r="112" spans="1:4" x14ac:dyDescent="0.25">
      <c r="A112" t="s">
        <v>24</v>
      </c>
      <c r="B112" s="1" t="s">
        <v>136</v>
      </c>
      <c r="C112">
        <v>100</v>
      </c>
      <c r="D112" t="str">
        <f t="shared" si="2"/>
        <v>[100]</v>
      </c>
    </row>
    <row r="113" spans="1:4" x14ac:dyDescent="0.25">
      <c r="A113" t="s">
        <v>24</v>
      </c>
      <c r="B113" s="1" t="s">
        <v>137</v>
      </c>
      <c r="C113">
        <v>92</v>
      </c>
      <c r="D113" t="str">
        <f t="shared" si="2"/>
        <v>[91..99]</v>
      </c>
    </row>
    <row r="114" spans="1:4" x14ac:dyDescent="0.25">
      <c r="A114" t="s">
        <v>24</v>
      </c>
      <c r="B114" s="1" t="s">
        <v>138</v>
      </c>
      <c r="C114">
        <v>98</v>
      </c>
      <c r="D114" t="str">
        <f t="shared" si="2"/>
        <v>[91..99]</v>
      </c>
    </row>
    <row r="115" spans="1:4" x14ac:dyDescent="0.25">
      <c r="A115" t="s">
        <v>24</v>
      </c>
      <c r="B115" s="1" t="s">
        <v>139</v>
      </c>
      <c r="C115">
        <v>96</v>
      </c>
      <c r="D115" t="str">
        <f t="shared" si="2"/>
        <v>[91..99]</v>
      </c>
    </row>
    <row r="116" spans="1:4" x14ac:dyDescent="0.25">
      <c r="A116" t="s">
        <v>24</v>
      </c>
      <c r="B116" s="1" t="s">
        <v>140</v>
      </c>
      <c r="C116">
        <v>94</v>
      </c>
      <c r="D116" t="str">
        <f t="shared" si="2"/>
        <v>[91..99]</v>
      </c>
    </row>
    <row r="117" spans="1:4" x14ac:dyDescent="0.25">
      <c r="A117" t="s">
        <v>24</v>
      </c>
      <c r="B117" s="1" t="s">
        <v>141</v>
      </c>
      <c r="C117">
        <v>94</v>
      </c>
      <c r="D117" t="str">
        <f t="shared" si="2"/>
        <v>[91..99]</v>
      </c>
    </row>
    <row r="118" spans="1:4" x14ac:dyDescent="0.25">
      <c r="A118" t="s">
        <v>24</v>
      </c>
      <c r="B118" s="1" t="s">
        <v>142</v>
      </c>
      <c r="C118">
        <v>100</v>
      </c>
      <c r="D118" t="str">
        <f t="shared" si="2"/>
        <v>[100]</v>
      </c>
    </row>
    <row r="119" spans="1:4" x14ac:dyDescent="0.25">
      <c r="A119" t="s">
        <v>24</v>
      </c>
      <c r="B119" s="1" t="s">
        <v>143</v>
      </c>
      <c r="C119">
        <v>94</v>
      </c>
      <c r="D119" t="str">
        <f t="shared" si="2"/>
        <v>[91..99]</v>
      </c>
    </row>
    <row r="120" spans="1:4" x14ac:dyDescent="0.25">
      <c r="A120" t="s">
        <v>24</v>
      </c>
      <c r="B120" s="1" t="s">
        <v>144</v>
      </c>
      <c r="C120">
        <v>98</v>
      </c>
      <c r="D120" t="str">
        <f t="shared" si="2"/>
        <v>[91..99]</v>
      </c>
    </row>
    <row r="121" spans="1:4" x14ac:dyDescent="0.25">
      <c r="A121" t="s">
        <v>24</v>
      </c>
      <c r="B121" s="1" t="s">
        <v>145</v>
      </c>
      <c r="C121">
        <v>90</v>
      </c>
      <c r="D121" t="str">
        <f t="shared" si="2"/>
        <v>[76..90]</v>
      </c>
    </row>
    <row r="122" spans="1:4" x14ac:dyDescent="0.25">
      <c r="A122" t="s">
        <v>24</v>
      </c>
      <c r="B122" s="1" t="s">
        <v>146</v>
      </c>
      <c r="C122">
        <v>92</v>
      </c>
      <c r="D122" t="str">
        <f t="shared" si="2"/>
        <v>[91..99]</v>
      </c>
    </row>
    <row r="123" spans="1:4" x14ac:dyDescent="0.25">
      <c r="A123" t="s">
        <v>24</v>
      </c>
      <c r="B123" s="1" t="s">
        <v>147</v>
      </c>
      <c r="C123">
        <v>96</v>
      </c>
      <c r="D123" t="str">
        <f t="shared" si="2"/>
        <v>[91..99]</v>
      </c>
    </row>
    <row r="124" spans="1:4" x14ac:dyDescent="0.25">
      <c r="A124" t="s">
        <v>24</v>
      </c>
      <c r="B124" s="1" t="s">
        <v>148</v>
      </c>
      <c r="C124">
        <v>94</v>
      </c>
      <c r="D124" t="str">
        <f t="shared" si="2"/>
        <v>[91..99]</v>
      </c>
    </row>
    <row r="125" spans="1:4" x14ac:dyDescent="0.25">
      <c r="A125" t="s">
        <v>24</v>
      </c>
      <c r="B125" s="1" t="s">
        <v>149</v>
      </c>
      <c r="C125">
        <v>82</v>
      </c>
      <c r="D125" t="str">
        <f t="shared" si="2"/>
        <v>[76..90]</v>
      </c>
    </row>
    <row r="126" spans="1:4" x14ac:dyDescent="0.25">
      <c r="A126" t="s">
        <v>24</v>
      </c>
      <c r="B126" s="1" t="s">
        <v>150</v>
      </c>
      <c r="C126">
        <v>98</v>
      </c>
      <c r="D126" t="str">
        <f t="shared" si="2"/>
        <v>[91..99]</v>
      </c>
    </row>
    <row r="127" spans="1:4" x14ac:dyDescent="0.25">
      <c r="A127" t="s">
        <v>25</v>
      </c>
      <c r="B127" s="1" t="s">
        <v>151</v>
      </c>
      <c r="C127">
        <v>58</v>
      </c>
      <c r="D127" t="str">
        <f t="shared" si="2"/>
        <v>[51..75]</v>
      </c>
    </row>
    <row r="128" spans="1:4" x14ac:dyDescent="0.25">
      <c r="A128" t="s">
        <v>25</v>
      </c>
      <c r="B128" s="1" t="s">
        <v>152</v>
      </c>
      <c r="C128">
        <v>68</v>
      </c>
      <c r="D128" t="str">
        <f t="shared" si="2"/>
        <v>[51..75]</v>
      </c>
    </row>
    <row r="129" spans="1:4" x14ac:dyDescent="0.25">
      <c r="A129" t="s">
        <v>25</v>
      </c>
      <c r="B129" s="1" t="s">
        <v>153</v>
      </c>
      <c r="C129">
        <v>50</v>
      </c>
      <c r="D129" t="str">
        <f t="shared" si="2"/>
        <v>[31..50]</v>
      </c>
    </row>
    <row r="130" spans="1:4" x14ac:dyDescent="0.25">
      <c r="A130" t="s">
        <v>25</v>
      </c>
      <c r="B130" s="1" t="s">
        <v>154</v>
      </c>
      <c r="C130">
        <v>58</v>
      </c>
      <c r="D130" t="str">
        <f t="shared" si="2"/>
        <v>[51..75]</v>
      </c>
    </row>
    <row r="131" spans="1:4" x14ac:dyDescent="0.25">
      <c r="A131" t="s">
        <v>25</v>
      </c>
      <c r="B131" s="1" t="s">
        <v>155</v>
      </c>
      <c r="C131">
        <v>82</v>
      </c>
      <c r="D131" t="str">
        <f t="shared" ref="D131:D153" si="3">VLOOKUP(C131,$I$4:$J$9,2)</f>
        <v>[76..90]</v>
      </c>
    </row>
    <row r="132" spans="1:4" x14ac:dyDescent="0.25">
      <c r="A132" t="s">
        <v>25</v>
      </c>
      <c r="B132" s="1" t="s">
        <v>156</v>
      </c>
      <c r="C132">
        <v>74</v>
      </c>
      <c r="D132" t="str">
        <f t="shared" si="3"/>
        <v>[51..75]</v>
      </c>
    </row>
    <row r="133" spans="1:4" x14ac:dyDescent="0.25">
      <c r="A133" t="s">
        <v>25</v>
      </c>
      <c r="B133" s="1" t="s">
        <v>157</v>
      </c>
      <c r="C133">
        <v>64</v>
      </c>
      <c r="D133" t="str">
        <f t="shared" si="3"/>
        <v>[51..75]</v>
      </c>
    </row>
    <row r="134" spans="1:4" x14ac:dyDescent="0.25">
      <c r="A134" t="s">
        <v>25</v>
      </c>
      <c r="B134" s="1" t="s">
        <v>158</v>
      </c>
      <c r="C134">
        <v>56</v>
      </c>
      <c r="D134" t="str">
        <f t="shared" si="3"/>
        <v>[51..75]</v>
      </c>
    </row>
    <row r="135" spans="1:4" x14ac:dyDescent="0.25">
      <c r="A135" t="s">
        <v>25</v>
      </c>
      <c r="B135" s="1" t="s">
        <v>159</v>
      </c>
      <c r="C135">
        <v>56</v>
      </c>
      <c r="D135" t="str">
        <f t="shared" si="3"/>
        <v>[51..75]</v>
      </c>
    </row>
    <row r="136" spans="1:4" x14ac:dyDescent="0.25">
      <c r="A136" t="s">
        <v>25</v>
      </c>
      <c r="B136" s="1" t="s">
        <v>160</v>
      </c>
      <c r="C136">
        <v>54</v>
      </c>
      <c r="D136" t="str">
        <f t="shared" si="3"/>
        <v>[51..75]</v>
      </c>
    </row>
    <row r="137" spans="1:4" x14ac:dyDescent="0.25">
      <c r="A137" t="s">
        <v>25</v>
      </c>
      <c r="B137" s="1" t="s">
        <v>161</v>
      </c>
      <c r="C137">
        <v>100</v>
      </c>
      <c r="D137" t="str">
        <f t="shared" si="3"/>
        <v>[100]</v>
      </c>
    </row>
    <row r="138" spans="1:4" x14ac:dyDescent="0.25">
      <c r="A138" t="s">
        <v>25</v>
      </c>
      <c r="B138" s="1" t="s">
        <v>162</v>
      </c>
      <c r="C138">
        <v>56</v>
      </c>
      <c r="D138" t="str">
        <f t="shared" si="3"/>
        <v>[51..75]</v>
      </c>
    </row>
    <row r="139" spans="1:4" x14ac:dyDescent="0.25">
      <c r="A139" t="s">
        <v>25</v>
      </c>
      <c r="B139" s="1" t="s">
        <v>163</v>
      </c>
      <c r="C139">
        <v>78</v>
      </c>
      <c r="D139" t="str">
        <f t="shared" si="3"/>
        <v>[76..90]</v>
      </c>
    </row>
    <row r="140" spans="1:4" x14ac:dyDescent="0.25">
      <c r="A140" t="s">
        <v>25</v>
      </c>
      <c r="B140" s="1" t="s">
        <v>164</v>
      </c>
      <c r="C140">
        <v>78</v>
      </c>
      <c r="D140" t="str">
        <f t="shared" si="3"/>
        <v>[76..90]</v>
      </c>
    </row>
    <row r="141" spans="1:4" x14ac:dyDescent="0.25">
      <c r="A141" t="s">
        <v>25</v>
      </c>
      <c r="B141" s="1" t="s">
        <v>165</v>
      </c>
      <c r="C141">
        <v>44</v>
      </c>
      <c r="D141" t="str">
        <f t="shared" si="3"/>
        <v>[31..50]</v>
      </c>
    </row>
    <row r="142" spans="1:4" x14ac:dyDescent="0.25">
      <c r="A142" t="s">
        <v>25</v>
      </c>
      <c r="B142" s="1" t="s">
        <v>166</v>
      </c>
      <c r="C142">
        <v>40</v>
      </c>
      <c r="D142" t="str">
        <f t="shared" si="3"/>
        <v>[31..50]</v>
      </c>
    </row>
    <row r="143" spans="1:4" x14ac:dyDescent="0.25">
      <c r="A143" t="s">
        <v>25</v>
      </c>
      <c r="B143" s="1" t="s">
        <v>167</v>
      </c>
      <c r="C143">
        <v>64</v>
      </c>
      <c r="D143" t="str">
        <f t="shared" si="3"/>
        <v>[51..75]</v>
      </c>
    </row>
    <row r="144" spans="1:4" x14ac:dyDescent="0.25">
      <c r="A144" t="s">
        <v>25</v>
      </c>
      <c r="B144" s="1" t="s">
        <v>168</v>
      </c>
      <c r="C144">
        <v>40</v>
      </c>
      <c r="D144" t="str">
        <f t="shared" si="3"/>
        <v>[31..50]</v>
      </c>
    </row>
    <row r="145" spans="1:4" x14ac:dyDescent="0.25">
      <c r="A145" t="s">
        <v>25</v>
      </c>
      <c r="B145" s="1" t="s">
        <v>169</v>
      </c>
      <c r="C145">
        <v>56</v>
      </c>
      <c r="D145" t="str">
        <f t="shared" si="3"/>
        <v>[51..75]</v>
      </c>
    </row>
    <row r="146" spans="1:4" x14ac:dyDescent="0.25">
      <c r="A146" t="s">
        <v>25</v>
      </c>
      <c r="B146" s="1" t="s">
        <v>170</v>
      </c>
      <c r="C146">
        <v>66</v>
      </c>
      <c r="D146" t="str">
        <f t="shared" si="3"/>
        <v>[51..75]</v>
      </c>
    </row>
    <row r="147" spans="1:4" x14ac:dyDescent="0.25">
      <c r="A147" t="s">
        <v>25</v>
      </c>
      <c r="B147" s="1" t="s">
        <v>171</v>
      </c>
      <c r="C147">
        <v>68</v>
      </c>
      <c r="D147" t="str">
        <f t="shared" si="3"/>
        <v>[51..75]</v>
      </c>
    </row>
    <row r="148" spans="1:4" x14ac:dyDescent="0.25">
      <c r="A148" t="s">
        <v>25</v>
      </c>
      <c r="B148" s="1" t="s">
        <v>172</v>
      </c>
      <c r="C148">
        <v>58</v>
      </c>
      <c r="D148" t="str">
        <f t="shared" si="3"/>
        <v>[51..75]</v>
      </c>
    </row>
    <row r="149" spans="1:4" x14ac:dyDescent="0.25">
      <c r="A149" t="s">
        <v>25</v>
      </c>
      <c r="B149" s="1" t="s">
        <v>173</v>
      </c>
      <c r="C149">
        <v>96</v>
      </c>
      <c r="D149" t="str">
        <f t="shared" si="3"/>
        <v>[91..99]</v>
      </c>
    </row>
    <row r="150" spans="1:4" x14ac:dyDescent="0.25">
      <c r="A150" t="s">
        <v>25</v>
      </c>
      <c r="B150" s="1" t="s">
        <v>174</v>
      </c>
      <c r="C150">
        <v>38</v>
      </c>
      <c r="D150" t="str">
        <f t="shared" si="3"/>
        <v>[31..50]</v>
      </c>
    </row>
    <row r="151" spans="1:4" x14ac:dyDescent="0.25">
      <c r="A151" t="s">
        <v>25</v>
      </c>
      <c r="B151" s="1" t="s">
        <v>175</v>
      </c>
      <c r="C151">
        <v>62</v>
      </c>
      <c r="D151" t="str">
        <f t="shared" si="3"/>
        <v>[51..75]</v>
      </c>
    </row>
    <row r="152" spans="1:4" x14ac:dyDescent="0.25">
      <c r="A152" t="s">
        <v>25</v>
      </c>
      <c r="B152" s="1" t="s">
        <v>176</v>
      </c>
      <c r="C152">
        <v>58</v>
      </c>
      <c r="D152" t="str">
        <f t="shared" si="3"/>
        <v>[51..75]</v>
      </c>
    </row>
    <row r="153" spans="1:4" x14ac:dyDescent="0.25">
      <c r="A153" t="s">
        <v>25</v>
      </c>
      <c r="B153" s="1" t="s">
        <v>177</v>
      </c>
      <c r="C153">
        <v>62</v>
      </c>
      <c r="D153" t="str">
        <f t="shared" si="3"/>
        <v>[51..75]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topLeftCell="E1" workbookViewId="0">
      <selection activeCell="B1" sqref="B1:U3"/>
    </sheetView>
  </sheetViews>
  <sheetFormatPr defaultRowHeight="15" x14ac:dyDescent="0.25"/>
  <cols>
    <col min="1" max="1" width="6.5703125" bestFit="1" customWidth="1"/>
    <col min="2" max="2" width="13.7109375" customWidth="1"/>
    <col min="3" max="3" width="10" bestFit="1" customWidth="1"/>
    <col min="4" max="4" width="9.5703125" bestFit="1" customWidth="1"/>
    <col min="5" max="5" width="8.28515625" bestFit="1" customWidth="1"/>
    <col min="6" max="6" width="11.42578125" bestFit="1" customWidth="1"/>
    <col min="7" max="7" width="9.7109375" bestFit="1" customWidth="1"/>
    <col min="8" max="8" width="13.7109375" bestFit="1" customWidth="1"/>
    <col min="9" max="10" width="11" bestFit="1" customWidth="1"/>
    <col min="11" max="12" width="11.140625" bestFit="1" customWidth="1"/>
    <col min="13" max="14" width="12.140625" bestFit="1" customWidth="1"/>
    <col min="15" max="16" width="11.85546875" bestFit="1" customWidth="1"/>
    <col min="17" max="18" width="14" bestFit="1" customWidth="1"/>
    <col min="19" max="20" width="8.140625" bestFit="1" customWidth="1"/>
    <col min="21" max="21" width="7.140625" bestFit="1" customWidth="1"/>
  </cols>
  <sheetData>
    <row r="1" spans="1:21" x14ac:dyDescent="0.25">
      <c r="A1" s="2" t="s">
        <v>0</v>
      </c>
      <c r="B1" s="3" t="s">
        <v>184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/>
      <c r="B2" s="3" t="s">
        <v>185</v>
      </c>
      <c r="C2" s="11">
        <f>AVERAGE(C5:C156)</f>
        <v>66.599999999999994</v>
      </c>
      <c r="D2" s="11">
        <f t="shared" ref="D2:T2" si="0">AVERAGE(D5:D156)</f>
        <v>59.545454545454547</v>
      </c>
      <c r="E2" s="11">
        <f t="shared" si="0"/>
        <v>63.25925925925926</v>
      </c>
      <c r="F2" s="11">
        <f t="shared" si="0"/>
        <v>65.5625</v>
      </c>
      <c r="G2" s="11">
        <f t="shared" si="0"/>
        <v>77.8</v>
      </c>
      <c r="H2" s="11">
        <f t="shared" si="0"/>
        <v>77.2</v>
      </c>
      <c r="I2" s="11">
        <f t="shared" si="0"/>
        <v>92.705479452054789</v>
      </c>
      <c r="J2" s="11">
        <f t="shared" si="0"/>
        <v>77.643564356435647</v>
      </c>
      <c r="K2" s="11">
        <f t="shared" si="0"/>
        <v>79.400000000000006</v>
      </c>
      <c r="L2" s="11">
        <f t="shared" si="0"/>
        <v>80.5</v>
      </c>
      <c r="M2" s="11">
        <f t="shared" si="0"/>
        <v>89.89473684210526</v>
      </c>
      <c r="N2" s="11">
        <f t="shared" si="0"/>
        <v>70.2</v>
      </c>
      <c r="O2" s="11">
        <f t="shared" si="0"/>
        <v>98.4</v>
      </c>
      <c r="P2" s="11">
        <f t="shared" si="0"/>
        <v>79.5</v>
      </c>
      <c r="Q2" s="11">
        <f t="shared" si="0"/>
        <v>73.78947368421052</v>
      </c>
      <c r="R2" s="11">
        <f t="shared" si="0"/>
        <v>59.442622950819676</v>
      </c>
      <c r="S2" s="11">
        <f t="shared" si="0"/>
        <v>61.907894736842103</v>
      </c>
      <c r="T2" s="11">
        <f t="shared" si="0"/>
        <v>67.547169811320757</v>
      </c>
      <c r="U2" s="11"/>
    </row>
    <row r="3" spans="1:21" s="9" customFormat="1" x14ac:dyDescent="0.25">
      <c r="B3" s="3" t="s">
        <v>186</v>
      </c>
      <c r="C3" s="10">
        <f>COUNTA(C5:C156)</f>
        <v>40</v>
      </c>
      <c r="D3" s="10">
        <f t="shared" ref="D3:U3" si="1">COUNTA(D5:D156)</f>
        <v>33</v>
      </c>
      <c r="E3" s="10">
        <f t="shared" si="1"/>
        <v>27</v>
      </c>
      <c r="F3" s="10">
        <f t="shared" si="1"/>
        <v>32</v>
      </c>
      <c r="G3" s="10">
        <f t="shared" si="1"/>
        <v>20</v>
      </c>
      <c r="H3" s="10">
        <f t="shared" si="1"/>
        <v>5</v>
      </c>
      <c r="I3" s="10">
        <f t="shared" si="1"/>
        <v>146</v>
      </c>
      <c r="J3" s="10">
        <f t="shared" si="1"/>
        <v>101</v>
      </c>
      <c r="K3" s="10">
        <f t="shared" si="1"/>
        <v>5</v>
      </c>
      <c r="L3" s="10">
        <f t="shared" si="1"/>
        <v>2</v>
      </c>
      <c r="M3" s="10">
        <f t="shared" si="1"/>
        <v>19</v>
      </c>
      <c r="N3" s="10">
        <f t="shared" si="1"/>
        <v>20</v>
      </c>
      <c r="O3" s="10">
        <f t="shared" si="1"/>
        <v>5</v>
      </c>
      <c r="P3" s="10">
        <f t="shared" si="1"/>
        <v>2</v>
      </c>
      <c r="Q3" s="10">
        <f t="shared" si="1"/>
        <v>152</v>
      </c>
      <c r="R3" s="10">
        <f t="shared" si="1"/>
        <v>61</v>
      </c>
      <c r="S3" s="10">
        <f t="shared" si="1"/>
        <v>152</v>
      </c>
      <c r="T3" s="10">
        <f t="shared" si="1"/>
        <v>53</v>
      </c>
      <c r="U3" s="10">
        <f t="shared" si="1"/>
        <v>19</v>
      </c>
    </row>
    <row r="4" spans="1:21" s="9" customFormat="1" x14ac:dyDescent="0.25">
      <c r="B4" s="3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t="s">
        <v>21</v>
      </c>
      <c r="B5" s="1" t="s">
        <v>26</v>
      </c>
      <c r="C5">
        <v>52</v>
      </c>
      <c r="I5">
        <v>100</v>
      </c>
      <c r="J5">
        <v>91</v>
      </c>
      <c r="L5">
        <v>88</v>
      </c>
      <c r="Q5">
        <v>80</v>
      </c>
      <c r="S5">
        <v>67</v>
      </c>
    </row>
    <row r="6" spans="1:21" x14ac:dyDescent="0.25">
      <c r="A6" t="s">
        <v>21</v>
      </c>
      <c r="B6" s="1" t="s">
        <v>27</v>
      </c>
      <c r="C6">
        <v>33</v>
      </c>
      <c r="D6">
        <v>52</v>
      </c>
      <c r="I6">
        <v>73</v>
      </c>
      <c r="Q6">
        <v>56</v>
      </c>
      <c r="S6">
        <v>40</v>
      </c>
    </row>
    <row r="7" spans="1:21" x14ac:dyDescent="0.25">
      <c r="A7" t="s">
        <v>21</v>
      </c>
      <c r="B7" s="1" t="s">
        <v>28</v>
      </c>
      <c r="C7">
        <v>70</v>
      </c>
      <c r="D7">
        <v>58</v>
      </c>
      <c r="I7">
        <v>92</v>
      </c>
      <c r="Q7">
        <v>60</v>
      </c>
      <c r="S7">
        <v>61</v>
      </c>
    </row>
    <row r="8" spans="1:21" x14ac:dyDescent="0.25">
      <c r="A8" t="s">
        <v>21</v>
      </c>
      <c r="B8" s="1" t="s">
        <v>29</v>
      </c>
      <c r="C8">
        <v>90</v>
      </c>
      <c r="D8">
        <v>78</v>
      </c>
      <c r="I8">
        <v>98</v>
      </c>
      <c r="J8">
        <v>68</v>
      </c>
      <c r="Q8">
        <v>70</v>
      </c>
      <c r="S8">
        <v>73</v>
      </c>
    </row>
    <row r="9" spans="1:21" x14ac:dyDescent="0.25">
      <c r="A9" t="s">
        <v>21</v>
      </c>
      <c r="B9" s="1" t="s">
        <v>30</v>
      </c>
      <c r="C9">
        <v>62</v>
      </c>
      <c r="D9">
        <v>62</v>
      </c>
      <c r="I9">
        <v>87</v>
      </c>
      <c r="Q9">
        <v>70</v>
      </c>
      <c r="S9">
        <v>51</v>
      </c>
    </row>
    <row r="10" spans="1:21" x14ac:dyDescent="0.25">
      <c r="A10" t="s">
        <v>21</v>
      </c>
      <c r="B10" s="1" t="s">
        <v>31</v>
      </c>
      <c r="C10">
        <v>65</v>
      </c>
      <c r="D10">
        <v>65</v>
      </c>
      <c r="I10">
        <v>75</v>
      </c>
      <c r="Q10">
        <v>48</v>
      </c>
      <c r="S10">
        <v>40</v>
      </c>
    </row>
    <row r="11" spans="1:21" x14ac:dyDescent="0.25">
      <c r="A11" t="s">
        <v>21</v>
      </c>
      <c r="B11" s="1" t="s">
        <v>32</v>
      </c>
      <c r="D11">
        <v>58</v>
      </c>
      <c r="I11">
        <v>96</v>
      </c>
      <c r="J11">
        <v>61</v>
      </c>
      <c r="Q11">
        <v>94</v>
      </c>
      <c r="R11">
        <v>34</v>
      </c>
      <c r="S11">
        <v>74</v>
      </c>
    </row>
    <row r="12" spans="1:21" x14ac:dyDescent="0.25">
      <c r="A12" t="s">
        <v>21</v>
      </c>
      <c r="B12" s="1" t="s">
        <v>33</v>
      </c>
      <c r="C12">
        <v>77</v>
      </c>
      <c r="D12">
        <v>85</v>
      </c>
      <c r="I12">
        <v>96</v>
      </c>
      <c r="Q12">
        <v>96</v>
      </c>
      <c r="S12">
        <v>77</v>
      </c>
    </row>
    <row r="13" spans="1:21" x14ac:dyDescent="0.25">
      <c r="A13" t="s">
        <v>21</v>
      </c>
      <c r="B13" s="1" t="s">
        <v>34</v>
      </c>
      <c r="C13">
        <v>93</v>
      </c>
      <c r="D13">
        <v>67</v>
      </c>
      <c r="I13">
        <v>84</v>
      </c>
      <c r="Q13">
        <v>86</v>
      </c>
      <c r="S13">
        <v>73</v>
      </c>
    </row>
    <row r="14" spans="1:21" x14ac:dyDescent="0.25">
      <c r="A14" t="s">
        <v>21</v>
      </c>
      <c r="B14" s="1" t="s">
        <v>35</v>
      </c>
      <c r="C14">
        <v>57</v>
      </c>
      <c r="D14">
        <v>47</v>
      </c>
      <c r="I14">
        <v>87</v>
      </c>
      <c r="Q14">
        <v>40</v>
      </c>
      <c r="S14">
        <v>43</v>
      </c>
    </row>
    <row r="15" spans="1:21" x14ac:dyDescent="0.25">
      <c r="A15" t="s">
        <v>21</v>
      </c>
      <c r="B15" s="1" t="s">
        <v>36</v>
      </c>
      <c r="C15">
        <v>60</v>
      </c>
      <c r="I15">
        <v>96</v>
      </c>
      <c r="J15">
        <v>89</v>
      </c>
      <c r="Q15">
        <v>70</v>
      </c>
      <c r="S15">
        <v>76</v>
      </c>
    </row>
    <row r="16" spans="1:21" x14ac:dyDescent="0.25">
      <c r="A16" t="s">
        <v>21</v>
      </c>
      <c r="B16" s="1" t="s">
        <v>37</v>
      </c>
      <c r="F16">
        <v>90</v>
      </c>
      <c r="I16">
        <v>100</v>
      </c>
      <c r="J16">
        <v>100</v>
      </c>
      <c r="O16">
        <v>100</v>
      </c>
      <c r="Q16">
        <v>98</v>
      </c>
      <c r="R16">
        <v>86</v>
      </c>
      <c r="S16">
        <v>80</v>
      </c>
    </row>
    <row r="17" spans="1:19" x14ac:dyDescent="0.25">
      <c r="A17" t="s">
        <v>21</v>
      </c>
      <c r="B17" s="1" t="s">
        <v>38</v>
      </c>
      <c r="C17">
        <v>95</v>
      </c>
      <c r="D17">
        <v>88</v>
      </c>
      <c r="I17">
        <v>92</v>
      </c>
      <c r="Q17">
        <v>92</v>
      </c>
      <c r="S17">
        <v>79</v>
      </c>
    </row>
    <row r="18" spans="1:19" x14ac:dyDescent="0.25">
      <c r="A18" t="s">
        <v>21</v>
      </c>
      <c r="B18" s="1" t="s">
        <v>39</v>
      </c>
      <c r="C18">
        <v>75</v>
      </c>
      <c r="D18">
        <v>67</v>
      </c>
      <c r="I18">
        <v>91</v>
      </c>
      <c r="Q18">
        <v>88</v>
      </c>
      <c r="S18">
        <v>59</v>
      </c>
    </row>
    <row r="19" spans="1:19" x14ac:dyDescent="0.25">
      <c r="A19" t="s">
        <v>21</v>
      </c>
      <c r="B19" s="1" t="s">
        <v>40</v>
      </c>
      <c r="C19">
        <v>85</v>
      </c>
      <c r="D19">
        <v>83</v>
      </c>
      <c r="E19">
        <v>48</v>
      </c>
      <c r="I19">
        <v>94</v>
      </c>
      <c r="Q19">
        <v>92</v>
      </c>
      <c r="S19">
        <v>56</v>
      </c>
    </row>
    <row r="20" spans="1:19" x14ac:dyDescent="0.25">
      <c r="A20" t="s">
        <v>21</v>
      </c>
      <c r="B20" s="1" t="s">
        <v>41</v>
      </c>
      <c r="C20">
        <v>62</v>
      </c>
      <c r="D20">
        <v>48</v>
      </c>
      <c r="I20">
        <v>85</v>
      </c>
      <c r="Q20">
        <v>58</v>
      </c>
      <c r="S20">
        <v>59</v>
      </c>
    </row>
    <row r="21" spans="1:19" x14ac:dyDescent="0.25">
      <c r="A21" t="s">
        <v>21</v>
      </c>
      <c r="B21" s="1" t="s">
        <v>42</v>
      </c>
      <c r="C21">
        <v>68</v>
      </c>
      <c r="D21">
        <v>62</v>
      </c>
      <c r="I21">
        <v>99</v>
      </c>
      <c r="J21">
        <v>93</v>
      </c>
      <c r="Q21">
        <v>78</v>
      </c>
      <c r="S21">
        <v>54</v>
      </c>
    </row>
    <row r="22" spans="1:19" x14ac:dyDescent="0.25">
      <c r="A22" t="s">
        <v>21</v>
      </c>
      <c r="B22" s="1" t="s">
        <v>43</v>
      </c>
      <c r="C22">
        <v>55</v>
      </c>
      <c r="D22">
        <v>62</v>
      </c>
      <c r="I22">
        <v>96</v>
      </c>
      <c r="J22">
        <v>86</v>
      </c>
      <c r="Q22">
        <v>92</v>
      </c>
      <c r="S22">
        <v>73</v>
      </c>
    </row>
    <row r="23" spans="1:19" x14ac:dyDescent="0.25">
      <c r="A23" t="s">
        <v>21</v>
      </c>
      <c r="B23" s="1" t="s">
        <v>44</v>
      </c>
      <c r="C23">
        <v>68</v>
      </c>
      <c r="D23">
        <v>45</v>
      </c>
      <c r="I23">
        <v>92</v>
      </c>
      <c r="Q23">
        <v>78</v>
      </c>
      <c r="S23">
        <v>56</v>
      </c>
    </row>
    <row r="24" spans="1:19" x14ac:dyDescent="0.25">
      <c r="A24" t="s">
        <v>21</v>
      </c>
      <c r="B24" s="1" t="s">
        <v>45</v>
      </c>
      <c r="C24">
        <v>78</v>
      </c>
      <c r="I24">
        <v>95</v>
      </c>
      <c r="J24">
        <v>77</v>
      </c>
      <c r="Q24">
        <v>64</v>
      </c>
      <c r="S24">
        <v>84</v>
      </c>
    </row>
    <row r="25" spans="1:19" x14ac:dyDescent="0.25">
      <c r="A25" t="s">
        <v>21</v>
      </c>
      <c r="B25" s="1" t="s">
        <v>46</v>
      </c>
      <c r="C25">
        <v>72</v>
      </c>
      <c r="D25">
        <v>68</v>
      </c>
      <c r="I25">
        <v>92</v>
      </c>
      <c r="Q25">
        <v>70</v>
      </c>
      <c r="S25">
        <v>64</v>
      </c>
    </row>
    <row r="26" spans="1:19" x14ac:dyDescent="0.25">
      <c r="A26" t="s">
        <v>21</v>
      </c>
      <c r="B26" s="1" t="s">
        <v>47</v>
      </c>
      <c r="C26">
        <v>55</v>
      </c>
      <c r="D26">
        <v>50</v>
      </c>
      <c r="I26">
        <v>84</v>
      </c>
      <c r="Q26">
        <v>58</v>
      </c>
      <c r="S26">
        <v>54</v>
      </c>
    </row>
    <row r="27" spans="1:19" x14ac:dyDescent="0.25">
      <c r="A27" t="s">
        <v>21</v>
      </c>
      <c r="B27" s="1" t="s">
        <v>48</v>
      </c>
      <c r="C27">
        <v>67</v>
      </c>
      <c r="D27">
        <v>60</v>
      </c>
      <c r="I27">
        <v>92</v>
      </c>
      <c r="Q27">
        <v>76</v>
      </c>
      <c r="S27">
        <v>50</v>
      </c>
    </row>
    <row r="28" spans="1:19" x14ac:dyDescent="0.25">
      <c r="A28" t="s">
        <v>21</v>
      </c>
      <c r="B28" s="1" t="s">
        <v>49</v>
      </c>
      <c r="C28">
        <v>45</v>
      </c>
      <c r="D28">
        <v>30</v>
      </c>
      <c r="I28">
        <v>61</v>
      </c>
      <c r="Q28">
        <v>50</v>
      </c>
      <c r="S28">
        <v>33</v>
      </c>
    </row>
    <row r="29" spans="1:19" x14ac:dyDescent="0.25">
      <c r="A29" t="s">
        <v>21</v>
      </c>
      <c r="B29" s="1" t="s">
        <v>50</v>
      </c>
      <c r="C29">
        <v>83</v>
      </c>
      <c r="D29">
        <v>50</v>
      </c>
      <c r="I29">
        <v>100</v>
      </c>
      <c r="J29">
        <v>83</v>
      </c>
      <c r="Q29">
        <v>62</v>
      </c>
      <c r="S29">
        <v>76</v>
      </c>
    </row>
    <row r="30" spans="1:19" x14ac:dyDescent="0.25">
      <c r="A30" t="s">
        <v>21</v>
      </c>
      <c r="B30" s="1" t="s">
        <v>51</v>
      </c>
      <c r="C30">
        <v>80</v>
      </c>
      <c r="I30">
        <v>99</v>
      </c>
      <c r="J30">
        <v>83</v>
      </c>
      <c r="Q30">
        <v>72</v>
      </c>
      <c r="S30">
        <v>84</v>
      </c>
    </row>
    <row r="31" spans="1:19" x14ac:dyDescent="0.25">
      <c r="A31" t="s">
        <v>21</v>
      </c>
      <c r="B31" s="1" t="s">
        <v>52</v>
      </c>
      <c r="C31">
        <v>70</v>
      </c>
      <c r="D31">
        <v>60</v>
      </c>
      <c r="I31">
        <v>91</v>
      </c>
      <c r="Q31">
        <v>80</v>
      </c>
      <c r="S31">
        <v>74</v>
      </c>
    </row>
    <row r="32" spans="1:19" x14ac:dyDescent="0.25">
      <c r="A32" t="s">
        <v>21</v>
      </c>
      <c r="B32" s="1" t="s">
        <v>53</v>
      </c>
      <c r="E32">
        <v>55</v>
      </c>
      <c r="I32">
        <v>96</v>
      </c>
      <c r="J32">
        <v>86</v>
      </c>
      <c r="Q32">
        <v>86</v>
      </c>
      <c r="S32">
        <v>64</v>
      </c>
    </row>
    <row r="33" spans="1:21" x14ac:dyDescent="0.25">
      <c r="A33" t="s">
        <v>21</v>
      </c>
      <c r="B33" s="1" t="s">
        <v>54</v>
      </c>
      <c r="C33">
        <v>73</v>
      </c>
      <c r="D33">
        <v>78</v>
      </c>
      <c r="I33">
        <v>96</v>
      </c>
      <c r="Q33">
        <v>82</v>
      </c>
      <c r="S33">
        <v>60</v>
      </c>
    </row>
    <row r="34" spans="1:21" x14ac:dyDescent="0.25">
      <c r="A34" t="s">
        <v>21</v>
      </c>
      <c r="B34" s="1" t="s">
        <v>55</v>
      </c>
      <c r="C34">
        <v>80</v>
      </c>
      <c r="D34">
        <v>60</v>
      </c>
      <c r="I34">
        <v>88</v>
      </c>
      <c r="J34">
        <v>67</v>
      </c>
      <c r="Q34">
        <v>80</v>
      </c>
      <c r="S34">
        <v>63</v>
      </c>
    </row>
    <row r="35" spans="1:21" x14ac:dyDescent="0.25">
      <c r="A35" t="s">
        <v>21</v>
      </c>
      <c r="B35" s="1" t="s">
        <v>56</v>
      </c>
      <c r="C35">
        <v>93</v>
      </c>
      <c r="D35">
        <v>88</v>
      </c>
      <c r="I35">
        <v>100</v>
      </c>
      <c r="J35">
        <v>76</v>
      </c>
      <c r="Q35">
        <v>92</v>
      </c>
      <c r="S35">
        <v>76</v>
      </c>
    </row>
    <row r="36" spans="1:21" x14ac:dyDescent="0.25">
      <c r="A36" t="s">
        <v>21</v>
      </c>
      <c r="B36" s="1" t="s">
        <v>57</v>
      </c>
      <c r="C36">
        <v>85</v>
      </c>
      <c r="D36">
        <v>93</v>
      </c>
      <c r="E36">
        <v>82</v>
      </c>
      <c r="I36">
        <v>96</v>
      </c>
      <c r="Q36">
        <v>94</v>
      </c>
      <c r="R36">
        <v>74</v>
      </c>
      <c r="S36">
        <v>66</v>
      </c>
    </row>
    <row r="37" spans="1:21" x14ac:dyDescent="0.25">
      <c r="A37" t="s">
        <v>21</v>
      </c>
      <c r="B37" s="1" t="s">
        <v>58</v>
      </c>
      <c r="C37">
        <v>90</v>
      </c>
      <c r="D37">
        <v>82</v>
      </c>
      <c r="I37">
        <v>92</v>
      </c>
      <c r="Q37">
        <v>86</v>
      </c>
      <c r="S37">
        <v>63</v>
      </c>
    </row>
    <row r="38" spans="1:21" x14ac:dyDescent="0.25">
      <c r="A38" t="s">
        <v>21</v>
      </c>
      <c r="B38" s="1" t="s">
        <v>59</v>
      </c>
      <c r="C38">
        <v>87</v>
      </c>
      <c r="I38">
        <v>100</v>
      </c>
      <c r="Q38">
        <v>82</v>
      </c>
      <c r="S38">
        <v>79</v>
      </c>
      <c r="T38">
        <v>73</v>
      </c>
      <c r="U38">
        <v>64</v>
      </c>
    </row>
    <row r="39" spans="1:21" x14ac:dyDescent="0.25">
      <c r="A39" t="s">
        <v>22</v>
      </c>
      <c r="B39" s="1" t="s">
        <v>60</v>
      </c>
      <c r="I39">
        <v>93</v>
      </c>
      <c r="J39">
        <v>60</v>
      </c>
      <c r="Q39">
        <v>46</v>
      </c>
      <c r="S39">
        <v>60</v>
      </c>
      <c r="T39">
        <v>75</v>
      </c>
    </row>
    <row r="40" spans="1:21" x14ac:dyDescent="0.25">
      <c r="A40" t="s">
        <v>22</v>
      </c>
      <c r="B40" s="1" t="s">
        <v>61</v>
      </c>
      <c r="I40">
        <v>96</v>
      </c>
      <c r="J40">
        <v>87</v>
      </c>
      <c r="Q40">
        <v>50</v>
      </c>
      <c r="S40">
        <v>40</v>
      </c>
      <c r="T40">
        <v>70</v>
      </c>
      <c r="U40">
        <v>44</v>
      </c>
    </row>
    <row r="41" spans="1:21" x14ac:dyDescent="0.25">
      <c r="A41" t="s">
        <v>22</v>
      </c>
      <c r="B41" s="1" t="s">
        <v>62</v>
      </c>
      <c r="G41">
        <v>92</v>
      </c>
      <c r="I41">
        <v>100</v>
      </c>
      <c r="J41">
        <v>81</v>
      </c>
      <c r="Q41">
        <v>88</v>
      </c>
      <c r="S41">
        <v>57</v>
      </c>
      <c r="T41">
        <v>70</v>
      </c>
    </row>
    <row r="42" spans="1:21" x14ac:dyDescent="0.25">
      <c r="A42" t="s">
        <v>22</v>
      </c>
      <c r="B42" s="1" t="s">
        <v>63</v>
      </c>
      <c r="G42">
        <v>86</v>
      </c>
      <c r="I42">
        <v>100</v>
      </c>
      <c r="J42">
        <v>90</v>
      </c>
      <c r="Q42">
        <v>70</v>
      </c>
      <c r="S42">
        <v>56</v>
      </c>
      <c r="T42">
        <v>68</v>
      </c>
      <c r="U42">
        <v>78</v>
      </c>
    </row>
    <row r="43" spans="1:21" x14ac:dyDescent="0.25">
      <c r="A43" t="s">
        <v>22</v>
      </c>
      <c r="B43" s="1" t="s">
        <v>64</v>
      </c>
      <c r="G43">
        <v>90</v>
      </c>
      <c r="I43">
        <v>96</v>
      </c>
      <c r="J43">
        <v>93</v>
      </c>
      <c r="Q43">
        <v>86</v>
      </c>
      <c r="R43">
        <v>36</v>
      </c>
      <c r="S43">
        <v>53</v>
      </c>
      <c r="T43">
        <v>73</v>
      </c>
      <c r="U43">
        <v>100</v>
      </c>
    </row>
    <row r="44" spans="1:21" x14ac:dyDescent="0.25">
      <c r="A44" t="s">
        <v>22</v>
      </c>
      <c r="B44" s="1" t="s">
        <v>65</v>
      </c>
      <c r="I44">
        <v>59</v>
      </c>
      <c r="J44">
        <v>44</v>
      </c>
      <c r="Q44">
        <v>34</v>
      </c>
      <c r="S44">
        <v>30</v>
      </c>
      <c r="T44">
        <v>53</v>
      </c>
      <c r="U44">
        <v>34</v>
      </c>
    </row>
    <row r="45" spans="1:21" x14ac:dyDescent="0.25">
      <c r="A45" t="s">
        <v>22</v>
      </c>
      <c r="B45" s="1" t="s">
        <v>66</v>
      </c>
      <c r="G45">
        <v>88</v>
      </c>
      <c r="I45">
        <v>98</v>
      </c>
      <c r="J45">
        <v>95</v>
      </c>
      <c r="P45">
        <v>69</v>
      </c>
      <c r="Q45">
        <v>68</v>
      </c>
      <c r="S45">
        <v>70</v>
      </c>
      <c r="T45">
        <v>80</v>
      </c>
      <c r="U45">
        <v>72</v>
      </c>
    </row>
    <row r="46" spans="1:21" x14ac:dyDescent="0.25">
      <c r="A46" t="s">
        <v>22</v>
      </c>
      <c r="B46" s="1" t="s">
        <v>67</v>
      </c>
      <c r="G46">
        <v>92</v>
      </c>
      <c r="I46">
        <v>93</v>
      </c>
      <c r="J46">
        <v>95</v>
      </c>
      <c r="Q46">
        <v>56</v>
      </c>
      <c r="S46">
        <v>79</v>
      </c>
      <c r="T46">
        <v>55</v>
      </c>
      <c r="U46">
        <v>72</v>
      </c>
    </row>
    <row r="47" spans="1:21" x14ac:dyDescent="0.25">
      <c r="A47" t="s">
        <v>22</v>
      </c>
      <c r="B47" s="1" t="s">
        <v>68</v>
      </c>
      <c r="G47">
        <v>94</v>
      </c>
      <c r="I47">
        <v>90</v>
      </c>
      <c r="J47">
        <v>67</v>
      </c>
      <c r="Q47">
        <v>40</v>
      </c>
      <c r="S47">
        <v>80</v>
      </c>
      <c r="T47">
        <v>60</v>
      </c>
    </row>
    <row r="48" spans="1:21" x14ac:dyDescent="0.25">
      <c r="A48" t="s">
        <v>22</v>
      </c>
      <c r="B48" s="1" t="s">
        <v>69</v>
      </c>
      <c r="G48">
        <v>66</v>
      </c>
      <c r="I48">
        <v>98</v>
      </c>
      <c r="J48">
        <v>67</v>
      </c>
      <c r="Q48">
        <v>50</v>
      </c>
      <c r="S48">
        <v>54</v>
      </c>
      <c r="T48">
        <v>80</v>
      </c>
      <c r="U48">
        <v>68</v>
      </c>
    </row>
    <row r="49" spans="1:21" x14ac:dyDescent="0.25">
      <c r="A49" t="s">
        <v>22</v>
      </c>
      <c r="B49" s="1" t="s">
        <v>70</v>
      </c>
      <c r="I49">
        <v>100</v>
      </c>
      <c r="J49">
        <v>92</v>
      </c>
      <c r="Q49">
        <v>70</v>
      </c>
      <c r="S49">
        <v>63</v>
      </c>
      <c r="T49">
        <v>45</v>
      </c>
    </row>
    <row r="50" spans="1:21" x14ac:dyDescent="0.25">
      <c r="A50" t="s">
        <v>22</v>
      </c>
      <c r="B50" s="1" t="s">
        <v>71</v>
      </c>
      <c r="I50">
        <v>96</v>
      </c>
      <c r="J50">
        <v>63</v>
      </c>
      <c r="Q50">
        <v>64</v>
      </c>
      <c r="S50">
        <v>63</v>
      </c>
      <c r="T50">
        <v>58</v>
      </c>
      <c r="U50">
        <v>48</v>
      </c>
    </row>
    <row r="51" spans="1:21" x14ac:dyDescent="0.25">
      <c r="A51" t="s">
        <v>22</v>
      </c>
      <c r="B51" s="1" t="s">
        <v>72</v>
      </c>
      <c r="I51">
        <v>96</v>
      </c>
      <c r="J51">
        <v>69</v>
      </c>
      <c r="Q51">
        <v>68</v>
      </c>
      <c r="S51">
        <v>51</v>
      </c>
      <c r="T51">
        <v>70</v>
      </c>
      <c r="U51">
        <v>38</v>
      </c>
    </row>
    <row r="52" spans="1:21" x14ac:dyDescent="0.25">
      <c r="A52" t="s">
        <v>22</v>
      </c>
      <c r="B52" s="1" t="s">
        <v>73</v>
      </c>
      <c r="C52">
        <v>73</v>
      </c>
      <c r="D52">
        <v>65</v>
      </c>
      <c r="I52">
        <v>80</v>
      </c>
      <c r="Q52">
        <v>52</v>
      </c>
      <c r="S52">
        <v>56</v>
      </c>
    </row>
    <row r="53" spans="1:21" x14ac:dyDescent="0.25">
      <c r="A53" t="s">
        <v>22</v>
      </c>
      <c r="B53" s="1" t="s">
        <v>74</v>
      </c>
      <c r="C53">
        <v>50</v>
      </c>
      <c r="D53">
        <v>47</v>
      </c>
      <c r="I53">
        <v>92</v>
      </c>
      <c r="Q53">
        <v>58</v>
      </c>
      <c r="S53">
        <v>51</v>
      </c>
    </row>
    <row r="54" spans="1:21" x14ac:dyDescent="0.25">
      <c r="A54" t="s">
        <v>22</v>
      </c>
      <c r="B54" s="1" t="s">
        <v>75</v>
      </c>
      <c r="G54">
        <v>92</v>
      </c>
      <c r="I54">
        <v>92</v>
      </c>
      <c r="J54">
        <v>59</v>
      </c>
      <c r="Q54">
        <v>72</v>
      </c>
      <c r="S54">
        <v>41</v>
      </c>
      <c r="T54">
        <v>60</v>
      </c>
      <c r="U54">
        <v>68</v>
      </c>
    </row>
    <row r="55" spans="1:21" x14ac:dyDescent="0.25">
      <c r="A55" t="s">
        <v>22</v>
      </c>
      <c r="B55" s="1" t="s">
        <v>76</v>
      </c>
      <c r="C55">
        <v>73</v>
      </c>
      <c r="I55">
        <v>97</v>
      </c>
      <c r="J55">
        <v>74</v>
      </c>
      <c r="Q55">
        <v>56</v>
      </c>
      <c r="S55">
        <v>60</v>
      </c>
      <c r="T55">
        <v>73</v>
      </c>
    </row>
    <row r="56" spans="1:21" x14ac:dyDescent="0.25">
      <c r="A56" t="s">
        <v>22</v>
      </c>
      <c r="B56" s="1" t="s">
        <v>77</v>
      </c>
      <c r="G56">
        <v>80</v>
      </c>
      <c r="I56">
        <v>97</v>
      </c>
      <c r="J56">
        <v>83</v>
      </c>
      <c r="Q56">
        <v>44</v>
      </c>
      <c r="S56">
        <v>66</v>
      </c>
      <c r="T56">
        <v>63</v>
      </c>
    </row>
    <row r="57" spans="1:21" x14ac:dyDescent="0.25">
      <c r="A57" t="s">
        <v>22</v>
      </c>
      <c r="B57" s="1" t="s">
        <v>78</v>
      </c>
      <c r="C57">
        <v>35</v>
      </c>
      <c r="I57">
        <v>96</v>
      </c>
      <c r="J57">
        <v>84</v>
      </c>
      <c r="Q57">
        <v>32</v>
      </c>
      <c r="S57">
        <v>51</v>
      </c>
      <c r="T57">
        <v>63</v>
      </c>
    </row>
    <row r="58" spans="1:21" x14ac:dyDescent="0.25">
      <c r="A58" t="s">
        <v>22</v>
      </c>
      <c r="B58" s="1" t="s">
        <v>79</v>
      </c>
      <c r="F58">
        <v>47</v>
      </c>
      <c r="I58">
        <v>86</v>
      </c>
      <c r="J58">
        <v>60</v>
      </c>
      <c r="Q58">
        <v>66</v>
      </c>
      <c r="S58">
        <v>34</v>
      </c>
      <c r="T58">
        <v>58</v>
      </c>
      <c r="U58">
        <v>58</v>
      </c>
    </row>
    <row r="59" spans="1:21" x14ac:dyDescent="0.25">
      <c r="A59" t="s">
        <v>22</v>
      </c>
      <c r="B59" s="1" t="s">
        <v>80</v>
      </c>
      <c r="G59">
        <v>42</v>
      </c>
      <c r="I59">
        <v>66</v>
      </c>
      <c r="Q59">
        <v>64</v>
      </c>
      <c r="S59">
        <v>56</v>
      </c>
      <c r="T59">
        <v>75</v>
      </c>
    </row>
    <row r="60" spans="1:21" x14ac:dyDescent="0.25">
      <c r="A60" t="s">
        <v>22</v>
      </c>
      <c r="B60" s="1" t="s">
        <v>81</v>
      </c>
      <c r="G60">
        <v>76</v>
      </c>
      <c r="I60">
        <v>97</v>
      </c>
      <c r="J60">
        <v>78</v>
      </c>
      <c r="Q60">
        <v>72</v>
      </c>
      <c r="S60">
        <v>60</v>
      </c>
      <c r="T60">
        <v>80</v>
      </c>
    </row>
    <row r="61" spans="1:21" x14ac:dyDescent="0.25">
      <c r="A61" t="s">
        <v>22</v>
      </c>
      <c r="B61" s="1" t="s">
        <v>82</v>
      </c>
      <c r="G61">
        <v>80</v>
      </c>
      <c r="I61">
        <v>78</v>
      </c>
      <c r="J61">
        <v>34</v>
      </c>
      <c r="Q61">
        <v>52</v>
      </c>
      <c r="S61">
        <v>46</v>
      </c>
      <c r="T61">
        <v>80</v>
      </c>
      <c r="U61">
        <v>62</v>
      </c>
    </row>
    <row r="62" spans="1:21" x14ac:dyDescent="0.25">
      <c r="A62" t="s">
        <v>22</v>
      </c>
      <c r="B62" s="1" t="s">
        <v>83</v>
      </c>
      <c r="I62">
        <v>65</v>
      </c>
      <c r="Q62">
        <v>50</v>
      </c>
      <c r="S62">
        <v>43</v>
      </c>
      <c r="T62">
        <v>78</v>
      </c>
      <c r="U62">
        <v>24</v>
      </c>
    </row>
    <row r="63" spans="1:21" x14ac:dyDescent="0.25">
      <c r="A63" t="s">
        <v>22</v>
      </c>
      <c r="B63" s="1" t="s">
        <v>84</v>
      </c>
      <c r="G63">
        <v>88</v>
      </c>
      <c r="I63">
        <v>96</v>
      </c>
      <c r="J63">
        <v>92</v>
      </c>
      <c r="Q63">
        <v>58</v>
      </c>
      <c r="S63">
        <v>59</v>
      </c>
      <c r="T63">
        <v>53</v>
      </c>
      <c r="U63">
        <v>72</v>
      </c>
    </row>
    <row r="64" spans="1:21" x14ac:dyDescent="0.25">
      <c r="A64" t="s">
        <v>22</v>
      </c>
      <c r="B64" s="1" t="s">
        <v>85</v>
      </c>
      <c r="G64">
        <v>76</v>
      </c>
      <c r="I64">
        <v>100</v>
      </c>
      <c r="J64">
        <v>90</v>
      </c>
      <c r="O64">
        <v>100</v>
      </c>
      <c r="Q64">
        <v>78</v>
      </c>
      <c r="S64">
        <v>66</v>
      </c>
      <c r="T64">
        <v>75</v>
      </c>
    </row>
    <row r="65" spans="1:21" x14ac:dyDescent="0.25">
      <c r="A65" t="s">
        <v>22</v>
      </c>
      <c r="B65" s="1" t="s">
        <v>86</v>
      </c>
      <c r="G65">
        <v>96</v>
      </c>
      <c r="I65">
        <v>98</v>
      </c>
      <c r="J65">
        <v>91</v>
      </c>
      <c r="Q65">
        <v>72</v>
      </c>
      <c r="S65">
        <v>69</v>
      </c>
      <c r="T65">
        <v>85</v>
      </c>
    </row>
    <row r="66" spans="1:21" x14ac:dyDescent="0.25">
      <c r="A66" t="s">
        <v>22</v>
      </c>
      <c r="B66" s="1" t="s">
        <v>87</v>
      </c>
      <c r="G66">
        <v>76</v>
      </c>
      <c r="I66">
        <v>99</v>
      </c>
      <c r="J66">
        <v>84</v>
      </c>
      <c r="K66">
        <v>78</v>
      </c>
      <c r="Q66">
        <v>70</v>
      </c>
      <c r="S66">
        <v>53</v>
      </c>
      <c r="T66">
        <v>73</v>
      </c>
    </row>
    <row r="67" spans="1:21" x14ac:dyDescent="0.25">
      <c r="A67" t="s">
        <v>22</v>
      </c>
      <c r="B67" s="1" t="s">
        <v>88</v>
      </c>
      <c r="C67">
        <v>48</v>
      </c>
      <c r="D67">
        <v>17</v>
      </c>
      <c r="I67">
        <v>100</v>
      </c>
      <c r="J67">
        <v>92</v>
      </c>
      <c r="Q67">
        <v>60</v>
      </c>
      <c r="S67">
        <v>47</v>
      </c>
    </row>
    <row r="68" spans="1:21" x14ac:dyDescent="0.25">
      <c r="A68" t="s">
        <v>22</v>
      </c>
      <c r="B68" s="1" t="s">
        <v>89</v>
      </c>
      <c r="G68">
        <v>80</v>
      </c>
      <c r="I68">
        <v>98</v>
      </c>
      <c r="J68">
        <v>79</v>
      </c>
      <c r="Q68">
        <v>66</v>
      </c>
      <c r="S68">
        <v>66</v>
      </c>
      <c r="T68">
        <v>63</v>
      </c>
      <c r="U68">
        <v>60</v>
      </c>
    </row>
    <row r="69" spans="1:21" x14ac:dyDescent="0.25">
      <c r="A69" t="s">
        <v>22</v>
      </c>
      <c r="B69" s="1" t="s">
        <v>90</v>
      </c>
      <c r="I69">
        <v>94</v>
      </c>
      <c r="J69">
        <v>66</v>
      </c>
      <c r="Q69">
        <v>76</v>
      </c>
      <c r="R69">
        <v>24</v>
      </c>
      <c r="S69">
        <v>44</v>
      </c>
      <c r="T69">
        <v>40</v>
      </c>
    </row>
    <row r="70" spans="1:21" x14ac:dyDescent="0.25">
      <c r="A70" t="s">
        <v>23</v>
      </c>
      <c r="B70" s="1" t="s">
        <v>91</v>
      </c>
      <c r="I70">
        <v>95</v>
      </c>
      <c r="J70">
        <v>70</v>
      </c>
      <c r="M70">
        <v>51</v>
      </c>
      <c r="Q70">
        <v>76</v>
      </c>
      <c r="R70">
        <v>52</v>
      </c>
      <c r="S70">
        <v>49</v>
      </c>
    </row>
    <row r="71" spans="1:21" x14ac:dyDescent="0.25">
      <c r="A71" t="s">
        <v>23</v>
      </c>
      <c r="B71" s="1" t="s">
        <v>92</v>
      </c>
      <c r="F71">
        <v>42</v>
      </c>
      <c r="I71">
        <v>52</v>
      </c>
      <c r="Q71">
        <v>76</v>
      </c>
      <c r="R71">
        <v>40</v>
      </c>
      <c r="S71">
        <v>36</v>
      </c>
    </row>
    <row r="72" spans="1:21" x14ac:dyDescent="0.25">
      <c r="A72" t="s">
        <v>23</v>
      </c>
      <c r="B72" s="1" t="s">
        <v>93</v>
      </c>
      <c r="F72">
        <v>77</v>
      </c>
      <c r="I72">
        <v>92</v>
      </c>
      <c r="J72">
        <v>80</v>
      </c>
      <c r="K72">
        <v>68</v>
      </c>
      <c r="Q72">
        <v>66</v>
      </c>
      <c r="R72">
        <v>44</v>
      </c>
      <c r="S72">
        <v>54</v>
      </c>
    </row>
    <row r="73" spans="1:21" x14ac:dyDescent="0.25">
      <c r="A73" t="s">
        <v>23</v>
      </c>
      <c r="B73" s="1" t="s">
        <v>94</v>
      </c>
      <c r="F73">
        <v>55</v>
      </c>
      <c r="I73">
        <v>88</v>
      </c>
      <c r="Q73">
        <v>72</v>
      </c>
      <c r="R73">
        <v>42</v>
      </c>
      <c r="S73">
        <v>49</v>
      </c>
    </row>
    <row r="74" spans="1:21" x14ac:dyDescent="0.25">
      <c r="A74" t="s">
        <v>23</v>
      </c>
      <c r="B74" s="1" t="s">
        <v>95</v>
      </c>
      <c r="F74">
        <v>85</v>
      </c>
      <c r="I74">
        <v>100</v>
      </c>
      <c r="J74">
        <v>81</v>
      </c>
      <c r="M74">
        <v>94</v>
      </c>
      <c r="Q74">
        <v>94</v>
      </c>
      <c r="R74">
        <v>52</v>
      </c>
      <c r="S74">
        <v>71</v>
      </c>
    </row>
    <row r="75" spans="1:21" x14ac:dyDescent="0.25">
      <c r="A75" t="s">
        <v>23</v>
      </c>
      <c r="B75" s="1" t="s">
        <v>96</v>
      </c>
      <c r="F75">
        <v>68</v>
      </c>
      <c r="I75">
        <v>84</v>
      </c>
      <c r="Q75">
        <v>52</v>
      </c>
      <c r="R75">
        <v>14</v>
      </c>
      <c r="S75">
        <v>34</v>
      </c>
    </row>
    <row r="76" spans="1:21" x14ac:dyDescent="0.25">
      <c r="A76" t="s">
        <v>23</v>
      </c>
      <c r="B76" s="1" t="s">
        <v>97</v>
      </c>
      <c r="F76">
        <v>60</v>
      </c>
      <c r="I76">
        <v>92</v>
      </c>
      <c r="Q76">
        <v>70</v>
      </c>
      <c r="R76">
        <v>32</v>
      </c>
      <c r="S76">
        <v>63</v>
      </c>
    </row>
    <row r="77" spans="1:21" x14ac:dyDescent="0.25">
      <c r="A77" t="s">
        <v>23</v>
      </c>
      <c r="B77" s="1" t="s">
        <v>98</v>
      </c>
      <c r="F77">
        <v>70</v>
      </c>
      <c r="I77">
        <v>94</v>
      </c>
      <c r="J77">
        <v>84</v>
      </c>
      <c r="P77">
        <v>90</v>
      </c>
      <c r="Q77">
        <v>88</v>
      </c>
      <c r="R77">
        <v>56</v>
      </c>
      <c r="S77">
        <v>64</v>
      </c>
    </row>
    <row r="78" spans="1:21" x14ac:dyDescent="0.25">
      <c r="A78" t="s">
        <v>23</v>
      </c>
      <c r="B78" s="1" t="s">
        <v>99</v>
      </c>
      <c r="F78">
        <v>38</v>
      </c>
      <c r="I78">
        <v>51</v>
      </c>
      <c r="Q78">
        <v>48</v>
      </c>
      <c r="S78">
        <v>49</v>
      </c>
    </row>
    <row r="79" spans="1:21" x14ac:dyDescent="0.25">
      <c r="A79" t="s">
        <v>23</v>
      </c>
      <c r="B79" s="1" t="s">
        <v>100</v>
      </c>
      <c r="F79">
        <v>83</v>
      </c>
      <c r="J79">
        <v>93</v>
      </c>
      <c r="O79">
        <v>96</v>
      </c>
      <c r="Q79">
        <v>72</v>
      </c>
      <c r="R79">
        <v>64</v>
      </c>
      <c r="S79">
        <v>57</v>
      </c>
    </row>
    <row r="80" spans="1:21" x14ac:dyDescent="0.25">
      <c r="A80" t="s">
        <v>23</v>
      </c>
      <c r="B80" s="1" t="s">
        <v>101</v>
      </c>
      <c r="F80">
        <v>93</v>
      </c>
      <c r="I80">
        <v>98</v>
      </c>
      <c r="J80">
        <v>80</v>
      </c>
      <c r="K80">
        <v>80</v>
      </c>
      <c r="Q80">
        <v>78</v>
      </c>
      <c r="R80">
        <v>64</v>
      </c>
      <c r="S80">
        <v>63</v>
      </c>
    </row>
    <row r="81" spans="1:21" x14ac:dyDescent="0.25">
      <c r="A81" t="s">
        <v>23</v>
      </c>
      <c r="B81" s="1" t="s">
        <v>102</v>
      </c>
      <c r="F81">
        <v>63</v>
      </c>
      <c r="I81">
        <v>88</v>
      </c>
      <c r="Q81">
        <v>64</v>
      </c>
      <c r="S81">
        <v>63</v>
      </c>
      <c r="T81">
        <v>43</v>
      </c>
    </row>
    <row r="82" spans="1:21" x14ac:dyDescent="0.25">
      <c r="A82" t="s">
        <v>23</v>
      </c>
      <c r="B82" s="1" t="s">
        <v>103</v>
      </c>
      <c r="F82">
        <v>65</v>
      </c>
      <c r="I82">
        <v>69</v>
      </c>
      <c r="Q82">
        <v>52</v>
      </c>
      <c r="S82">
        <v>51</v>
      </c>
    </row>
    <row r="83" spans="1:21" x14ac:dyDescent="0.25">
      <c r="A83" t="s">
        <v>23</v>
      </c>
      <c r="B83" s="1" t="s">
        <v>104</v>
      </c>
      <c r="F83">
        <v>50</v>
      </c>
      <c r="I83">
        <v>82</v>
      </c>
      <c r="Q83">
        <v>68</v>
      </c>
      <c r="R83">
        <v>36</v>
      </c>
      <c r="S83">
        <v>47</v>
      </c>
    </row>
    <row r="84" spans="1:21" x14ac:dyDescent="0.25">
      <c r="A84" t="s">
        <v>23</v>
      </c>
      <c r="B84" s="1" t="s">
        <v>105</v>
      </c>
      <c r="F84">
        <v>53</v>
      </c>
      <c r="I84">
        <v>100</v>
      </c>
      <c r="J84">
        <v>77</v>
      </c>
      <c r="Q84">
        <v>82</v>
      </c>
      <c r="R84">
        <v>38</v>
      </c>
      <c r="S84">
        <v>53</v>
      </c>
      <c r="U84">
        <v>46</v>
      </c>
    </row>
    <row r="85" spans="1:21" x14ac:dyDescent="0.25">
      <c r="A85" t="s">
        <v>23</v>
      </c>
      <c r="B85" s="1" t="s">
        <v>106</v>
      </c>
      <c r="I85">
        <v>98</v>
      </c>
      <c r="J85">
        <v>81</v>
      </c>
      <c r="Q85">
        <v>88</v>
      </c>
      <c r="R85">
        <v>40</v>
      </c>
      <c r="S85">
        <v>59</v>
      </c>
    </row>
    <row r="86" spans="1:21" x14ac:dyDescent="0.25">
      <c r="A86" t="s">
        <v>23</v>
      </c>
      <c r="B86" s="1" t="s">
        <v>107</v>
      </c>
      <c r="F86">
        <v>70</v>
      </c>
      <c r="I86">
        <v>96</v>
      </c>
      <c r="J86">
        <v>51</v>
      </c>
      <c r="Q86">
        <v>76</v>
      </c>
      <c r="S86">
        <v>66</v>
      </c>
      <c r="T86">
        <v>95</v>
      </c>
    </row>
    <row r="87" spans="1:21" x14ac:dyDescent="0.25">
      <c r="A87" t="s">
        <v>23</v>
      </c>
      <c r="B87" s="1" t="s">
        <v>108</v>
      </c>
      <c r="F87">
        <v>68</v>
      </c>
      <c r="I87">
        <v>87</v>
      </c>
      <c r="J87">
        <v>55</v>
      </c>
      <c r="Q87">
        <v>86</v>
      </c>
      <c r="R87">
        <v>48</v>
      </c>
      <c r="S87">
        <v>63</v>
      </c>
      <c r="T87">
        <v>55</v>
      </c>
    </row>
    <row r="88" spans="1:21" x14ac:dyDescent="0.25">
      <c r="A88" t="s">
        <v>23</v>
      </c>
      <c r="B88" s="1" t="s">
        <v>109</v>
      </c>
      <c r="I88">
        <v>91</v>
      </c>
      <c r="J88">
        <v>66</v>
      </c>
      <c r="Q88">
        <v>100</v>
      </c>
      <c r="R88">
        <v>66</v>
      </c>
      <c r="S88">
        <v>76</v>
      </c>
      <c r="T88">
        <v>70</v>
      </c>
    </row>
    <row r="89" spans="1:21" x14ac:dyDescent="0.25">
      <c r="A89" t="s">
        <v>23</v>
      </c>
      <c r="B89" s="1" t="s">
        <v>110</v>
      </c>
      <c r="I89">
        <v>100</v>
      </c>
      <c r="J89">
        <v>92</v>
      </c>
      <c r="K89">
        <v>72</v>
      </c>
      <c r="Q89">
        <v>74</v>
      </c>
      <c r="R89">
        <v>52</v>
      </c>
      <c r="S89">
        <v>54</v>
      </c>
    </row>
    <row r="90" spans="1:21" x14ac:dyDescent="0.25">
      <c r="A90" t="s">
        <v>23</v>
      </c>
      <c r="B90" s="1" t="s">
        <v>111</v>
      </c>
      <c r="F90">
        <v>87</v>
      </c>
      <c r="I90">
        <v>98</v>
      </c>
      <c r="Q90">
        <v>96</v>
      </c>
      <c r="R90">
        <v>90</v>
      </c>
      <c r="S90">
        <v>91</v>
      </c>
    </row>
    <row r="91" spans="1:21" x14ac:dyDescent="0.25">
      <c r="A91" t="s">
        <v>23</v>
      </c>
      <c r="B91" s="1" t="s">
        <v>112</v>
      </c>
      <c r="F91">
        <v>47</v>
      </c>
      <c r="I91">
        <v>89</v>
      </c>
      <c r="Q91">
        <v>76</v>
      </c>
      <c r="R91">
        <v>40</v>
      </c>
      <c r="S91">
        <v>54</v>
      </c>
    </row>
    <row r="92" spans="1:21" x14ac:dyDescent="0.25">
      <c r="A92" t="s">
        <v>23</v>
      </c>
      <c r="B92" s="1" t="s">
        <v>113</v>
      </c>
      <c r="I92">
        <v>94</v>
      </c>
      <c r="J92">
        <v>88</v>
      </c>
      <c r="Q92">
        <v>88</v>
      </c>
      <c r="R92">
        <v>46</v>
      </c>
      <c r="S92">
        <v>77</v>
      </c>
    </row>
    <row r="93" spans="1:21" x14ac:dyDescent="0.25">
      <c r="A93" t="s">
        <v>23</v>
      </c>
      <c r="B93" s="1" t="s">
        <v>114</v>
      </c>
      <c r="F93">
        <v>68</v>
      </c>
      <c r="I93">
        <v>94</v>
      </c>
      <c r="J93">
        <v>78</v>
      </c>
      <c r="O93">
        <v>96</v>
      </c>
      <c r="Q93">
        <v>100</v>
      </c>
      <c r="R93">
        <v>54</v>
      </c>
      <c r="S93">
        <v>50</v>
      </c>
    </row>
    <row r="94" spans="1:21" x14ac:dyDescent="0.25">
      <c r="A94" t="s">
        <v>23</v>
      </c>
      <c r="B94" s="1" t="s">
        <v>115</v>
      </c>
      <c r="F94">
        <v>77</v>
      </c>
      <c r="I94">
        <v>72</v>
      </c>
      <c r="J94">
        <v>44</v>
      </c>
      <c r="Q94">
        <v>78</v>
      </c>
      <c r="R94">
        <v>40</v>
      </c>
      <c r="S94">
        <v>60</v>
      </c>
    </row>
    <row r="95" spans="1:21" x14ac:dyDescent="0.25">
      <c r="A95" t="s">
        <v>23</v>
      </c>
      <c r="B95" s="1" t="s">
        <v>116</v>
      </c>
      <c r="F95">
        <v>80</v>
      </c>
      <c r="I95">
        <v>100</v>
      </c>
      <c r="J95">
        <v>82</v>
      </c>
      <c r="O95">
        <v>100</v>
      </c>
      <c r="Q95">
        <v>86</v>
      </c>
      <c r="R95">
        <v>94</v>
      </c>
      <c r="S95">
        <v>63</v>
      </c>
    </row>
    <row r="96" spans="1:21" x14ac:dyDescent="0.25">
      <c r="A96" t="s">
        <v>23</v>
      </c>
      <c r="B96" s="1" t="s">
        <v>117</v>
      </c>
      <c r="F96">
        <v>82</v>
      </c>
      <c r="I96">
        <v>94</v>
      </c>
      <c r="J96">
        <v>61</v>
      </c>
      <c r="Q96">
        <v>68</v>
      </c>
      <c r="S96">
        <v>71</v>
      </c>
    </row>
    <row r="97" spans="1:20" x14ac:dyDescent="0.25">
      <c r="A97" t="s">
        <v>24</v>
      </c>
      <c r="B97" s="1" t="s">
        <v>118</v>
      </c>
      <c r="E97">
        <v>70</v>
      </c>
      <c r="I97">
        <v>94</v>
      </c>
      <c r="J97">
        <v>73</v>
      </c>
      <c r="Q97">
        <v>90</v>
      </c>
      <c r="R97">
        <v>70</v>
      </c>
      <c r="S97">
        <v>59</v>
      </c>
    </row>
    <row r="98" spans="1:20" x14ac:dyDescent="0.25">
      <c r="A98" t="s">
        <v>24</v>
      </c>
      <c r="B98" s="1" t="s">
        <v>119</v>
      </c>
      <c r="E98">
        <v>53</v>
      </c>
      <c r="I98">
        <v>96</v>
      </c>
      <c r="J98">
        <v>67</v>
      </c>
      <c r="Q98">
        <v>90</v>
      </c>
      <c r="R98">
        <v>40</v>
      </c>
      <c r="S98">
        <v>64</v>
      </c>
    </row>
    <row r="99" spans="1:20" x14ac:dyDescent="0.25">
      <c r="A99" t="s">
        <v>24</v>
      </c>
      <c r="B99" s="1" t="s">
        <v>120</v>
      </c>
      <c r="E99">
        <v>75</v>
      </c>
      <c r="H99">
        <v>78</v>
      </c>
      <c r="I99">
        <v>98</v>
      </c>
      <c r="J99">
        <v>96</v>
      </c>
      <c r="Q99">
        <v>100</v>
      </c>
      <c r="R99">
        <v>90</v>
      </c>
      <c r="S99">
        <v>80</v>
      </c>
    </row>
    <row r="100" spans="1:20" x14ac:dyDescent="0.25">
      <c r="A100" t="s">
        <v>24</v>
      </c>
      <c r="B100" s="1" t="s">
        <v>121</v>
      </c>
      <c r="E100">
        <v>82</v>
      </c>
      <c r="I100">
        <v>100</v>
      </c>
      <c r="J100">
        <v>91</v>
      </c>
      <c r="Q100">
        <v>86</v>
      </c>
      <c r="R100">
        <v>80</v>
      </c>
      <c r="S100">
        <v>84</v>
      </c>
    </row>
    <row r="101" spans="1:20" x14ac:dyDescent="0.25">
      <c r="A101" t="s">
        <v>24</v>
      </c>
      <c r="B101" s="1" t="s">
        <v>122</v>
      </c>
      <c r="E101">
        <v>32</v>
      </c>
      <c r="I101">
        <v>96</v>
      </c>
      <c r="J101">
        <v>74</v>
      </c>
      <c r="Q101">
        <v>82</v>
      </c>
      <c r="S101">
        <v>60</v>
      </c>
      <c r="T101">
        <v>25</v>
      </c>
    </row>
    <row r="102" spans="1:20" x14ac:dyDescent="0.25">
      <c r="A102" t="s">
        <v>24</v>
      </c>
      <c r="B102" s="1" t="s">
        <v>123</v>
      </c>
      <c r="E102">
        <v>77</v>
      </c>
      <c r="H102">
        <v>88</v>
      </c>
      <c r="I102">
        <v>98</v>
      </c>
      <c r="J102">
        <v>76</v>
      </c>
      <c r="Q102">
        <v>98</v>
      </c>
      <c r="R102">
        <v>68</v>
      </c>
      <c r="S102">
        <v>73</v>
      </c>
    </row>
    <row r="103" spans="1:20" x14ac:dyDescent="0.25">
      <c r="A103" t="s">
        <v>24</v>
      </c>
      <c r="B103" s="1" t="s">
        <v>124</v>
      </c>
      <c r="E103">
        <v>70</v>
      </c>
      <c r="I103">
        <v>97</v>
      </c>
      <c r="J103">
        <v>65</v>
      </c>
      <c r="Q103">
        <v>94</v>
      </c>
      <c r="R103">
        <v>78</v>
      </c>
      <c r="S103">
        <v>76</v>
      </c>
    </row>
    <row r="104" spans="1:20" x14ac:dyDescent="0.25">
      <c r="A104" t="s">
        <v>24</v>
      </c>
      <c r="B104" s="1" t="s">
        <v>125</v>
      </c>
      <c r="E104">
        <v>32</v>
      </c>
      <c r="I104">
        <v>95</v>
      </c>
      <c r="J104">
        <v>75</v>
      </c>
      <c r="Q104">
        <v>72</v>
      </c>
      <c r="R104">
        <v>58</v>
      </c>
      <c r="S104">
        <v>54</v>
      </c>
    </row>
    <row r="105" spans="1:20" x14ac:dyDescent="0.25">
      <c r="A105" t="s">
        <v>24</v>
      </c>
      <c r="B105" s="1" t="s">
        <v>126</v>
      </c>
      <c r="C105">
        <v>37</v>
      </c>
      <c r="E105">
        <v>37</v>
      </c>
      <c r="I105">
        <v>96</v>
      </c>
      <c r="J105">
        <v>84</v>
      </c>
      <c r="Q105">
        <v>86</v>
      </c>
      <c r="S105">
        <v>53</v>
      </c>
    </row>
    <row r="106" spans="1:20" x14ac:dyDescent="0.25">
      <c r="A106" t="s">
        <v>24</v>
      </c>
      <c r="B106" s="1" t="s">
        <v>127</v>
      </c>
      <c r="E106">
        <v>75</v>
      </c>
      <c r="I106">
        <v>98</v>
      </c>
      <c r="J106">
        <v>94</v>
      </c>
      <c r="Q106">
        <v>84</v>
      </c>
      <c r="R106">
        <v>82</v>
      </c>
      <c r="S106">
        <v>56</v>
      </c>
    </row>
    <row r="107" spans="1:20" x14ac:dyDescent="0.25">
      <c r="A107" t="s">
        <v>24</v>
      </c>
      <c r="B107" s="1" t="s">
        <v>128</v>
      </c>
      <c r="E107">
        <v>92</v>
      </c>
      <c r="I107">
        <v>98</v>
      </c>
      <c r="J107">
        <v>86</v>
      </c>
      <c r="Q107">
        <v>94</v>
      </c>
      <c r="R107">
        <v>88</v>
      </c>
      <c r="S107">
        <v>77</v>
      </c>
    </row>
    <row r="108" spans="1:20" x14ac:dyDescent="0.25">
      <c r="A108" t="s">
        <v>24</v>
      </c>
      <c r="B108" s="1" t="s">
        <v>129</v>
      </c>
      <c r="F108">
        <v>45</v>
      </c>
      <c r="I108">
        <v>100</v>
      </c>
      <c r="J108">
        <v>80</v>
      </c>
      <c r="Q108">
        <v>78</v>
      </c>
      <c r="R108">
        <v>36</v>
      </c>
      <c r="S108">
        <v>30</v>
      </c>
    </row>
    <row r="109" spans="1:20" x14ac:dyDescent="0.25">
      <c r="A109" t="s">
        <v>24</v>
      </c>
      <c r="B109" s="1" t="s">
        <v>130</v>
      </c>
      <c r="I109">
        <v>100</v>
      </c>
      <c r="J109">
        <v>94</v>
      </c>
      <c r="K109">
        <v>99</v>
      </c>
      <c r="Q109">
        <v>80</v>
      </c>
      <c r="R109">
        <v>74</v>
      </c>
      <c r="S109">
        <v>74</v>
      </c>
    </row>
    <row r="110" spans="1:20" x14ac:dyDescent="0.25">
      <c r="A110" t="s">
        <v>24</v>
      </c>
      <c r="B110" s="1" t="s">
        <v>131</v>
      </c>
      <c r="I110">
        <v>98</v>
      </c>
      <c r="J110">
        <v>78</v>
      </c>
      <c r="Q110">
        <v>64</v>
      </c>
      <c r="S110">
        <v>54</v>
      </c>
    </row>
    <row r="111" spans="1:20" x14ac:dyDescent="0.25">
      <c r="A111" t="s">
        <v>24</v>
      </c>
      <c r="B111" s="1" t="s">
        <v>132</v>
      </c>
      <c r="E111">
        <v>72</v>
      </c>
      <c r="I111">
        <v>98</v>
      </c>
      <c r="J111">
        <v>79</v>
      </c>
      <c r="Q111">
        <v>100</v>
      </c>
      <c r="R111">
        <v>78</v>
      </c>
      <c r="S111">
        <v>64</v>
      </c>
    </row>
    <row r="112" spans="1:20" x14ac:dyDescent="0.25">
      <c r="A112" t="s">
        <v>24</v>
      </c>
      <c r="B112" s="1" t="s">
        <v>133</v>
      </c>
      <c r="E112">
        <v>62</v>
      </c>
      <c r="I112">
        <v>100</v>
      </c>
      <c r="J112">
        <v>75</v>
      </c>
      <c r="Q112">
        <v>92</v>
      </c>
      <c r="R112">
        <v>38</v>
      </c>
      <c r="S112">
        <v>74</v>
      </c>
    </row>
    <row r="113" spans="1:19" x14ac:dyDescent="0.25">
      <c r="A113" t="s">
        <v>24</v>
      </c>
      <c r="B113" s="1" t="s">
        <v>134</v>
      </c>
      <c r="H113">
        <v>70</v>
      </c>
      <c r="I113">
        <v>98</v>
      </c>
      <c r="J113">
        <v>79</v>
      </c>
      <c r="Q113">
        <v>94</v>
      </c>
      <c r="R113">
        <v>62</v>
      </c>
      <c r="S113">
        <v>59</v>
      </c>
    </row>
    <row r="114" spans="1:19" x14ac:dyDescent="0.25">
      <c r="A114" t="s">
        <v>24</v>
      </c>
      <c r="B114" s="1" t="s">
        <v>135</v>
      </c>
      <c r="E114">
        <v>48</v>
      </c>
      <c r="I114">
        <v>84</v>
      </c>
      <c r="J114">
        <v>28</v>
      </c>
      <c r="Q114">
        <v>88</v>
      </c>
      <c r="R114">
        <v>68</v>
      </c>
      <c r="S114">
        <v>51</v>
      </c>
    </row>
    <row r="115" spans="1:19" x14ac:dyDescent="0.25">
      <c r="A115" t="s">
        <v>24</v>
      </c>
      <c r="B115" s="1" t="s">
        <v>136</v>
      </c>
      <c r="E115">
        <v>62</v>
      </c>
      <c r="I115">
        <v>98</v>
      </c>
      <c r="J115">
        <v>79</v>
      </c>
      <c r="Q115">
        <v>100</v>
      </c>
      <c r="R115">
        <v>66</v>
      </c>
      <c r="S115">
        <v>51</v>
      </c>
    </row>
    <row r="116" spans="1:19" x14ac:dyDescent="0.25">
      <c r="A116" t="s">
        <v>24</v>
      </c>
      <c r="B116" s="1" t="s">
        <v>137</v>
      </c>
      <c r="E116">
        <v>67</v>
      </c>
      <c r="I116">
        <v>100</v>
      </c>
      <c r="J116">
        <v>85</v>
      </c>
      <c r="Q116">
        <v>92</v>
      </c>
      <c r="R116">
        <v>70</v>
      </c>
      <c r="S116">
        <v>63</v>
      </c>
    </row>
    <row r="117" spans="1:19" x14ac:dyDescent="0.25">
      <c r="A117" t="s">
        <v>24</v>
      </c>
      <c r="B117" s="1" t="s">
        <v>138</v>
      </c>
      <c r="E117">
        <v>67</v>
      </c>
      <c r="I117">
        <v>100</v>
      </c>
      <c r="J117">
        <v>78</v>
      </c>
      <c r="Q117">
        <v>98</v>
      </c>
      <c r="R117">
        <v>68</v>
      </c>
      <c r="S117">
        <v>63</v>
      </c>
    </row>
    <row r="118" spans="1:19" x14ac:dyDescent="0.25">
      <c r="A118" t="s">
        <v>24</v>
      </c>
      <c r="B118" s="1" t="s">
        <v>139</v>
      </c>
      <c r="H118">
        <v>98</v>
      </c>
      <c r="I118">
        <v>99</v>
      </c>
      <c r="J118">
        <v>84</v>
      </c>
      <c r="Q118">
        <v>96</v>
      </c>
      <c r="R118">
        <v>92</v>
      </c>
      <c r="S118">
        <v>66</v>
      </c>
    </row>
    <row r="119" spans="1:19" x14ac:dyDescent="0.25">
      <c r="A119" t="s">
        <v>24</v>
      </c>
      <c r="B119" s="1" t="s">
        <v>140</v>
      </c>
      <c r="I119">
        <v>96</v>
      </c>
      <c r="J119">
        <v>86</v>
      </c>
      <c r="Q119">
        <v>94</v>
      </c>
      <c r="R119">
        <v>60</v>
      </c>
      <c r="S119">
        <v>57</v>
      </c>
    </row>
    <row r="120" spans="1:19" x14ac:dyDescent="0.25">
      <c r="A120" t="s">
        <v>24</v>
      </c>
      <c r="B120" s="1" t="s">
        <v>141</v>
      </c>
      <c r="E120">
        <v>55</v>
      </c>
      <c r="I120">
        <v>97</v>
      </c>
      <c r="J120">
        <v>92</v>
      </c>
      <c r="Q120">
        <v>94</v>
      </c>
      <c r="R120">
        <v>78</v>
      </c>
      <c r="S120">
        <v>63</v>
      </c>
    </row>
    <row r="121" spans="1:19" x14ac:dyDescent="0.25">
      <c r="A121" t="s">
        <v>24</v>
      </c>
      <c r="B121" s="1" t="s">
        <v>142</v>
      </c>
      <c r="E121">
        <v>78</v>
      </c>
      <c r="I121">
        <v>98</v>
      </c>
      <c r="J121">
        <v>85</v>
      </c>
      <c r="Q121">
        <v>100</v>
      </c>
      <c r="R121">
        <v>92</v>
      </c>
      <c r="S121">
        <v>70</v>
      </c>
    </row>
    <row r="122" spans="1:19" x14ac:dyDescent="0.25">
      <c r="A122" t="s">
        <v>24</v>
      </c>
      <c r="B122" s="1" t="s">
        <v>143</v>
      </c>
      <c r="H122">
        <v>52</v>
      </c>
      <c r="I122">
        <v>96</v>
      </c>
      <c r="J122">
        <v>68</v>
      </c>
      <c r="Q122">
        <v>94</v>
      </c>
      <c r="R122">
        <v>56</v>
      </c>
      <c r="S122">
        <v>57</v>
      </c>
    </row>
    <row r="123" spans="1:19" x14ac:dyDescent="0.25">
      <c r="A123" t="s">
        <v>24</v>
      </c>
      <c r="B123" s="1" t="s">
        <v>144</v>
      </c>
      <c r="E123">
        <v>70</v>
      </c>
      <c r="I123">
        <v>100</v>
      </c>
      <c r="J123">
        <v>86</v>
      </c>
      <c r="Q123">
        <v>98</v>
      </c>
      <c r="R123">
        <v>78</v>
      </c>
      <c r="S123">
        <v>90</v>
      </c>
    </row>
    <row r="124" spans="1:19" x14ac:dyDescent="0.25">
      <c r="A124" t="s">
        <v>24</v>
      </c>
      <c r="B124" s="1" t="s">
        <v>145</v>
      </c>
      <c r="E124">
        <v>32</v>
      </c>
      <c r="I124">
        <v>96</v>
      </c>
      <c r="J124">
        <v>78</v>
      </c>
      <c r="Q124">
        <v>90</v>
      </c>
      <c r="R124">
        <v>74</v>
      </c>
      <c r="S124">
        <v>74</v>
      </c>
    </row>
    <row r="125" spans="1:19" x14ac:dyDescent="0.25">
      <c r="A125" t="s">
        <v>24</v>
      </c>
      <c r="B125" s="1" t="s">
        <v>146</v>
      </c>
      <c r="E125">
        <v>75</v>
      </c>
      <c r="I125">
        <v>100</v>
      </c>
      <c r="J125">
        <v>64</v>
      </c>
      <c r="Q125">
        <v>92</v>
      </c>
      <c r="R125">
        <v>74</v>
      </c>
      <c r="S125">
        <v>70</v>
      </c>
    </row>
    <row r="126" spans="1:19" x14ac:dyDescent="0.25">
      <c r="A126" t="s">
        <v>24</v>
      </c>
      <c r="B126" s="1" t="s">
        <v>147</v>
      </c>
      <c r="E126">
        <v>63</v>
      </c>
      <c r="I126">
        <v>96</v>
      </c>
      <c r="Q126">
        <v>96</v>
      </c>
      <c r="R126">
        <v>92</v>
      </c>
      <c r="S126">
        <v>67</v>
      </c>
    </row>
    <row r="127" spans="1:19" x14ac:dyDescent="0.25">
      <c r="A127" t="s">
        <v>24</v>
      </c>
      <c r="B127" s="1" t="s">
        <v>148</v>
      </c>
      <c r="I127">
        <v>98</v>
      </c>
      <c r="J127">
        <v>65</v>
      </c>
      <c r="Q127">
        <v>94</v>
      </c>
      <c r="R127">
        <v>68</v>
      </c>
      <c r="S127">
        <v>81</v>
      </c>
    </row>
    <row r="128" spans="1:19" x14ac:dyDescent="0.25">
      <c r="A128" t="s">
        <v>24</v>
      </c>
      <c r="B128" s="1" t="s">
        <v>149</v>
      </c>
      <c r="I128">
        <v>98</v>
      </c>
      <c r="J128">
        <v>84</v>
      </c>
      <c r="Q128">
        <v>82</v>
      </c>
      <c r="R128">
        <v>54</v>
      </c>
      <c r="S128">
        <v>73</v>
      </c>
    </row>
    <row r="129" spans="1:20" x14ac:dyDescent="0.25">
      <c r="A129" t="s">
        <v>24</v>
      </c>
      <c r="B129" s="1" t="s">
        <v>150</v>
      </c>
      <c r="E129">
        <v>77</v>
      </c>
      <c r="I129">
        <v>94</v>
      </c>
      <c r="J129">
        <v>86</v>
      </c>
      <c r="Q129">
        <v>98</v>
      </c>
      <c r="R129">
        <v>64</v>
      </c>
      <c r="S129">
        <v>59</v>
      </c>
    </row>
    <row r="130" spans="1:20" x14ac:dyDescent="0.25">
      <c r="A130" t="s">
        <v>25</v>
      </c>
      <c r="B130" s="1" t="s">
        <v>151</v>
      </c>
      <c r="I130">
        <v>96</v>
      </c>
      <c r="M130">
        <v>97</v>
      </c>
      <c r="N130">
        <v>73</v>
      </c>
      <c r="Q130">
        <v>58</v>
      </c>
      <c r="S130">
        <v>69</v>
      </c>
      <c r="T130">
        <v>65</v>
      </c>
    </row>
    <row r="131" spans="1:20" x14ac:dyDescent="0.25">
      <c r="A131" t="s">
        <v>25</v>
      </c>
      <c r="B131" s="1" t="s">
        <v>152</v>
      </c>
      <c r="I131">
        <v>96</v>
      </c>
      <c r="M131">
        <v>83</v>
      </c>
      <c r="N131">
        <v>61</v>
      </c>
      <c r="Q131">
        <v>68</v>
      </c>
      <c r="S131">
        <v>69</v>
      </c>
      <c r="T131">
        <v>58</v>
      </c>
    </row>
    <row r="132" spans="1:20" x14ac:dyDescent="0.25">
      <c r="A132" t="s">
        <v>25</v>
      </c>
      <c r="B132" s="1" t="s">
        <v>153</v>
      </c>
      <c r="I132">
        <v>88</v>
      </c>
      <c r="M132">
        <v>90</v>
      </c>
      <c r="N132">
        <v>65</v>
      </c>
      <c r="Q132">
        <v>50</v>
      </c>
      <c r="S132">
        <v>81</v>
      </c>
      <c r="T132">
        <v>58</v>
      </c>
    </row>
    <row r="133" spans="1:20" x14ac:dyDescent="0.25">
      <c r="A133" t="s">
        <v>25</v>
      </c>
      <c r="B133" s="1" t="s">
        <v>154</v>
      </c>
      <c r="I133">
        <v>90</v>
      </c>
      <c r="M133">
        <v>84</v>
      </c>
      <c r="N133">
        <v>68</v>
      </c>
      <c r="Q133">
        <v>58</v>
      </c>
      <c r="S133">
        <v>76</v>
      </c>
      <c r="T133">
        <v>88</v>
      </c>
    </row>
    <row r="134" spans="1:20" x14ac:dyDescent="0.25">
      <c r="A134" t="s">
        <v>25</v>
      </c>
      <c r="B134" s="1" t="s">
        <v>155</v>
      </c>
      <c r="F134">
        <v>85</v>
      </c>
      <c r="J134">
        <v>95</v>
      </c>
      <c r="M134">
        <v>100</v>
      </c>
      <c r="Q134">
        <v>82</v>
      </c>
      <c r="S134">
        <v>73</v>
      </c>
      <c r="T134">
        <v>88</v>
      </c>
    </row>
    <row r="135" spans="1:20" x14ac:dyDescent="0.25">
      <c r="A135" t="s">
        <v>25</v>
      </c>
      <c r="B135" s="1" t="s">
        <v>156</v>
      </c>
      <c r="I135">
        <v>96</v>
      </c>
      <c r="N135">
        <v>45</v>
      </c>
      <c r="Q135">
        <v>74</v>
      </c>
      <c r="S135">
        <v>61</v>
      </c>
      <c r="T135">
        <v>83</v>
      </c>
    </row>
    <row r="136" spans="1:20" x14ac:dyDescent="0.25">
      <c r="A136" t="s">
        <v>25</v>
      </c>
      <c r="B136" s="1" t="s">
        <v>157</v>
      </c>
      <c r="I136">
        <v>94</v>
      </c>
      <c r="J136">
        <v>79</v>
      </c>
      <c r="N136">
        <v>79</v>
      </c>
      <c r="Q136">
        <v>64</v>
      </c>
      <c r="S136">
        <v>74</v>
      </c>
      <c r="T136">
        <v>53</v>
      </c>
    </row>
    <row r="137" spans="1:20" x14ac:dyDescent="0.25">
      <c r="A137" t="s">
        <v>25</v>
      </c>
      <c r="B137" s="1" t="s">
        <v>158</v>
      </c>
      <c r="F137">
        <v>38</v>
      </c>
      <c r="I137">
        <v>87</v>
      </c>
      <c r="J137">
        <v>69</v>
      </c>
      <c r="N137">
        <v>72</v>
      </c>
      <c r="Q137">
        <v>56</v>
      </c>
      <c r="S137">
        <v>54</v>
      </c>
      <c r="T137">
        <v>60</v>
      </c>
    </row>
    <row r="138" spans="1:20" x14ac:dyDescent="0.25">
      <c r="A138" t="s">
        <v>25</v>
      </c>
      <c r="B138" s="1" t="s">
        <v>159</v>
      </c>
      <c r="C138">
        <v>62</v>
      </c>
      <c r="D138">
        <v>35</v>
      </c>
      <c r="I138">
        <v>97</v>
      </c>
      <c r="M138">
        <v>92</v>
      </c>
      <c r="N138">
        <v>52</v>
      </c>
      <c r="Q138">
        <v>56</v>
      </c>
      <c r="S138">
        <v>67</v>
      </c>
    </row>
    <row r="139" spans="1:20" x14ac:dyDescent="0.25">
      <c r="A139" t="s">
        <v>25</v>
      </c>
      <c r="B139" s="1" t="s">
        <v>160</v>
      </c>
      <c r="F139">
        <v>50</v>
      </c>
      <c r="I139">
        <v>92</v>
      </c>
      <c r="M139">
        <v>84</v>
      </c>
      <c r="N139">
        <v>63</v>
      </c>
      <c r="Q139">
        <v>54</v>
      </c>
      <c r="S139">
        <v>60</v>
      </c>
    </row>
    <row r="140" spans="1:20" x14ac:dyDescent="0.25">
      <c r="A140" t="s">
        <v>25</v>
      </c>
      <c r="B140" s="1" t="s">
        <v>161</v>
      </c>
      <c r="F140">
        <v>82</v>
      </c>
      <c r="I140">
        <v>100</v>
      </c>
      <c r="M140">
        <v>100</v>
      </c>
      <c r="Q140">
        <v>100</v>
      </c>
      <c r="R140">
        <v>66</v>
      </c>
      <c r="S140">
        <v>73</v>
      </c>
      <c r="T140">
        <v>85</v>
      </c>
    </row>
    <row r="141" spans="1:20" x14ac:dyDescent="0.25">
      <c r="A141" t="s">
        <v>25</v>
      </c>
      <c r="B141" s="1" t="s">
        <v>162</v>
      </c>
      <c r="I141">
        <v>96</v>
      </c>
      <c r="N141">
        <v>79</v>
      </c>
      <c r="Q141">
        <v>56</v>
      </c>
      <c r="S141">
        <v>81</v>
      </c>
      <c r="T141">
        <v>83</v>
      </c>
    </row>
    <row r="142" spans="1:20" x14ac:dyDescent="0.25">
      <c r="A142" t="s">
        <v>25</v>
      </c>
      <c r="B142" s="1" t="s">
        <v>163</v>
      </c>
      <c r="G142">
        <v>66</v>
      </c>
      <c r="I142">
        <v>94</v>
      </c>
      <c r="J142">
        <v>93</v>
      </c>
      <c r="N142">
        <v>83</v>
      </c>
      <c r="Q142">
        <v>78</v>
      </c>
      <c r="S142">
        <v>90</v>
      </c>
      <c r="T142">
        <v>100</v>
      </c>
    </row>
    <row r="143" spans="1:20" x14ac:dyDescent="0.25">
      <c r="A143" t="s">
        <v>25</v>
      </c>
      <c r="B143" s="1" t="s">
        <v>164</v>
      </c>
      <c r="F143">
        <v>75</v>
      </c>
      <c r="I143">
        <v>99</v>
      </c>
      <c r="J143">
        <v>83</v>
      </c>
      <c r="M143">
        <v>100</v>
      </c>
      <c r="Q143">
        <v>78</v>
      </c>
      <c r="R143">
        <v>30</v>
      </c>
      <c r="S143">
        <v>79</v>
      </c>
      <c r="T143">
        <v>80</v>
      </c>
    </row>
    <row r="144" spans="1:20" x14ac:dyDescent="0.25">
      <c r="A144" t="s">
        <v>25</v>
      </c>
      <c r="B144" s="1" t="s">
        <v>165</v>
      </c>
      <c r="I144">
        <v>96</v>
      </c>
      <c r="M144">
        <v>98</v>
      </c>
      <c r="N144">
        <v>96</v>
      </c>
      <c r="Q144">
        <v>44</v>
      </c>
      <c r="S144">
        <v>69</v>
      </c>
    </row>
    <row r="145" spans="1:21" x14ac:dyDescent="0.25">
      <c r="A145" t="s">
        <v>25</v>
      </c>
      <c r="B145" s="1" t="s">
        <v>166</v>
      </c>
      <c r="G145">
        <v>24</v>
      </c>
      <c r="I145">
        <v>100</v>
      </c>
      <c r="J145">
        <v>63</v>
      </c>
      <c r="N145">
        <v>61</v>
      </c>
      <c r="Q145">
        <v>40</v>
      </c>
      <c r="S145">
        <v>76</v>
      </c>
      <c r="T145">
        <v>58</v>
      </c>
      <c r="U145">
        <v>16</v>
      </c>
    </row>
    <row r="146" spans="1:21" x14ac:dyDescent="0.25">
      <c r="A146" t="s">
        <v>25</v>
      </c>
      <c r="B146" s="1" t="s">
        <v>167</v>
      </c>
      <c r="G146">
        <v>72</v>
      </c>
      <c r="I146">
        <v>98</v>
      </c>
      <c r="J146">
        <v>76</v>
      </c>
      <c r="N146">
        <v>77</v>
      </c>
      <c r="Q146">
        <v>64</v>
      </c>
      <c r="S146">
        <v>79</v>
      </c>
      <c r="T146">
        <v>75</v>
      </c>
      <c r="U146">
        <v>46</v>
      </c>
    </row>
    <row r="147" spans="1:21" x14ac:dyDescent="0.25">
      <c r="A147" t="s">
        <v>25</v>
      </c>
      <c r="B147" s="1" t="s">
        <v>168</v>
      </c>
      <c r="I147">
        <v>96</v>
      </c>
      <c r="J147">
        <v>71</v>
      </c>
      <c r="N147">
        <v>70</v>
      </c>
      <c r="Q147">
        <v>40</v>
      </c>
      <c r="S147">
        <v>37</v>
      </c>
      <c r="T147">
        <v>55</v>
      </c>
    </row>
    <row r="148" spans="1:21" x14ac:dyDescent="0.25">
      <c r="A148" t="s">
        <v>25</v>
      </c>
      <c r="B148" s="1" t="s">
        <v>169</v>
      </c>
      <c r="J148">
        <v>89</v>
      </c>
      <c r="M148">
        <v>96</v>
      </c>
      <c r="Q148">
        <v>56</v>
      </c>
      <c r="S148">
        <v>57</v>
      </c>
      <c r="T148">
        <v>63</v>
      </c>
    </row>
    <row r="149" spans="1:21" x14ac:dyDescent="0.25">
      <c r="A149" t="s">
        <v>25</v>
      </c>
      <c r="B149" s="1" t="s">
        <v>170</v>
      </c>
      <c r="J149">
        <v>74</v>
      </c>
      <c r="M149">
        <v>98</v>
      </c>
      <c r="Q149">
        <v>66</v>
      </c>
      <c r="S149">
        <v>56</v>
      </c>
    </row>
    <row r="150" spans="1:21" x14ac:dyDescent="0.25">
      <c r="A150" t="s">
        <v>25</v>
      </c>
      <c r="B150" s="1" t="s">
        <v>171</v>
      </c>
      <c r="L150">
        <v>73</v>
      </c>
      <c r="M150">
        <v>98</v>
      </c>
      <c r="N150">
        <v>82</v>
      </c>
      <c r="Q150">
        <v>68</v>
      </c>
      <c r="S150">
        <v>50</v>
      </c>
      <c r="T150">
        <v>70</v>
      </c>
    </row>
    <row r="151" spans="1:21" x14ac:dyDescent="0.25">
      <c r="A151" t="s">
        <v>25</v>
      </c>
      <c r="B151" s="1" t="s">
        <v>172</v>
      </c>
      <c r="C151">
        <v>18</v>
      </c>
      <c r="D151">
        <v>12</v>
      </c>
      <c r="I151">
        <v>70</v>
      </c>
      <c r="M151">
        <v>58</v>
      </c>
      <c r="Q151">
        <v>58</v>
      </c>
      <c r="S151">
        <v>43</v>
      </c>
    </row>
    <row r="152" spans="1:21" x14ac:dyDescent="0.25">
      <c r="A152" t="s">
        <v>25</v>
      </c>
      <c r="B152" s="1" t="s">
        <v>173</v>
      </c>
      <c r="J152">
        <v>78</v>
      </c>
      <c r="M152">
        <v>100</v>
      </c>
      <c r="Q152">
        <v>96</v>
      </c>
      <c r="R152">
        <v>40</v>
      </c>
      <c r="S152">
        <v>80</v>
      </c>
    </row>
    <row r="153" spans="1:21" x14ac:dyDescent="0.25">
      <c r="A153" t="s">
        <v>25</v>
      </c>
      <c r="B153" s="1" t="s">
        <v>174</v>
      </c>
      <c r="I153">
        <v>90</v>
      </c>
      <c r="M153">
        <v>92</v>
      </c>
      <c r="N153">
        <v>71</v>
      </c>
      <c r="Q153">
        <v>38</v>
      </c>
      <c r="S153">
        <v>47</v>
      </c>
      <c r="T153">
        <v>58</v>
      </c>
    </row>
    <row r="154" spans="1:21" x14ac:dyDescent="0.25">
      <c r="A154" t="s">
        <v>25</v>
      </c>
      <c r="B154" s="1" t="s">
        <v>175</v>
      </c>
      <c r="F154">
        <v>53</v>
      </c>
      <c r="I154">
        <v>98</v>
      </c>
      <c r="J154">
        <v>66</v>
      </c>
      <c r="N154">
        <v>67</v>
      </c>
      <c r="Q154">
        <v>62</v>
      </c>
      <c r="S154">
        <v>71</v>
      </c>
      <c r="T154">
        <v>63</v>
      </c>
    </row>
    <row r="155" spans="1:21" x14ac:dyDescent="0.25">
      <c r="A155" t="s">
        <v>25</v>
      </c>
      <c r="B155" s="1" t="s">
        <v>176</v>
      </c>
      <c r="F155">
        <v>52</v>
      </c>
      <c r="I155">
        <v>98</v>
      </c>
      <c r="M155">
        <v>93</v>
      </c>
      <c r="N155">
        <v>70</v>
      </c>
      <c r="Q155">
        <v>58</v>
      </c>
      <c r="R155">
        <v>36</v>
      </c>
      <c r="S155">
        <v>41</v>
      </c>
    </row>
    <row r="156" spans="1:21" x14ac:dyDescent="0.25">
      <c r="A156" t="s">
        <v>25</v>
      </c>
      <c r="B156" s="1" t="s">
        <v>177</v>
      </c>
      <c r="C156">
        <v>43</v>
      </c>
      <c r="D156">
        <v>43</v>
      </c>
      <c r="I156">
        <v>95</v>
      </c>
      <c r="N156">
        <v>70</v>
      </c>
      <c r="Q156">
        <v>62</v>
      </c>
      <c r="S156">
        <v>59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topLeftCell="J1" workbookViewId="0">
      <selection activeCell="W10" sqref="W10"/>
    </sheetView>
  </sheetViews>
  <sheetFormatPr defaultRowHeight="15" x14ac:dyDescent="0.25"/>
  <cols>
    <col min="1" max="1" width="6.5703125" bestFit="1" customWidth="1"/>
    <col min="2" max="2" width="13.7109375" customWidth="1"/>
    <col min="3" max="3" width="10" bestFit="1" customWidth="1"/>
    <col min="4" max="4" width="9.5703125" bestFit="1" customWidth="1"/>
    <col min="5" max="5" width="8.28515625" bestFit="1" customWidth="1"/>
    <col min="6" max="6" width="11.42578125" bestFit="1" customWidth="1"/>
    <col min="7" max="7" width="9.7109375" bestFit="1" customWidth="1"/>
    <col min="8" max="8" width="13.7109375" bestFit="1" customWidth="1"/>
    <col min="9" max="10" width="11" bestFit="1" customWidth="1"/>
    <col min="11" max="12" width="11.140625" bestFit="1" customWidth="1"/>
    <col min="13" max="14" width="12.140625" bestFit="1" customWidth="1"/>
    <col min="15" max="16" width="11.85546875" bestFit="1" customWidth="1"/>
    <col min="17" max="18" width="14" bestFit="1" customWidth="1"/>
    <col min="19" max="20" width="8.140625" bestFit="1" customWidth="1"/>
    <col min="21" max="21" width="7.140625" bestFit="1" customWidth="1"/>
    <col min="24" max="24" width="17.7109375" bestFit="1" customWidth="1"/>
    <col min="25" max="25" width="3" customWidth="1"/>
    <col min="26" max="27" width="2.140625" customWidth="1"/>
    <col min="28" max="28" width="2.28515625" customWidth="1"/>
    <col min="29" max="29" width="13.85546875" customWidth="1"/>
    <col min="30" max="30" width="14.28515625" bestFit="1" customWidth="1"/>
  </cols>
  <sheetData>
    <row r="1" spans="1:29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8">
        <v>1</v>
      </c>
      <c r="X1" s="4" t="s">
        <v>181</v>
      </c>
      <c r="Y1" t="s">
        <v>183</v>
      </c>
    </row>
    <row r="2" spans="1:29" x14ac:dyDescent="0.25">
      <c r="A2" t="s">
        <v>21</v>
      </c>
      <c r="B2" s="1" t="s">
        <v>26</v>
      </c>
      <c r="C2">
        <v>52</v>
      </c>
      <c r="I2">
        <v>100</v>
      </c>
      <c r="J2">
        <v>91</v>
      </c>
      <c r="L2">
        <v>88</v>
      </c>
      <c r="Q2">
        <v>80</v>
      </c>
      <c r="S2">
        <v>67</v>
      </c>
      <c r="V2">
        <f>COUNTIF(C2:U2,100)</f>
        <v>1</v>
      </c>
    </row>
    <row r="3" spans="1:29" x14ac:dyDescent="0.25">
      <c r="A3" t="s">
        <v>21</v>
      </c>
      <c r="B3" s="1" t="s">
        <v>27</v>
      </c>
      <c r="C3">
        <v>33</v>
      </c>
      <c r="D3">
        <v>52</v>
      </c>
      <c r="I3">
        <v>73</v>
      </c>
      <c r="Q3">
        <v>56</v>
      </c>
      <c r="S3">
        <v>40</v>
      </c>
      <c r="V3">
        <f t="shared" ref="V3:V66" si="0">COUNTIF(C3:U3,100)</f>
        <v>0</v>
      </c>
      <c r="X3" s="4" t="s">
        <v>180</v>
      </c>
      <c r="Y3" s="4" t="s">
        <v>182</v>
      </c>
    </row>
    <row r="4" spans="1:29" x14ac:dyDescent="0.25">
      <c r="A4" t="s">
        <v>21</v>
      </c>
      <c r="B4" s="1" t="s">
        <v>28</v>
      </c>
      <c r="C4">
        <v>70</v>
      </c>
      <c r="D4">
        <v>58</v>
      </c>
      <c r="I4">
        <v>92</v>
      </c>
      <c r="Q4">
        <v>60</v>
      </c>
      <c r="S4">
        <v>61</v>
      </c>
      <c r="V4">
        <f t="shared" si="0"/>
        <v>0</v>
      </c>
      <c r="X4" s="4" t="s">
        <v>178</v>
      </c>
      <c r="Y4" t="s">
        <v>21</v>
      </c>
      <c r="Z4" t="s">
        <v>22</v>
      </c>
      <c r="AA4" t="s">
        <v>23</v>
      </c>
      <c r="AB4" t="s">
        <v>25</v>
      </c>
      <c r="AC4" t="s">
        <v>179</v>
      </c>
    </row>
    <row r="5" spans="1:29" x14ac:dyDescent="0.25">
      <c r="A5" t="s">
        <v>21</v>
      </c>
      <c r="B5" s="1" t="s">
        <v>29</v>
      </c>
      <c r="C5">
        <v>90</v>
      </c>
      <c r="D5">
        <v>78</v>
      </c>
      <c r="I5">
        <v>98</v>
      </c>
      <c r="J5">
        <v>68</v>
      </c>
      <c r="Q5">
        <v>70</v>
      </c>
      <c r="S5">
        <v>73</v>
      </c>
      <c r="V5">
        <f t="shared" si="0"/>
        <v>0</v>
      </c>
      <c r="X5" s="5" t="s">
        <v>161</v>
      </c>
      <c r="Y5" s="6"/>
      <c r="Z5" s="6"/>
      <c r="AA5" s="6"/>
      <c r="AB5" s="6">
        <v>3</v>
      </c>
      <c r="AC5" s="6">
        <v>3</v>
      </c>
    </row>
    <row r="6" spans="1:29" x14ac:dyDescent="0.25">
      <c r="A6" t="s">
        <v>21</v>
      </c>
      <c r="B6" s="1" t="s">
        <v>30</v>
      </c>
      <c r="C6">
        <v>62</v>
      </c>
      <c r="D6">
        <v>62</v>
      </c>
      <c r="I6">
        <v>87</v>
      </c>
      <c r="Q6">
        <v>70</v>
      </c>
      <c r="S6">
        <v>51</v>
      </c>
      <c r="V6">
        <f t="shared" si="0"/>
        <v>0</v>
      </c>
      <c r="X6" s="5" t="s">
        <v>37</v>
      </c>
      <c r="Y6" s="6">
        <v>3</v>
      </c>
      <c r="Z6" s="6"/>
      <c r="AA6" s="6"/>
      <c r="AB6" s="6"/>
      <c r="AC6" s="6">
        <v>3</v>
      </c>
    </row>
    <row r="7" spans="1:29" x14ac:dyDescent="0.25">
      <c r="A7" t="s">
        <v>21</v>
      </c>
      <c r="B7" s="1" t="s">
        <v>31</v>
      </c>
      <c r="C7">
        <v>65</v>
      </c>
      <c r="D7">
        <v>65</v>
      </c>
      <c r="I7">
        <v>75</v>
      </c>
      <c r="Q7">
        <v>48</v>
      </c>
      <c r="S7">
        <v>40</v>
      </c>
      <c r="V7">
        <f t="shared" si="0"/>
        <v>0</v>
      </c>
      <c r="X7" s="5" t="s">
        <v>85</v>
      </c>
      <c r="Y7" s="6"/>
      <c r="Z7" s="6">
        <v>2</v>
      </c>
      <c r="AA7" s="6"/>
      <c r="AB7" s="6"/>
      <c r="AC7" s="6">
        <v>2</v>
      </c>
    </row>
    <row r="8" spans="1:29" x14ac:dyDescent="0.25">
      <c r="A8" t="s">
        <v>21</v>
      </c>
      <c r="B8" s="1" t="s">
        <v>32</v>
      </c>
      <c r="D8">
        <v>58</v>
      </c>
      <c r="I8">
        <v>96</v>
      </c>
      <c r="J8">
        <v>61</v>
      </c>
      <c r="Q8">
        <v>94</v>
      </c>
      <c r="R8">
        <v>34</v>
      </c>
      <c r="S8">
        <v>74</v>
      </c>
      <c r="V8">
        <f t="shared" si="0"/>
        <v>0</v>
      </c>
      <c r="X8" s="5" t="s">
        <v>116</v>
      </c>
      <c r="Y8" s="6"/>
      <c r="Z8" s="6"/>
      <c r="AA8" s="6">
        <v>2</v>
      </c>
      <c r="AB8" s="6"/>
      <c r="AC8" s="6">
        <v>2</v>
      </c>
    </row>
    <row r="9" spans="1:29" x14ac:dyDescent="0.25">
      <c r="A9" t="s">
        <v>21</v>
      </c>
      <c r="B9" s="1" t="s">
        <v>33</v>
      </c>
      <c r="C9">
        <v>77</v>
      </c>
      <c r="D9">
        <v>85</v>
      </c>
      <c r="I9">
        <v>96</v>
      </c>
      <c r="Q9">
        <v>96</v>
      </c>
      <c r="S9">
        <v>77</v>
      </c>
      <c r="V9">
        <f t="shared" si="0"/>
        <v>0</v>
      </c>
      <c r="X9" s="5" t="s">
        <v>179</v>
      </c>
      <c r="Y9" s="6">
        <v>3</v>
      </c>
      <c r="Z9" s="6">
        <v>2</v>
      </c>
      <c r="AA9" s="6">
        <v>2</v>
      </c>
      <c r="AB9" s="6">
        <v>3</v>
      </c>
      <c r="AC9" s="6">
        <v>10</v>
      </c>
    </row>
    <row r="10" spans="1:29" x14ac:dyDescent="0.25">
      <c r="A10" t="s">
        <v>21</v>
      </c>
      <c r="B10" s="1" t="s">
        <v>34</v>
      </c>
      <c r="C10">
        <v>93</v>
      </c>
      <c r="D10">
        <v>67</v>
      </c>
      <c r="I10">
        <v>84</v>
      </c>
      <c r="Q10">
        <v>86</v>
      </c>
      <c r="S10">
        <v>73</v>
      </c>
      <c r="V10">
        <f t="shared" si="0"/>
        <v>0</v>
      </c>
    </row>
    <row r="11" spans="1:29" x14ac:dyDescent="0.25">
      <c r="A11" t="s">
        <v>21</v>
      </c>
      <c r="B11" s="1" t="s">
        <v>35</v>
      </c>
      <c r="C11">
        <v>57</v>
      </c>
      <c r="D11">
        <v>47</v>
      </c>
      <c r="I11">
        <v>87</v>
      </c>
      <c r="Q11">
        <v>40</v>
      </c>
      <c r="S11">
        <v>43</v>
      </c>
      <c r="V11">
        <f t="shared" si="0"/>
        <v>0</v>
      </c>
    </row>
    <row r="12" spans="1:29" x14ac:dyDescent="0.25">
      <c r="A12" t="s">
        <v>21</v>
      </c>
      <c r="B12" s="1" t="s">
        <v>36</v>
      </c>
      <c r="C12">
        <v>60</v>
      </c>
      <c r="I12">
        <v>96</v>
      </c>
      <c r="J12">
        <v>89</v>
      </c>
      <c r="Q12">
        <v>70</v>
      </c>
      <c r="S12">
        <v>76</v>
      </c>
      <c r="V12">
        <f t="shared" si="0"/>
        <v>0</v>
      </c>
    </row>
    <row r="13" spans="1:29" x14ac:dyDescent="0.25">
      <c r="A13" t="s">
        <v>21</v>
      </c>
      <c r="B13" s="1" t="s">
        <v>37</v>
      </c>
      <c r="F13">
        <v>90</v>
      </c>
      <c r="I13">
        <v>100</v>
      </c>
      <c r="J13">
        <v>100</v>
      </c>
      <c r="O13">
        <v>100</v>
      </c>
      <c r="Q13">
        <v>98</v>
      </c>
      <c r="R13">
        <v>86</v>
      </c>
      <c r="S13">
        <v>80</v>
      </c>
      <c r="V13">
        <f t="shared" si="0"/>
        <v>3</v>
      </c>
    </row>
    <row r="14" spans="1:29" x14ac:dyDescent="0.25">
      <c r="A14" t="s">
        <v>21</v>
      </c>
      <c r="B14" s="1" t="s">
        <v>38</v>
      </c>
      <c r="C14">
        <v>95</v>
      </c>
      <c r="D14">
        <v>88</v>
      </c>
      <c r="I14">
        <v>92</v>
      </c>
      <c r="Q14">
        <v>92</v>
      </c>
      <c r="S14">
        <v>79</v>
      </c>
      <c r="V14">
        <f t="shared" si="0"/>
        <v>0</v>
      </c>
    </row>
    <row r="15" spans="1:29" x14ac:dyDescent="0.25">
      <c r="A15" t="s">
        <v>21</v>
      </c>
      <c r="B15" s="1" t="s">
        <v>39</v>
      </c>
      <c r="C15">
        <v>75</v>
      </c>
      <c r="D15">
        <v>67</v>
      </c>
      <c r="I15">
        <v>91</v>
      </c>
      <c r="Q15">
        <v>88</v>
      </c>
      <c r="S15">
        <v>59</v>
      </c>
      <c r="V15">
        <f t="shared" si="0"/>
        <v>0</v>
      </c>
    </row>
    <row r="16" spans="1:29" x14ac:dyDescent="0.25">
      <c r="A16" t="s">
        <v>21</v>
      </c>
      <c r="B16" s="1" t="s">
        <v>40</v>
      </c>
      <c r="C16">
        <v>85</v>
      </c>
      <c r="D16">
        <v>83</v>
      </c>
      <c r="E16">
        <v>48</v>
      </c>
      <c r="I16">
        <v>94</v>
      </c>
      <c r="Q16">
        <v>92</v>
      </c>
      <c r="S16">
        <v>56</v>
      </c>
      <c r="V16">
        <f t="shared" si="0"/>
        <v>0</v>
      </c>
    </row>
    <row r="17" spans="1:22" x14ac:dyDescent="0.25">
      <c r="A17" t="s">
        <v>21</v>
      </c>
      <c r="B17" s="1" t="s">
        <v>41</v>
      </c>
      <c r="C17">
        <v>62</v>
      </c>
      <c r="D17">
        <v>48</v>
      </c>
      <c r="I17">
        <v>85</v>
      </c>
      <c r="Q17">
        <v>58</v>
      </c>
      <c r="S17">
        <v>59</v>
      </c>
      <c r="V17">
        <f t="shared" si="0"/>
        <v>0</v>
      </c>
    </row>
    <row r="18" spans="1:22" x14ac:dyDescent="0.25">
      <c r="A18" t="s">
        <v>21</v>
      </c>
      <c r="B18" s="1" t="s">
        <v>42</v>
      </c>
      <c r="C18">
        <v>68</v>
      </c>
      <c r="D18">
        <v>62</v>
      </c>
      <c r="I18">
        <v>99</v>
      </c>
      <c r="J18">
        <v>93</v>
      </c>
      <c r="Q18">
        <v>78</v>
      </c>
      <c r="S18">
        <v>54</v>
      </c>
      <c r="V18">
        <f t="shared" si="0"/>
        <v>0</v>
      </c>
    </row>
    <row r="19" spans="1:22" x14ac:dyDescent="0.25">
      <c r="A19" t="s">
        <v>21</v>
      </c>
      <c r="B19" s="1" t="s">
        <v>43</v>
      </c>
      <c r="C19">
        <v>55</v>
      </c>
      <c r="D19">
        <v>62</v>
      </c>
      <c r="I19">
        <v>96</v>
      </c>
      <c r="J19">
        <v>86</v>
      </c>
      <c r="Q19">
        <v>92</v>
      </c>
      <c r="S19">
        <v>73</v>
      </c>
      <c r="V19">
        <f t="shared" si="0"/>
        <v>0</v>
      </c>
    </row>
    <row r="20" spans="1:22" x14ac:dyDescent="0.25">
      <c r="A20" t="s">
        <v>21</v>
      </c>
      <c r="B20" s="1" t="s">
        <v>44</v>
      </c>
      <c r="C20">
        <v>68</v>
      </c>
      <c r="D20">
        <v>45</v>
      </c>
      <c r="I20">
        <v>92</v>
      </c>
      <c r="Q20">
        <v>78</v>
      </c>
      <c r="S20">
        <v>56</v>
      </c>
      <c r="V20">
        <f t="shared" si="0"/>
        <v>0</v>
      </c>
    </row>
    <row r="21" spans="1:22" x14ac:dyDescent="0.25">
      <c r="A21" t="s">
        <v>21</v>
      </c>
      <c r="B21" s="1" t="s">
        <v>45</v>
      </c>
      <c r="C21">
        <v>78</v>
      </c>
      <c r="I21">
        <v>95</v>
      </c>
      <c r="J21">
        <v>77</v>
      </c>
      <c r="Q21">
        <v>64</v>
      </c>
      <c r="S21">
        <v>84</v>
      </c>
      <c r="V21">
        <f t="shared" si="0"/>
        <v>0</v>
      </c>
    </row>
    <row r="22" spans="1:22" x14ac:dyDescent="0.25">
      <c r="A22" t="s">
        <v>21</v>
      </c>
      <c r="B22" s="1" t="s">
        <v>46</v>
      </c>
      <c r="C22">
        <v>72</v>
      </c>
      <c r="D22">
        <v>68</v>
      </c>
      <c r="I22">
        <v>92</v>
      </c>
      <c r="Q22">
        <v>70</v>
      </c>
      <c r="S22">
        <v>64</v>
      </c>
      <c r="V22">
        <f t="shared" si="0"/>
        <v>0</v>
      </c>
    </row>
    <row r="23" spans="1:22" x14ac:dyDescent="0.25">
      <c r="A23" t="s">
        <v>21</v>
      </c>
      <c r="B23" s="1" t="s">
        <v>47</v>
      </c>
      <c r="C23">
        <v>55</v>
      </c>
      <c r="D23">
        <v>50</v>
      </c>
      <c r="I23">
        <v>84</v>
      </c>
      <c r="Q23">
        <v>58</v>
      </c>
      <c r="S23">
        <v>54</v>
      </c>
      <c r="V23">
        <f t="shared" si="0"/>
        <v>0</v>
      </c>
    </row>
    <row r="24" spans="1:22" x14ac:dyDescent="0.25">
      <c r="A24" t="s">
        <v>21</v>
      </c>
      <c r="B24" s="1" t="s">
        <v>48</v>
      </c>
      <c r="C24">
        <v>67</v>
      </c>
      <c r="D24">
        <v>60</v>
      </c>
      <c r="I24">
        <v>92</v>
      </c>
      <c r="Q24">
        <v>76</v>
      </c>
      <c r="S24">
        <v>50</v>
      </c>
      <c r="V24">
        <f t="shared" si="0"/>
        <v>0</v>
      </c>
    </row>
    <row r="25" spans="1:22" x14ac:dyDescent="0.25">
      <c r="A25" t="s">
        <v>21</v>
      </c>
      <c r="B25" s="1" t="s">
        <v>49</v>
      </c>
      <c r="C25">
        <v>45</v>
      </c>
      <c r="D25">
        <v>30</v>
      </c>
      <c r="I25">
        <v>61</v>
      </c>
      <c r="Q25">
        <v>50</v>
      </c>
      <c r="S25">
        <v>33</v>
      </c>
      <c r="V25">
        <f t="shared" si="0"/>
        <v>0</v>
      </c>
    </row>
    <row r="26" spans="1:22" x14ac:dyDescent="0.25">
      <c r="A26" t="s">
        <v>21</v>
      </c>
      <c r="B26" s="1" t="s">
        <v>50</v>
      </c>
      <c r="C26">
        <v>83</v>
      </c>
      <c r="D26">
        <v>50</v>
      </c>
      <c r="I26">
        <v>100</v>
      </c>
      <c r="J26">
        <v>83</v>
      </c>
      <c r="Q26">
        <v>62</v>
      </c>
      <c r="S26">
        <v>76</v>
      </c>
      <c r="V26">
        <f t="shared" si="0"/>
        <v>1</v>
      </c>
    </row>
    <row r="27" spans="1:22" x14ac:dyDescent="0.25">
      <c r="A27" t="s">
        <v>21</v>
      </c>
      <c r="B27" s="1" t="s">
        <v>51</v>
      </c>
      <c r="C27">
        <v>80</v>
      </c>
      <c r="I27">
        <v>99</v>
      </c>
      <c r="J27">
        <v>83</v>
      </c>
      <c r="Q27">
        <v>72</v>
      </c>
      <c r="S27">
        <v>84</v>
      </c>
      <c r="V27">
        <f t="shared" si="0"/>
        <v>0</v>
      </c>
    </row>
    <row r="28" spans="1:22" x14ac:dyDescent="0.25">
      <c r="A28" t="s">
        <v>21</v>
      </c>
      <c r="B28" s="1" t="s">
        <v>52</v>
      </c>
      <c r="C28">
        <v>70</v>
      </c>
      <c r="D28">
        <v>60</v>
      </c>
      <c r="I28">
        <v>91</v>
      </c>
      <c r="Q28">
        <v>80</v>
      </c>
      <c r="S28">
        <v>74</v>
      </c>
      <c r="V28">
        <f t="shared" si="0"/>
        <v>0</v>
      </c>
    </row>
    <row r="29" spans="1:22" x14ac:dyDescent="0.25">
      <c r="A29" t="s">
        <v>21</v>
      </c>
      <c r="B29" s="1" t="s">
        <v>53</v>
      </c>
      <c r="E29">
        <v>55</v>
      </c>
      <c r="I29">
        <v>96</v>
      </c>
      <c r="J29">
        <v>86</v>
      </c>
      <c r="Q29">
        <v>86</v>
      </c>
      <c r="S29">
        <v>64</v>
      </c>
      <c r="V29">
        <f t="shared" si="0"/>
        <v>0</v>
      </c>
    </row>
    <row r="30" spans="1:22" x14ac:dyDescent="0.25">
      <c r="A30" t="s">
        <v>21</v>
      </c>
      <c r="B30" s="1" t="s">
        <v>54</v>
      </c>
      <c r="C30">
        <v>73</v>
      </c>
      <c r="D30">
        <v>78</v>
      </c>
      <c r="I30">
        <v>96</v>
      </c>
      <c r="Q30">
        <v>82</v>
      </c>
      <c r="S30">
        <v>60</v>
      </c>
      <c r="V30">
        <f t="shared" si="0"/>
        <v>0</v>
      </c>
    </row>
    <row r="31" spans="1:22" x14ac:dyDescent="0.25">
      <c r="A31" t="s">
        <v>21</v>
      </c>
      <c r="B31" s="1" t="s">
        <v>55</v>
      </c>
      <c r="C31">
        <v>80</v>
      </c>
      <c r="D31">
        <v>60</v>
      </c>
      <c r="I31">
        <v>88</v>
      </c>
      <c r="J31">
        <v>67</v>
      </c>
      <c r="Q31">
        <v>80</v>
      </c>
      <c r="S31">
        <v>63</v>
      </c>
      <c r="V31">
        <f t="shared" si="0"/>
        <v>0</v>
      </c>
    </row>
    <row r="32" spans="1:22" x14ac:dyDescent="0.25">
      <c r="A32" t="s">
        <v>21</v>
      </c>
      <c r="B32" s="1" t="s">
        <v>56</v>
      </c>
      <c r="C32">
        <v>93</v>
      </c>
      <c r="D32">
        <v>88</v>
      </c>
      <c r="I32">
        <v>100</v>
      </c>
      <c r="J32">
        <v>76</v>
      </c>
      <c r="Q32">
        <v>92</v>
      </c>
      <c r="S32">
        <v>76</v>
      </c>
      <c r="V32">
        <f t="shared" si="0"/>
        <v>1</v>
      </c>
    </row>
    <row r="33" spans="1:22" x14ac:dyDescent="0.25">
      <c r="A33" t="s">
        <v>21</v>
      </c>
      <c r="B33" s="1" t="s">
        <v>57</v>
      </c>
      <c r="C33">
        <v>85</v>
      </c>
      <c r="D33">
        <v>93</v>
      </c>
      <c r="E33">
        <v>82</v>
      </c>
      <c r="I33">
        <v>96</v>
      </c>
      <c r="Q33">
        <v>94</v>
      </c>
      <c r="R33">
        <v>74</v>
      </c>
      <c r="S33">
        <v>66</v>
      </c>
      <c r="V33">
        <f t="shared" si="0"/>
        <v>0</v>
      </c>
    </row>
    <row r="34" spans="1:22" x14ac:dyDescent="0.25">
      <c r="A34" t="s">
        <v>21</v>
      </c>
      <c r="B34" s="1" t="s">
        <v>58</v>
      </c>
      <c r="C34">
        <v>90</v>
      </c>
      <c r="D34">
        <v>82</v>
      </c>
      <c r="I34">
        <v>92</v>
      </c>
      <c r="Q34">
        <v>86</v>
      </c>
      <c r="S34">
        <v>63</v>
      </c>
      <c r="V34">
        <f t="shared" si="0"/>
        <v>0</v>
      </c>
    </row>
    <row r="35" spans="1:22" x14ac:dyDescent="0.25">
      <c r="A35" t="s">
        <v>21</v>
      </c>
      <c r="B35" s="1" t="s">
        <v>59</v>
      </c>
      <c r="C35">
        <v>87</v>
      </c>
      <c r="I35">
        <v>100</v>
      </c>
      <c r="Q35">
        <v>82</v>
      </c>
      <c r="S35">
        <v>79</v>
      </c>
      <c r="T35">
        <v>73</v>
      </c>
      <c r="U35">
        <v>64</v>
      </c>
      <c r="V35">
        <f t="shared" si="0"/>
        <v>1</v>
      </c>
    </row>
    <row r="36" spans="1:22" x14ac:dyDescent="0.25">
      <c r="A36" t="s">
        <v>22</v>
      </c>
      <c r="B36" s="1" t="s">
        <v>60</v>
      </c>
      <c r="I36">
        <v>93</v>
      </c>
      <c r="J36">
        <v>60</v>
      </c>
      <c r="Q36">
        <v>46</v>
      </c>
      <c r="S36">
        <v>60</v>
      </c>
      <c r="T36">
        <v>75</v>
      </c>
      <c r="V36">
        <f t="shared" si="0"/>
        <v>0</v>
      </c>
    </row>
    <row r="37" spans="1:22" x14ac:dyDescent="0.25">
      <c r="A37" t="s">
        <v>22</v>
      </c>
      <c r="B37" s="1" t="s">
        <v>61</v>
      </c>
      <c r="I37">
        <v>96</v>
      </c>
      <c r="J37">
        <v>87</v>
      </c>
      <c r="Q37">
        <v>50</v>
      </c>
      <c r="S37">
        <v>40</v>
      </c>
      <c r="T37">
        <v>70</v>
      </c>
      <c r="U37">
        <v>44</v>
      </c>
      <c r="V37">
        <f t="shared" si="0"/>
        <v>0</v>
      </c>
    </row>
    <row r="38" spans="1:22" x14ac:dyDescent="0.25">
      <c r="A38" t="s">
        <v>22</v>
      </c>
      <c r="B38" s="1" t="s">
        <v>62</v>
      </c>
      <c r="G38">
        <v>92</v>
      </c>
      <c r="I38">
        <v>100</v>
      </c>
      <c r="J38">
        <v>81</v>
      </c>
      <c r="Q38">
        <v>88</v>
      </c>
      <c r="S38">
        <v>57</v>
      </c>
      <c r="T38">
        <v>70</v>
      </c>
      <c r="V38">
        <f t="shared" si="0"/>
        <v>1</v>
      </c>
    </row>
    <row r="39" spans="1:22" x14ac:dyDescent="0.25">
      <c r="A39" t="s">
        <v>22</v>
      </c>
      <c r="B39" s="1" t="s">
        <v>63</v>
      </c>
      <c r="G39">
        <v>86</v>
      </c>
      <c r="I39">
        <v>100</v>
      </c>
      <c r="J39">
        <v>90</v>
      </c>
      <c r="Q39">
        <v>70</v>
      </c>
      <c r="S39">
        <v>56</v>
      </c>
      <c r="T39">
        <v>68</v>
      </c>
      <c r="U39">
        <v>78</v>
      </c>
      <c r="V39">
        <f t="shared" si="0"/>
        <v>1</v>
      </c>
    </row>
    <row r="40" spans="1:22" x14ac:dyDescent="0.25">
      <c r="A40" t="s">
        <v>22</v>
      </c>
      <c r="B40" s="1" t="s">
        <v>64</v>
      </c>
      <c r="G40">
        <v>90</v>
      </c>
      <c r="I40">
        <v>96</v>
      </c>
      <c r="J40">
        <v>93</v>
      </c>
      <c r="Q40">
        <v>86</v>
      </c>
      <c r="R40">
        <v>36</v>
      </c>
      <c r="S40">
        <v>53</v>
      </c>
      <c r="T40">
        <v>73</v>
      </c>
      <c r="U40">
        <v>100</v>
      </c>
      <c r="V40">
        <f t="shared" si="0"/>
        <v>1</v>
      </c>
    </row>
    <row r="41" spans="1:22" x14ac:dyDescent="0.25">
      <c r="A41" t="s">
        <v>22</v>
      </c>
      <c r="B41" s="1" t="s">
        <v>65</v>
      </c>
      <c r="I41">
        <v>59</v>
      </c>
      <c r="J41">
        <v>44</v>
      </c>
      <c r="Q41">
        <v>34</v>
      </c>
      <c r="S41">
        <v>30</v>
      </c>
      <c r="T41">
        <v>53</v>
      </c>
      <c r="U41">
        <v>34</v>
      </c>
      <c r="V41">
        <f t="shared" si="0"/>
        <v>0</v>
      </c>
    </row>
    <row r="42" spans="1:22" x14ac:dyDescent="0.25">
      <c r="A42" t="s">
        <v>22</v>
      </c>
      <c r="B42" s="1" t="s">
        <v>66</v>
      </c>
      <c r="G42">
        <v>88</v>
      </c>
      <c r="I42">
        <v>98</v>
      </c>
      <c r="J42">
        <v>95</v>
      </c>
      <c r="P42">
        <v>69</v>
      </c>
      <c r="Q42">
        <v>68</v>
      </c>
      <c r="S42">
        <v>70</v>
      </c>
      <c r="T42">
        <v>80</v>
      </c>
      <c r="U42">
        <v>72</v>
      </c>
      <c r="V42">
        <f t="shared" si="0"/>
        <v>0</v>
      </c>
    </row>
    <row r="43" spans="1:22" x14ac:dyDescent="0.25">
      <c r="A43" t="s">
        <v>22</v>
      </c>
      <c r="B43" s="1" t="s">
        <v>67</v>
      </c>
      <c r="G43">
        <v>92</v>
      </c>
      <c r="I43">
        <v>93</v>
      </c>
      <c r="J43">
        <v>95</v>
      </c>
      <c r="Q43">
        <v>56</v>
      </c>
      <c r="S43">
        <v>79</v>
      </c>
      <c r="T43">
        <v>55</v>
      </c>
      <c r="U43">
        <v>72</v>
      </c>
      <c r="V43">
        <f t="shared" si="0"/>
        <v>0</v>
      </c>
    </row>
    <row r="44" spans="1:22" x14ac:dyDescent="0.25">
      <c r="A44" t="s">
        <v>22</v>
      </c>
      <c r="B44" s="1" t="s">
        <v>68</v>
      </c>
      <c r="G44">
        <v>94</v>
      </c>
      <c r="I44">
        <v>90</v>
      </c>
      <c r="J44">
        <v>67</v>
      </c>
      <c r="Q44">
        <v>40</v>
      </c>
      <c r="S44">
        <v>80</v>
      </c>
      <c r="T44">
        <v>60</v>
      </c>
      <c r="V44">
        <f t="shared" si="0"/>
        <v>0</v>
      </c>
    </row>
    <row r="45" spans="1:22" x14ac:dyDescent="0.25">
      <c r="A45" t="s">
        <v>22</v>
      </c>
      <c r="B45" s="1" t="s">
        <v>69</v>
      </c>
      <c r="G45">
        <v>66</v>
      </c>
      <c r="I45">
        <v>98</v>
      </c>
      <c r="J45">
        <v>67</v>
      </c>
      <c r="Q45">
        <v>50</v>
      </c>
      <c r="S45">
        <v>54</v>
      </c>
      <c r="T45">
        <v>80</v>
      </c>
      <c r="U45">
        <v>68</v>
      </c>
      <c r="V45">
        <f t="shared" si="0"/>
        <v>0</v>
      </c>
    </row>
    <row r="46" spans="1:22" x14ac:dyDescent="0.25">
      <c r="A46" t="s">
        <v>22</v>
      </c>
      <c r="B46" s="1" t="s">
        <v>70</v>
      </c>
      <c r="I46">
        <v>100</v>
      </c>
      <c r="J46">
        <v>92</v>
      </c>
      <c r="Q46">
        <v>70</v>
      </c>
      <c r="S46">
        <v>63</v>
      </c>
      <c r="T46">
        <v>45</v>
      </c>
      <c r="V46">
        <f t="shared" si="0"/>
        <v>1</v>
      </c>
    </row>
    <row r="47" spans="1:22" x14ac:dyDescent="0.25">
      <c r="A47" t="s">
        <v>22</v>
      </c>
      <c r="B47" s="1" t="s">
        <v>71</v>
      </c>
      <c r="I47">
        <v>96</v>
      </c>
      <c r="J47">
        <v>63</v>
      </c>
      <c r="Q47">
        <v>64</v>
      </c>
      <c r="S47">
        <v>63</v>
      </c>
      <c r="T47">
        <v>58</v>
      </c>
      <c r="U47">
        <v>48</v>
      </c>
      <c r="V47">
        <f t="shared" si="0"/>
        <v>0</v>
      </c>
    </row>
    <row r="48" spans="1:22" x14ac:dyDescent="0.25">
      <c r="A48" t="s">
        <v>22</v>
      </c>
      <c r="B48" s="1" t="s">
        <v>72</v>
      </c>
      <c r="I48">
        <v>96</v>
      </c>
      <c r="J48">
        <v>69</v>
      </c>
      <c r="Q48">
        <v>68</v>
      </c>
      <c r="S48">
        <v>51</v>
      </c>
      <c r="T48">
        <v>70</v>
      </c>
      <c r="U48">
        <v>38</v>
      </c>
      <c r="V48">
        <f t="shared" si="0"/>
        <v>0</v>
      </c>
    </row>
    <row r="49" spans="1:22" x14ac:dyDescent="0.25">
      <c r="A49" t="s">
        <v>22</v>
      </c>
      <c r="B49" s="1" t="s">
        <v>73</v>
      </c>
      <c r="C49">
        <v>73</v>
      </c>
      <c r="D49">
        <v>65</v>
      </c>
      <c r="I49">
        <v>80</v>
      </c>
      <c r="Q49">
        <v>52</v>
      </c>
      <c r="S49">
        <v>56</v>
      </c>
      <c r="V49">
        <f t="shared" si="0"/>
        <v>0</v>
      </c>
    </row>
    <row r="50" spans="1:22" x14ac:dyDescent="0.25">
      <c r="A50" t="s">
        <v>22</v>
      </c>
      <c r="B50" s="1" t="s">
        <v>74</v>
      </c>
      <c r="C50">
        <v>50</v>
      </c>
      <c r="D50">
        <v>47</v>
      </c>
      <c r="I50">
        <v>92</v>
      </c>
      <c r="Q50">
        <v>58</v>
      </c>
      <c r="S50">
        <v>51</v>
      </c>
      <c r="V50">
        <f t="shared" si="0"/>
        <v>0</v>
      </c>
    </row>
    <row r="51" spans="1:22" x14ac:dyDescent="0.25">
      <c r="A51" t="s">
        <v>22</v>
      </c>
      <c r="B51" s="1" t="s">
        <v>75</v>
      </c>
      <c r="G51">
        <v>92</v>
      </c>
      <c r="I51">
        <v>92</v>
      </c>
      <c r="J51">
        <v>59</v>
      </c>
      <c r="Q51">
        <v>72</v>
      </c>
      <c r="S51">
        <v>41</v>
      </c>
      <c r="T51">
        <v>60</v>
      </c>
      <c r="U51">
        <v>68</v>
      </c>
      <c r="V51">
        <f t="shared" si="0"/>
        <v>0</v>
      </c>
    </row>
    <row r="52" spans="1:22" x14ac:dyDescent="0.25">
      <c r="A52" t="s">
        <v>22</v>
      </c>
      <c r="B52" s="1" t="s">
        <v>76</v>
      </c>
      <c r="C52">
        <v>73</v>
      </c>
      <c r="I52">
        <v>97</v>
      </c>
      <c r="J52">
        <v>74</v>
      </c>
      <c r="Q52">
        <v>56</v>
      </c>
      <c r="S52">
        <v>60</v>
      </c>
      <c r="T52">
        <v>73</v>
      </c>
      <c r="V52">
        <f t="shared" si="0"/>
        <v>0</v>
      </c>
    </row>
    <row r="53" spans="1:22" x14ac:dyDescent="0.25">
      <c r="A53" t="s">
        <v>22</v>
      </c>
      <c r="B53" s="1" t="s">
        <v>77</v>
      </c>
      <c r="G53">
        <v>80</v>
      </c>
      <c r="I53">
        <v>97</v>
      </c>
      <c r="J53">
        <v>83</v>
      </c>
      <c r="Q53">
        <v>44</v>
      </c>
      <c r="S53">
        <v>66</v>
      </c>
      <c r="T53">
        <v>63</v>
      </c>
      <c r="V53">
        <f t="shared" si="0"/>
        <v>0</v>
      </c>
    </row>
    <row r="54" spans="1:22" x14ac:dyDescent="0.25">
      <c r="A54" t="s">
        <v>22</v>
      </c>
      <c r="B54" s="1" t="s">
        <v>78</v>
      </c>
      <c r="C54">
        <v>35</v>
      </c>
      <c r="I54">
        <v>96</v>
      </c>
      <c r="J54">
        <v>84</v>
      </c>
      <c r="Q54">
        <v>32</v>
      </c>
      <c r="S54">
        <v>51</v>
      </c>
      <c r="T54">
        <v>63</v>
      </c>
      <c r="V54">
        <f t="shared" si="0"/>
        <v>0</v>
      </c>
    </row>
    <row r="55" spans="1:22" x14ac:dyDescent="0.25">
      <c r="A55" t="s">
        <v>22</v>
      </c>
      <c r="B55" s="1" t="s">
        <v>79</v>
      </c>
      <c r="F55">
        <v>47</v>
      </c>
      <c r="I55">
        <v>86</v>
      </c>
      <c r="J55">
        <v>60</v>
      </c>
      <c r="Q55">
        <v>66</v>
      </c>
      <c r="S55">
        <v>34</v>
      </c>
      <c r="T55">
        <v>58</v>
      </c>
      <c r="U55">
        <v>58</v>
      </c>
      <c r="V55">
        <f t="shared" si="0"/>
        <v>0</v>
      </c>
    </row>
    <row r="56" spans="1:22" x14ac:dyDescent="0.25">
      <c r="A56" t="s">
        <v>22</v>
      </c>
      <c r="B56" s="1" t="s">
        <v>80</v>
      </c>
      <c r="G56">
        <v>42</v>
      </c>
      <c r="I56">
        <v>66</v>
      </c>
      <c r="Q56">
        <v>64</v>
      </c>
      <c r="S56">
        <v>56</v>
      </c>
      <c r="T56">
        <v>75</v>
      </c>
      <c r="V56">
        <f t="shared" si="0"/>
        <v>0</v>
      </c>
    </row>
    <row r="57" spans="1:22" x14ac:dyDescent="0.25">
      <c r="A57" t="s">
        <v>22</v>
      </c>
      <c r="B57" s="1" t="s">
        <v>81</v>
      </c>
      <c r="G57">
        <v>76</v>
      </c>
      <c r="I57">
        <v>97</v>
      </c>
      <c r="J57">
        <v>78</v>
      </c>
      <c r="Q57">
        <v>72</v>
      </c>
      <c r="S57">
        <v>60</v>
      </c>
      <c r="T57">
        <v>80</v>
      </c>
      <c r="V57">
        <f t="shared" si="0"/>
        <v>0</v>
      </c>
    </row>
    <row r="58" spans="1:22" x14ac:dyDescent="0.25">
      <c r="A58" t="s">
        <v>22</v>
      </c>
      <c r="B58" s="1" t="s">
        <v>82</v>
      </c>
      <c r="G58">
        <v>80</v>
      </c>
      <c r="I58">
        <v>78</v>
      </c>
      <c r="J58">
        <v>34</v>
      </c>
      <c r="Q58">
        <v>52</v>
      </c>
      <c r="S58">
        <v>46</v>
      </c>
      <c r="T58">
        <v>80</v>
      </c>
      <c r="U58">
        <v>62</v>
      </c>
      <c r="V58">
        <f t="shared" si="0"/>
        <v>0</v>
      </c>
    </row>
    <row r="59" spans="1:22" x14ac:dyDescent="0.25">
      <c r="A59" t="s">
        <v>22</v>
      </c>
      <c r="B59" s="1" t="s">
        <v>83</v>
      </c>
      <c r="I59">
        <v>65</v>
      </c>
      <c r="Q59">
        <v>50</v>
      </c>
      <c r="S59">
        <v>43</v>
      </c>
      <c r="T59">
        <v>78</v>
      </c>
      <c r="U59">
        <v>24</v>
      </c>
      <c r="V59">
        <f t="shared" si="0"/>
        <v>0</v>
      </c>
    </row>
    <row r="60" spans="1:22" x14ac:dyDescent="0.25">
      <c r="A60" t="s">
        <v>22</v>
      </c>
      <c r="B60" s="1" t="s">
        <v>84</v>
      </c>
      <c r="G60">
        <v>88</v>
      </c>
      <c r="I60">
        <v>96</v>
      </c>
      <c r="J60">
        <v>92</v>
      </c>
      <c r="Q60">
        <v>58</v>
      </c>
      <c r="S60">
        <v>59</v>
      </c>
      <c r="T60">
        <v>53</v>
      </c>
      <c r="U60">
        <v>72</v>
      </c>
      <c r="V60">
        <f t="shared" si="0"/>
        <v>0</v>
      </c>
    </row>
    <row r="61" spans="1:22" x14ac:dyDescent="0.25">
      <c r="A61" t="s">
        <v>22</v>
      </c>
      <c r="B61" s="1" t="s">
        <v>85</v>
      </c>
      <c r="G61">
        <v>76</v>
      </c>
      <c r="I61">
        <v>100</v>
      </c>
      <c r="J61">
        <v>90</v>
      </c>
      <c r="O61">
        <v>100</v>
      </c>
      <c r="Q61">
        <v>78</v>
      </c>
      <c r="S61">
        <v>66</v>
      </c>
      <c r="T61">
        <v>75</v>
      </c>
      <c r="V61">
        <f t="shared" si="0"/>
        <v>2</v>
      </c>
    </row>
    <row r="62" spans="1:22" x14ac:dyDescent="0.25">
      <c r="A62" t="s">
        <v>22</v>
      </c>
      <c r="B62" s="1" t="s">
        <v>86</v>
      </c>
      <c r="G62">
        <v>96</v>
      </c>
      <c r="I62">
        <v>98</v>
      </c>
      <c r="J62">
        <v>91</v>
      </c>
      <c r="Q62">
        <v>72</v>
      </c>
      <c r="S62">
        <v>69</v>
      </c>
      <c r="T62">
        <v>85</v>
      </c>
      <c r="V62">
        <f t="shared" si="0"/>
        <v>0</v>
      </c>
    </row>
    <row r="63" spans="1:22" x14ac:dyDescent="0.25">
      <c r="A63" t="s">
        <v>22</v>
      </c>
      <c r="B63" s="1" t="s">
        <v>87</v>
      </c>
      <c r="G63">
        <v>76</v>
      </c>
      <c r="I63">
        <v>99</v>
      </c>
      <c r="J63">
        <v>84</v>
      </c>
      <c r="K63">
        <v>78</v>
      </c>
      <c r="Q63">
        <v>70</v>
      </c>
      <c r="S63">
        <v>53</v>
      </c>
      <c r="T63">
        <v>73</v>
      </c>
      <c r="V63">
        <f t="shared" si="0"/>
        <v>0</v>
      </c>
    </row>
    <row r="64" spans="1:22" x14ac:dyDescent="0.25">
      <c r="A64" t="s">
        <v>22</v>
      </c>
      <c r="B64" s="1" t="s">
        <v>88</v>
      </c>
      <c r="C64">
        <v>48</v>
      </c>
      <c r="D64">
        <v>17</v>
      </c>
      <c r="I64">
        <v>100</v>
      </c>
      <c r="J64">
        <v>92</v>
      </c>
      <c r="Q64">
        <v>60</v>
      </c>
      <c r="S64">
        <v>47</v>
      </c>
      <c r="V64">
        <f t="shared" si="0"/>
        <v>1</v>
      </c>
    </row>
    <row r="65" spans="1:22" x14ac:dyDescent="0.25">
      <c r="A65" t="s">
        <v>22</v>
      </c>
      <c r="B65" s="1" t="s">
        <v>89</v>
      </c>
      <c r="G65">
        <v>80</v>
      </c>
      <c r="I65">
        <v>98</v>
      </c>
      <c r="J65">
        <v>79</v>
      </c>
      <c r="Q65">
        <v>66</v>
      </c>
      <c r="S65">
        <v>66</v>
      </c>
      <c r="T65">
        <v>63</v>
      </c>
      <c r="U65">
        <v>60</v>
      </c>
      <c r="V65">
        <f t="shared" si="0"/>
        <v>0</v>
      </c>
    </row>
    <row r="66" spans="1:22" x14ac:dyDescent="0.25">
      <c r="A66" t="s">
        <v>22</v>
      </c>
      <c r="B66" s="1" t="s">
        <v>90</v>
      </c>
      <c r="I66">
        <v>94</v>
      </c>
      <c r="J66">
        <v>66</v>
      </c>
      <c r="Q66">
        <v>76</v>
      </c>
      <c r="R66">
        <v>24</v>
      </c>
      <c r="S66">
        <v>44</v>
      </c>
      <c r="T66">
        <v>40</v>
      </c>
      <c r="V66">
        <f t="shared" si="0"/>
        <v>0</v>
      </c>
    </row>
    <row r="67" spans="1:22" x14ac:dyDescent="0.25">
      <c r="A67" t="s">
        <v>23</v>
      </c>
      <c r="B67" s="1" t="s">
        <v>91</v>
      </c>
      <c r="I67">
        <v>95</v>
      </c>
      <c r="J67">
        <v>70</v>
      </c>
      <c r="M67">
        <v>51</v>
      </c>
      <c r="Q67">
        <v>76</v>
      </c>
      <c r="R67">
        <v>52</v>
      </c>
      <c r="S67">
        <v>49</v>
      </c>
      <c r="V67">
        <f t="shared" ref="V67:V130" si="1">COUNTIF(C67:U67,100)</f>
        <v>0</v>
      </c>
    </row>
    <row r="68" spans="1:22" x14ac:dyDescent="0.25">
      <c r="A68" t="s">
        <v>23</v>
      </c>
      <c r="B68" s="1" t="s">
        <v>92</v>
      </c>
      <c r="F68">
        <v>42</v>
      </c>
      <c r="I68">
        <v>52</v>
      </c>
      <c r="Q68">
        <v>76</v>
      </c>
      <c r="R68">
        <v>40</v>
      </c>
      <c r="S68">
        <v>36</v>
      </c>
      <c r="V68">
        <f t="shared" si="1"/>
        <v>0</v>
      </c>
    </row>
    <row r="69" spans="1:22" x14ac:dyDescent="0.25">
      <c r="A69" t="s">
        <v>23</v>
      </c>
      <c r="B69" s="1" t="s">
        <v>93</v>
      </c>
      <c r="F69">
        <v>77</v>
      </c>
      <c r="I69">
        <v>92</v>
      </c>
      <c r="J69">
        <v>80</v>
      </c>
      <c r="K69">
        <v>68</v>
      </c>
      <c r="Q69">
        <v>66</v>
      </c>
      <c r="R69">
        <v>44</v>
      </c>
      <c r="S69">
        <v>54</v>
      </c>
      <c r="V69">
        <f t="shared" si="1"/>
        <v>0</v>
      </c>
    </row>
    <row r="70" spans="1:22" x14ac:dyDescent="0.25">
      <c r="A70" t="s">
        <v>23</v>
      </c>
      <c r="B70" s="1" t="s">
        <v>94</v>
      </c>
      <c r="F70">
        <v>55</v>
      </c>
      <c r="I70">
        <v>88</v>
      </c>
      <c r="Q70">
        <v>72</v>
      </c>
      <c r="R70">
        <v>42</v>
      </c>
      <c r="S70">
        <v>49</v>
      </c>
      <c r="V70">
        <f t="shared" si="1"/>
        <v>0</v>
      </c>
    </row>
    <row r="71" spans="1:22" x14ac:dyDescent="0.25">
      <c r="A71" t="s">
        <v>23</v>
      </c>
      <c r="B71" s="1" t="s">
        <v>95</v>
      </c>
      <c r="F71">
        <v>85</v>
      </c>
      <c r="I71">
        <v>100</v>
      </c>
      <c r="J71">
        <v>81</v>
      </c>
      <c r="M71">
        <v>94</v>
      </c>
      <c r="Q71">
        <v>94</v>
      </c>
      <c r="R71">
        <v>52</v>
      </c>
      <c r="S71">
        <v>71</v>
      </c>
      <c r="V71">
        <f t="shared" si="1"/>
        <v>1</v>
      </c>
    </row>
    <row r="72" spans="1:22" x14ac:dyDescent="0.25">
      <c r="A72" t="s">
        <v>23</v>
      </c>
      <c r="B72" s="1" t="s">
        <v>96</v>
      </c>
      <c r="F72">
        <v>68</v>
      </c>
      <c r="I72">
        <v>84</v>
      </c>
      <c r="Q72">
        <v>52</v>
      </c>
      <c r="R72">
        <v>14</v>
      </c>
      <c r="S72">
        <v>34</v>
      </c>
      <c r="V72">
        <f t="shared" si="1"/>
        <v>0</v>
      </c>
    </row>
    <row r="73" spans="1:22" x14ac:dyDescent="0.25">
      <c r="A73" t="s">
        <v>23</v>
      </c>
      <c r="B73" s="1" t="s">
        <v>97</v>
      </c>
      <c r="F73">
        <v>60</v>
      </c>
      <c r="I73">
        <v>92</v>
      </c>
      <c r="Q73">
        <v>70</v>
      </c>
      <c r="R73">
        <v>32</v>
      </c>
      <c r="S73">
        <v>63</v>
      </c>
      <c r="V73">
        <f t="shared" si="1"/>
        <v>0</v>
      </c>
    </row>
    <row r="74" spans="1:22" x14ac:dyDescent="0.25">
      <c r="A74" t="s">
        <v>23</v>
      </c>
      <c r="B74" s="1" t="s">
        <v>98</v>
      </c>
      <c r="F74">
        <v>70</v>
      </c>
      <c r="I74">
        <v>94</v>
      </c>
      <c r="J74">
        <v>84</v>
      </c>
      <c r="P74">
        <v>90</v>
      </c>
      <c r="Q74">
        <v>88</v>
      </c>
      <c r="R74">
        <v>56</v>
      </c>
      <c r="S74">
        <v>64</v>
      </c>
      <c r="V74">
        <f t="shared" si="1"/>
        <v>0</v>
      </c>
    </row>
    <row r="75" spans="1:22" x14ac:dyDescent="0.25">
      <c r="A75" t="s">
        <v>23</v>
      </c>
      <c r="B75" s="1" t="s">
        <v>99</v>
      </c>
      <c r="F75">
        <v>38</v>
      </c>
      <c r="I75">
        <v>51</v>
      </c>
      <c r="Q75">
        <v>48</v>
      </c>
      <c r="S75">
        <v>49</v>
      </c>
      <c r="V75">
        <f t="shared" si="1"/>
        <v>0</v>
      </c>
    </row>
    <row r="76" spans="1:22" x14ac:dyDescent="0.25">
      <c r="A76" t="s">
        <v>23</v>
      </c>
      <c r="B76" s="1" t="s">
        <v>100</v>
      </c>
      <c r="F76">
        <v>83</v>
      </c>
      <c r="J76">
        <v>93</v>
      </c>
      <c r="O76">
        <v>96</v>
      </c>
      <c r="Q76">
        <v>72</v>
      </c>
      <c r="R76">
        <v>64</v>
      </c>
      <c r="S76">
        <v>57</v>
      </c>
      <c r="V76">
        <f t="shared" si="1"/>
        <v>0</v>
      </c>
    </row>
    <row r="77" spans="1:22" x14ac:dyDescent="0.25">
      <c r="A77" t="s">
        <v>23</v>
      </c>
      <c r="B77" s="1" t="s">
        <v>101</v>
      </c>
      <c r="F77">
        <v>93</v>
      </c>
      <c r="I77">
        <v>98</v>
      </c>
      <c r="J77">
        <v>80</v>
      </c>
      <c r="K77">
        <v>80</v>
      </c>
      <c r="Q77">
        <v>78</v>
      </c>
      <c r="R77">
        <v>64</v>
      </c>
      <c r="S77">
        <v>63</v>
      </c>
      <c r="V77">
        <f t="shared" si="1"/>
        <v>0</v>
      </c>
    </row>
    <row r="78" spans="1:22" x14ac:dyDescent="0.25">
      <c r="A78" t="s">
        <v>23</v>
      </c>
      <c r="B78" s="1" t="s">
        <v>102</v>
      </c>
      <c r="F78">
        <v>63</v>
      </c>
      <c r="I78">
        <v>88</v>
      </c>
      <c r="Q78">
        <v>64</v>
      </c>
      <c r="S78">
        <v>63</v>
      </c>
      <c r="T78">
        <v>43</v>
      </c>
      <c r="V78">
        <f t="shared" si="1"/>
        <v>0</v>
      </c>
    </row>
    <row r="79" spans="1:22" x14ac:dyDescent="0.25">
      <c r="A79" t="s">
        <v>23</v>
      </c>
      <c r="B79" s="1" t="s">
        <v>103</v>
      </c>
      <c r="F79">
        <v>65</v>
      </c>
      <c r="I79">
        <v>69</v>
      </c>
      <c r="Q79">
        <v>52</v>
      </c>
      <c r="S79">
        <v>51</v>
      </c>
      <c r="V79">
        <f t="shared" si="1"/>
        <v>0</v>
      </c>
    </row>
    <row r="80" spans="1:22" x14ac:dyDescent="0.25">
      <c r="A80" t="s">
        <v>23</v>
      </c>
      <c r="B80" s="1" t="s">
        <v>104</v>
      </c>
      <c r="F80">
        <v>50</v>
      </c>
      <c r="I80">
        <v>82</v>
      </c>
      <c r="Q80">
        <v>68</v>
      </c>
      <c r="R80">
        <v>36</v>
      </c>
      <c r="S80">
        <v>47</v>
      </c>
      <c r="V80">
        <f t="shared" si="1"/>
        <v>0</v>
      </c>
    </row>
    <row r="81" spans="1:22" x14ac:dyDescent="0.25">
      <c r="A81" t="s">
        <v>23</v>
      </c>
      <c r="B81" s="1" t="s">
        <v>105</v>
      </c>
      <c r="F81">
        <v>53</v>
      </c>
      <c r="I81">
        <v>100</v>
      </c>
      <c r="J81">
        <v>77</v>
      </c>
      <c r="Q81">
        <v>82</v>
      </c>
      <c r="R81">
        <v>38</v>
      </c>
      <c r="S81">
        <v>53</v>
      </c>
      <c r="U81">
        <v>46</v>
      </c>
      <c r="V81">
        <f t="shared" si="1"/>
        <v>1</v>
      </c>
    </row>
    <row r="82" spans="1:22" x14ac:dyDescent="0.25">
      <c r="A82" t="s">
        <v>23</v>
      </c>
      <c r="B82" s="1" t="s">
        <v>106</v>
      </c>
      <c r="I82">
        <v>98</v>
      </c>
      <c r="J82">
        <v>81</v>
      </c>
      <c r="Q82">
        <v>88</v>
      </c>
      <c r="R82">
        <v>40</v>
      </c>
      <c r="S82">
        <v>59</v>
      </c>
      <c r="V82">
        <f t="shared" si="1"/>
        <v>0</v>
      </c>
    </row>
    <row r="83" spans="1:22" x14ac:dyDescent="0.25">
      <c r="A83" t="s">
        <v>23</v>
      </c>
      <c r="B83" s="1" t="s">
        <v>107</v>
      </c>
      <c r="F83">
        <v>70</v>
      </c>
      <c r="I83">
        <v>96</v>
      </c>
      <c r="J83">
        <v>51</v>
      </c>
      <c r="Q83">
        <v>76</v>
      </c>
      <c r="S83">
        <v>66</v>
      </c>
      <c r="T83">
        <v>95</v>
      </c>
      <c r="V83">
        <f t="shared" si="1"/>
        <v>0</v>
      </c>
    </row>
    <row r="84" spans="1:22" x14ac:dyDescent="0.25">
      <c r="A84" t="s">
        <v>23</v>
      </c>
      <c r="B84" s="1" t="s">
        <v>108</v>
      </c>
      <c r="F84">
        <v>68</v>
      </c>
      <c r="I84">
        <v>87</v>
      </c>
      <c r="J84">
        <v>55</v>
      </c>
      <c r="Q84">
        <v>86</v>
      </c>
      <c r="R84">
        <v>48</v>
      </c>
      <c r="S84">
        <v>63</v>
      </c>
      <c r="T84">
        <v>55</v>
      </c>
      <c r="V84">
        <f t="shared" si="1"/>
        <v>0</v>
      </c>
    </row>
    <row r="85" spans="1:22" x14ac:dyDescent="0.25">
      <c r="A85" t="s">
        <v>23</v>
      </c>
      <c r="B85" s="1" t="s">
        <v>109</v>
      </c>
      <c r="I85">
        <v>91</v>
      </c>
      <c r="J85">
        <v>66</v>
      </c>
      <c r="Q85">
        <v>100</v>
      </c>
      <c r="R85">
        <v>66</v>
      </c>
      <c r="S85">
        <v>76</v>
      </c>
      <c r="T85">
        <v>70</v>
      </c>
      <c r="V85">
        <f t="shared" si="1"/>
        <v>1</v>
      </c>
    </row>
    <row r="86" spans="1:22" x14ac:dyDescent="0.25">
      <c r="A86" t="s">
        <v>23</v>
      </c>
      <c r="B86" s="1" t="s">
        <v>110</v>
      </c>
      <c r="I86">
        <v>100</v>
      </c>
      <c r="J86">
        <v>92</v>
      </c>
      <c r="K86">
        <v>72</v>
      </c>
      <c r="Q86">
        <v>74</v>
      </c>
      <c r="R86">
        <v>52</v>
      </c>
      <c r="S86">
        <v>54</v>
      </c>
      <c r="V86">
        <f t="shared" si="1"/>
        <v>1</v>
      </c>
    </row>
    <row r="87" spans="1:22" x14ac:dyDescent="0.25">
      <c r="A87" t="s">
        <v>23</v>
      </c>
      <c r="B87" s="1" t="s">
        <v>111</v>
      </c>
      <c r="F87">
        <v>87</v>
      </c>
      <c r="I87">
        <v>98</v>
      </c>
      <c r="Q87">
        <v>96</v>
      </c>
      <c r="R87">
        <v>90</v>
      </c>
      <c r="S87">
        <v>91</v>
      </c>
      <c r="V87">
        <f t="shared" si="1"/>
        <v>0</v>
      </c>
    </row>
    <row r="88" spans="1:22" x14ac:dyDescent="0.25">
      <c r="A88" t="s">
        <v>23</v>
      </c>
      <c r="B88" s="1" t="s">
        <v>112</v>
      </c>
      <c r="F88">
        <v>47</v>
      </c>
      <c r="I88">
        <v>89</v>
      </c>
      <c r="Q88">
        <v>76</v>
      </c>
      <c r="R88">
        <v>40</v>
      </c>
      <c r="S88">
        <v>54</v>
      </c>
      <c r="V88">
        <f t="shared" si="1"/>
        <v>0</v>
      </c>
    </row>
    <row r="89" spans="1:22" x14ac:dyDescent="0.25">
      <c r="A89" t="s">
        <v>23</v>
      </c>
      <c r="B89" s="1" t="s">
        <v>113</v>
      </c>
      <c r="I89">
        <v>94</v>
      </c>
      <c r="J89">
        <v>88</v>
      </c>
      <c r="Q89">
        <v>88</v>
      </c>
      <c r="R89">
        <v>46</v>
      </c>
      <c r="S89">
        <v>77</v>
      </c>
      <c r="V89">
        <f t="shared" si="1"/>
        <v>0</v>
      </c>
    </row>
    <row r="90" spans="1:22" x14ac:dyDescent="0.25">
      <c r="A90" t="s">
        <v>23</v>
      </c>
      <c r="B90" s="1" t="s">
        <v>114</v>
      </c>
      <c r="F90">
        <v>68</v>
      </c>
      <c r="I90">
        <v>94</v>
      </c>
      <c r="J90">
        <v>78</v>
      </c>
      <c r="O90">
        <v>96</v>
      </c>
      <c r="Q90">
        <v>100</v>
      </c>
      <c r="R90">
        <v>54</v>
      </c>
      <c r="S90">
        <v>50</v>
      </c>
      <c r="V90">
        <f t="shared" si="1"/>
        <v>1</v>
      </c>
    </row>
    <row r="91" spans="1:22" x14ac:dyDescent="0.25">
      <c r="A91" t="s">
        <v>23</v>
      </c>
      <c r="B91" s="1" t="s">
        <v>115</v>
      </c>
      <c r="F91">
        <v>77</v>
      </c>
      <c r="I91">
        <v>72</v>
      </c>
      <c r="J91">
        <v>44</v>
      </c>
      <c r="Q91">
        <v>78</v>
      </c>
      <c r="R91">
        <v>40</v>
      </c>
      <c r="S91">
        <v>60</v>
      </c>
      <c r="V91">
        <f t="shared" si="1"/>
        <v>0</v>
      </c>
    </row>
    <row r="92" spans="1:22" x14ac:dyDescent="0.25">
      <c r="A92" t="s">
        <v>23</v>
      </c>
      <c r="B92" s="1" t="s">
        <v>116</v>
      </c>
      <c r="F92">
        <v>80</v>
      </c>
      <c r="I92">
        <v>100</v>
      </c>
      <c r="J92">
        <v>82</v>
      </c>
      <c r="O92">
        <v>100</v>
      </c>
      <c r="Q92">
        <v>86</v>
      </c>
      <c r="R92">
        <v>94</v>
      </c>
      <c r="S92">
        <v>63</v>
      </c>
      <c r="V92">
        <f t="shared" si="1"/>
        <v>2</v>
      </c>
    </row>
    <row r="93" spans="1:22" x14ac:dyDescent="0.25">
      <c r="A93" t="s">
        <v>23</v>
      </c>
      <c r="B93" s="1" t="s">
        <v>117</v>
      </c>
      <c r="F93">
        <v>82</v>
      </c>
      <c r="I93">
        <v>94</v>
      </c>
      <c r="J93">
        <v>61</v>
      </c>
      <c r="Q93">
        <v>68</v>
      </c>
      <c r="S93">
        <v>71</v>
      </c>
      <c r="V93">
        <f t="shared" si="1"/>
        <v>0</v>
      </c>
    </row>
    <row r="94" spans="1:22" x14ac:dyDescent="0.25">
      <c r="A94" t="s">
        <v>24</v>
      </c>
      <c r="B94" s="1" t="s">
        <v>118</v>
      </c>
      <c r="E94">
        <v>70</v>
      </c>
      <c r="I94">
        <v>94</v>
      </c>
      <c r="J94">
        <v>73</v>
      </c>
      <c r="Q94">
        <v>90</v>
      </c>
      <c r="R94">
        <v>70</v>
      </c>
      <c r="S94">
        <v>59</v>
      </c>
      <c r="V94">
        <f t="shared" si="1"/>
        <v>0</v>
      </c>
    </row>
    <row r="95" spans="1:22" x14ac:dyDescent="0.25">
      <c r="A95" t="s">
        <v>24</v>
      </c>
      <c r="B95" s="1" t="s">
        <v>119</v>
      </c>
      <c r="E95">
        <v>53</v>
      </c>
      <c r="I95">
        <v>96</v>
      </c>
      <c r="J95">
        <v>67</v>
      </c>
      <c r="Q95">
        <v>90</v>
      </c>
      <c r="R95">
        <v>40</v>
      </c>
      <c r="S95">
        <v>64</v>
      </c>
      <c r="V95">
        <f t="shared" si="1"/>
        <v>0</v>
      </c>
    </row>
    <row r="96" spans="1:22" x14ac:dyDescent="0.25">
      <c r="A96" t="s">
        <v>24</v>
      </c>
      <c r="B96" s="1" t="s">
        <v>120</v>
      </c>
      <c r="E96">
        <v>75</v>
      </c>
      <c r="H96">
        <v>78</v>
      </c>
      <c r="I96">
        <v>98</v>
      </c>
      <c r="J96">
        <v>96</v>
      </c>
      <c r="Q96">
        <v>100</v>
      </c>
      <c r="R96">
        <v>90</v>
      </c>
      <c r="S96">
        <v>80</v>
      </c>
      <c r="V96">
        <f t="shared" si="1"/>
        <v>1</v>
      </c>
    </row>
    <row r="97" spans="1:22" x14ac:dyDescent="0.25">
      <c r="A97" t="s">
        <v>24</v>
      </c>
      <c r="B97" s="1" t="s">
        <v>121</v>
      </c>
      <c r="E97">
        <v>82</v>
      </c>
      <c r="I97">
        <v>100</v>
      </c>
      <c r="J97">
        <v>91</v>
      </c>
      <c r="Q97">
        <v>86</v>
      </c>
      <c r="R97">
        <v>80</v>
      </c>
      <c r="S97">
        <v>84</v>
      </c>
      <c r="V97">
        <f t="shared" si="1"/>
        <v>1</v>
      </c>
    </row>
    <row r="98" spans="1:22" x14ac:dyDescent="0.25">
      <c r="A98" t="s">
        <v>24</v>
      </c>
      <c r="B98" s="1" t="s">
        <v>122</v>
      </c>
      <c r="E98">
        <v>32</v>
      </c>
      <c r="I98">
        <v>96</v>
      </c>
      <c r="J98">
        <v>74</v>
      </c>
      <c r="Q98">
        <v>82</v>
      </c>
      <c r="S98">
        <v>60</v>
      </c>
      <c r="T98">
        <v>25</v>
      </c>
      <c r="V98">
        <f t="shared" si="1"/>
        <v>0</v>
      </c>
    </row>
    <row r="99" spans="1:22" x14ac:dyDescent="0.25">
      <c r="A99" t="s">
        <v>24</v>
      </c>
      <c r="B99" s="1" t="s">
        <v>123</v>
      </c>
      <c r="E99">
        <v>77</v>
      </c>
      <c r="H99">
        <v>88</v>
      </c>
      <c r="I99">
        <v>98</v>
      </c>
      <c r="J99">
        <v>76</v>
      </c>
      <c r="Q99">
        <v>98</v>
      </c>
      <c r="R99">
        <v>68</v>
      </c>
      <c r="S99">
        <v>73</v>
      </c>
      <c r="V99">
        <f t="shared" si="1"/>
        <v>0</v>
      </c>
    </row>
    <row r="100" spans="1:22" x14ac:dyDescent="0.25">
      <c r="A100" t="s">
        <v>24</v>
      </c>
      <c r="B100" s="1" t="s">
        <v>124</v>
      </c>
      <c r="E100">
        <v>70</v>
      </c>
      <c r="I100">
        <v>97</v>
      </c>
      <c r="J100">
        <v>65</v>
      </c>
      <c r="Q100">
        <v>94</v>
      </c>
      <c r="R100">
        <v>78</v>
      </c>
      <c r="S100">
        <v>76</v>
      </c>
      <c r="V100">
        <f t="shared" si="1"/>
        <v>0</v>
      </c>
    </row>
    <row r="101" spans="1:22" x14ac:dyDescent="0.25">
      <c r="A101" t="s">
        <v>24</v>
      </c>
      <c r="B101" s="1" t="s">
        <v>125</v>
      </c>
      <c r="E101">
        <v>32</v>
      </c>
      <c r="I101">
        <v>95</v>
      </c>
      <c r="J101">
        <v>75</v>
      </c>
      <c r="Q101">
        <v>72</v>
      </c>
      <c r="R101">
        <v>58</v>
      </c>
      <c r="S101">
        <v>54</v>
      </c>
      <c r="V101">
        <f t="shared" si="1"/>
        <v>0</v>
      </c>
    </row>
    <row r="102" spans="1:22" x14ac:dyDescent="0.25">
      <c r="A102" t="s">
        <v>24</v>
      </c>
      <c r="B102" s="1" t="s">
        <v>126</v>
      </c>
      <c r="C102">
        <v>37</v>
      </c>
      <c r="E102">
        <v>37</v>
      </c>
      <c r="I102">
        <v>96</v>
      </c>
      <c r="J102">
        <v>84</v>
      </c>
      <c r="Q102">
        <v>86</v>
      </c>
      <c r="S102">
        <v>53</v>
      </c>
      <c r="V102">
        <f t="shared" si="1"/>
        <v>0</v>
      </c>
    </row>
    <row r="103" spans="1:22" x14ac:dyDescent="0.25">
      <c r="A103" t="s">
        <v>24</v>
      </c>
      <c r="B103" s="1" t="s">
        <v>127</v>
      </c>
      <c r="E103">
        <v>75</v>
      </c>
      <c r="I103">
        <v>98</v>
      </c>
      <c r="J103">
        <v>94</v>
      </c>
      <c r="Q103">
        <v>84</v>
      </c>
      <c r="R103">
        <v>82</v>
      </c>
      <c r="S103">
        <v>56</v>
      </c>
      <c r="V103">
        <f t="shared" si="1"/>
        <v>0</v>
      </c>
    </row>
    <row r="104" spans="1:22" x14ac:dyDescent="0.25">
      <c r="A104" t="s">
        <v>24</v>
      </c>
      <c r="B104" s="1" t="s">
        <v>128</v>
      </c>
      <c r="E104">
        <v>92</v>
      </c>
      <c r="I104">
        <v>98</v>
      </c>
      <c r="J104">
        <v>86</v>
      </c>
      <c r="Q104">
        <v>94</v>
      </c>
      <c r="R104">
        <v>88</v>
      </c>
      <c r="S104">
        <v>77</v>
      </c>
      <c r="V104">
        <f t="shared" si="1"/>
        <v>0</v>
      </c>
    </row>
    <row r="105" spans="1:22" x14ac:dyDescent="0.25">
      <c r="A105" t="s">
        <v>24</v>
      </c>
      <c r="B105" s="1" t="s">
        <v>129</v>
      </c>
      <c r="F105">
        <v>45</v>
      </c>
      <c r="I105">
        <v>100</v>
      </c>
      <c r="J105">
        <v>80</v>
      </c>
      <c r="Q105">
        <v>78</v>
      </c>
      <c r="R105">
        <v>36</v>
      </c>
      <c r="S105">
        <v>30</v>
      </c>
      <c r="V105">
        <f t="shared" si="1"/>
        <v>1</v>
      </c>
    </row>
    <row r="106" spans="1:22" x14ac:dyDescent="0.25">
      <c r="A106" t="s">
        <v>24</v>
      </c>
      <c r="B106" s="1" t="s">
        <v>130</v>
      </c>
      <c r="I106">
        <v>100</v>
      </c>
      <c r="J106">
        <v>94</v>
      </c>
      <c r="K106">
        <v>99</v>
      </c>
      <c r="Q106">
        <v>80</v>
      </c>
      <c r="R106">
        <v>74</v>
      </c>
      <c r="S106">
        <v>74</v>
      </c>
      <c r="V106">
        <f t="shared" si="1"/>
        <v>1</v>
      </c>
    </row>
    <row r="107" spans="1:22" x14ac:dyDescent="0.25">
      <c r="A107" t="s">
        <v>24</v>
      </c>
      <c r="B107" s="1" t="s">
        <v>131</v>
      </c>
      <c r="I107">
        <v>98</v>
      </c>
      <c r="J107">
        <v>78</v>
      </c>
      <c r="Q107">
        <v>64</v>
      </c>
      <c r="S107">
        <v>54</v>
      </c>
      <c r="V107">
        <f t="shared" si="1"/>
        <v>0</v>
      </c>
    </row>
    <row r="108" spans="1:22" x14ac:dyDescent="0.25">
      <c r="A108" t="s">
        <v>24</v>
      </c>
      <c r="B108" s="1" t="s">
        <v>132</v>
      </c>
      <c r="E108">
        <v>72</v>
      </c>
      <c r="I108">
        <v>98</v>
      </c>
      <c r="J108">
        <v>79</v>
      </c>
      <c r="Q108">
        <v>100</v>
      </c>
      <c r="R108">
        <v>78</v>
      </c>
      <c r="S108">
        <v>64</v>
      </c>
      <c r="V108">
        <f t="shared" si="1"/>
        <v>1</v>
      </c>
    </row>
    <row r="109" spans="1:22" x14ac:dyDescent="0.25">
      <c r="A109" t="s">
        <v>24</v>
      </c>
      <c r="B109" s="1" t="s">
        <v>133</v>
      </c>
      <c r="E109">
        <v>62</v>
      </c>
      <c r="I109">
        <v>100</v>
      </c>
      <c r="J109">
        <v>75</v>
      </c>
      <c r="Q109">
        <v>92</v>
      </c>
      <c r="R109">
        <v>38</v>
      </c>
      <c r="S109">
        <v>74</v>
      </c>
      <c r="V109">
        <f t="shared" si="1"/>
        <v>1</v>
      </c>
    </row>
    <row r="110" spans="1:22" x14ac:dyDescent="0.25">
      <c r="A110" t="s">
        <v>24</v>
      </c>
      <c r="B110" s="1" t="s">
        <v>134</v>
      </c>
      <c r="H110">
        <v>70</v>
      </c>
      <c r="I110">
        <v>98</v>
      </c>
      <c r="J110">
        <v>79</v>
      </c>
      <c r="Q110">
        <v>94</v>
      </c>
      <c r="R110">
        <v>62</v>
      </c>
      <c r="S110">
        <v>59</v>
      </c>
      <c r="V110">
        <f t="shared" si="1"/>
        <v>0</v>
      </c>
    </row>
    <row r="111" spans="1:22" x14ac:dyDescent="0.25">
      <c r="A111" t="s">
        <v>24</v>
      </c>
      <c r="B111" s="1" t="s">
        <v>135</v>
      </c>
      <c r="E111">
        <v>48</v>
      </c>
      <c r="I111">
        <v>84</v>
      </c>
      <c r="J111">
        <v>28</v>
      </c>
      <c r="Q111">
        <v>88</v>
      </c>
      <c r="R111">
        <v>68</v>
      </c>
      <c r="S111">
        <v>51</v>
      </c>
      <c r="V111">
        <f t="shared" si="1"/>
        <v>0</v>
      </c>
    </row>
    <row r="112" spans="1:22" x14ac:dyDescent="0.25">
      <c r="A112" t="s">
        <v>24</v>
      </c>
      <c r="B112" s="1" t="s">
        <v>136</v>
      </c>
      <c r="E112">
        <v>62</v>
      </c>
      <c r="I112">
        <v>98</v>
      </c>
      <c r="J112">
        <v>79</v>
      </c>
      <c r="Q112">
        <v>100</v>
      </c>
      <c r="R112">
        <v>66</v>
      </c>
      <c r="S112">
        <v>51</v>
      </c>
      <c r="V112">
        <f t="shared" si="1"/>
        <v>1</v>
      </c>
    </row>
    <row r="113" spans="1:22" x14ac:dyDescent="0.25">
      <c r="A113" t="s">
        <v>24</v>
      </c>
      <c r="B113" s="1" t="s">
        <v>137</v>
      </c>
      <c r="E113">
        <v>67</v>
      </c>
      <c r="I113">
        <v>100</v>
      </c>
      <c r="J113">
        <v>85</v>
      </c>
      <c r="Q113">
        <v>92</v>
      </c>
      <c r="R113">
        <v>70</v>
      </c>
      <c r="S113">
        <v>63</v>
      </c>
      <c r="V113">
        <f t="shared" si="1"/>
        <v>1</v>
      </c>
    </row>
    <row r="114" spans="1:22" x14ac:dyDescent="0.25">
      <c r="A114" t="s">
        <v>24</v>
      </c>
      <c r="B114" s="1" t="s">
        <v>138</v>
      </c>
      <c r="E114">
        <v>67</v>
      </c>
      <c r="I114">
        <v>100</v>
      </c>
      <c r="J114">
        <v>78</v>
      </c>
      <c r="Q114">
        <v>98</v>
      </c>
      <c r="R114">
        <v>68</v>
      </c>
      <c r="S114">
        <v>63</v>
      </c>
      <c r="V114">
        <f t="shared" si="1"/>
        <v>1</v>
      </c>
    </row>
    <row r="115" spans="1:22" x14ac:dyDescent="0.25">
      <c r="A115" t="s">
        <v>24</v>
      </c>
      <c r="B115" s="1" t="s">
        <v>139</v>
      </c>
      <c r="H115">
        <v>98</v>
      </c>
      <c r="I115">
        <v>99</v>
      </c>
      <c r="J115">
        <v>84</v>
      </c>
      <c r="Q115">
        <v>96</v>
      </c>
      <c r="R115">
        <v>92</v>
      </c>
      <c r="S115">
        <v>66</v>
      </c>
      <c r="V115">
        <f t="shared" si="1"/>
        <v>0</v>
      </c>
    </row>
    <row r="116" spans="1:22" x14ac:dyDescent="0.25">
      <c r="A116" t="s">
        <v>24</v>
      </c>
      <c r="B116" s="1" t="s">
        <v>140</v>
      </c>
      <c r="I116">
        <v>96</v>
      </c>
      <c r="J116">
        <v>86</v>
      </c>
      <c r="Q116">
        <v>94</v>
      </c>
      <c r="R116">
        <v>60</v>
      </c>
      <c r="S116">
        <v>57</v>
      </c>
      <c r="V116">
        <f t="shared" si="1"/>
        <v>0</v>
      </c>
    </row>
    <row r="117" spans="1:22" x14ac:dyDescent="0.25">
      <c r="A117" t="s">
        <v>24</v>
      </c>
      <c r="B117" s="1" t="s">
        <v>141</v>
      </c>
      <c r="E117">
        <v>55</v>
      </c>
      <c r="I117">
        <v>97</v>
      </c>
      <c r="J117">
        <v>92</v>
      </c>
      <c r="Q117">
        <v>94</v>
      </c>
      <c r="R117">
        <v>78</v>
      </c>
      <c r="S117">
        <v>63</v>
      </c>
      <c r="V117">
        <f t="shared" si="1"/>
        <v>0</v>
      </c>
    </row>
    <row r="118" spans="1:22" x14ac:dyDescent="0.25">
      <c r="A118" t="s">
        <v>24</v>
      </c>
      <c r="B118" s="1" t="s">
        <v>142</v>
      </c>
      <c r="E118">
        <v>78</v>
      </c>
      <c r="I118">
        <v>98</v>
      </c>
      <c r="J118">
        <v>85</v>
      </c>
      <c r="Q118">
        <v>100</v>
      </c>
      <c r="R118">
        <v>92</v>
      </c>
      <c r="S118">
        <v>70</v>
      </c>
      <c r="V118">
        <f t="shared" si="1"/>
        <v>1</v>
      </c>
    </row>
    <row r="119" spans="1:22" x14ac:dyDescent="0.25">
      <c r="A119" t="s">
        <v>24</v>
      </c>
      <c r="B119" s="1" t="s">
        <v>143</v>
      </c>
      <c r="H119">
        <v>52</v>
      </c>
      <c r="I119">
        <v>96</v>
      </c>
      <c r="J119">
        <v>68</v>
      </c>
      <c r="Q119">
        <v>94</v>
      </c>
      <c r="R119">
        <v>56</v>
      </c>
      <c r="S119">
        <v>57</v>
      </c>
      <c r="V119">
        <f t="shared" si="1"/>
        <v>0</v>
      </c>
    </row>
    <row r="120" spans="1:22" x14ac:dyDescent="0.25">
      <c r="A120" t="s">
        <v>24</v>
      </c>
      <c r="B120" s="1" t="s">
        <v>144</v>
      </c>
      <c r="E120">
        <v>70</v>
      </c>
      <c r="I120">
        <v>100</v>
      </c>
      <c r="J120">
        <v>86</v>
      </c>
      <c r="Q120">
        <v>98</v>
      </c>
      <c r="R120">
        <v>78</v>
      </c>
      <c r="S120">
        <v>90</v>
      </c>
      <c r="V120">
        <f t="shared" si="1"/>
        <v>1</v>
      </c>
    </row>
    <row r="121" spans="1:22" x14ac:dyDescent="0.25">
      <c r="A121" t="s">
        <v>24</v>
      </c>
      <c r="B121" s="1" t="s">
        <v>145</v>
      </c>
      <c r="E121">
        <v>32</v>
      </c>
      <c r="I121">
        <v>96</v>
      </c>
      <c r="J121">
        <v>78</v>
      </c>
      <c r="Q121">
        <v>90</v>
      </c>
      <c r="R121">
        <v>74</v>
      </c>
      <c r="S121">
        <v>74</v>
      </c>
      <c r="V121">
        <f t="shared" si="1"/>
        <v>0</v>
      </c>
    </row>
    <row r="122" spans="1:22" x14ac:dyDescent="0.25">
      <c r="A122" t="s">
        <v>24</v>
      </c>
      <c r="B122" s="1" t="s">
        <v>146</v>
      </c>
      <c r="E122">
        <v>75</v>
      </c>
      <c r="I122">
        <v>100</v>
      </c>
      <c r="J122">
        <v>64</v>
      </c>
      <c r="Q122">
        <v>92</v>
      </c>
      <c r="R122">
        <v>74</v>
      </c>
      <c r="S122">
        <v>70</v>
      </c>
      <c r="V122">
        <f t="shared" si="1"/>
        <v>1</v>
      </c>
    </row>
    <row r="123" spans="1:22" x14ac:dyDescent="0.25">
      <c r="A123" t="s">
        <v>24</v>
      </c>
      <c r="B123" s="1" t="s">
        <v>147</v>
      </c>
      <c r="E123">
        <v>63</v>
      </c>
      <c r="I123">
        <v>96</v>
      </c>
      <c r="Q123">
        <v>96</v>
      </c>
      <c r="R123">
        <v>92</v>
      </c>
      <c r="S123">
        <v>67</v>
      </c>
      <c r="V123">
        <f t="shared" si="1"/>
        <v>0</v>
      </c>
    </row>
    <row r="124" spans="1:22" x14ac:dyDescent="0.25">
      <c r="A124" t="s">
        <v>24</v>
      </c>
      <c r="B124" s="1" t="s">
        <v>148</v>
      </c>
      <c r="I124">
        <v>98</v>
      </c>
      <c r="J124">
        <v>65</v>
      </c>
      <c r="Q124">
        <v>94</v>
      </c>
      <c r="R124">
        <v>68</v>
      </c>
      <c r="S124">
        <v>81</v>
      </c>
      <c r="V124">
        <f t="shared" si="1"/>
        <v>0</v>
      </c>
    </row>
    <row r="125" spans="1:22" x14ac:dyDescent="0.25">
      <c r="A125" t="s">
        <v>24</v>
      </c>
      <c r="B125" s="1" t="s">
        <v>149</v>
      </c>
      <c r="I125">
        <v>98</v>
      </c>
      <c r="J125">
        <v>84</v>
      </c>
      <c r="Q125">
        <v>82</v>
      </c>
      <c r="R125">
        <v>54</v>
      </c>
      <c r="S125">
        <v>73</v>
      </c>
      <c r="V125">
        <f t="shared" si="1"/>
        <v>0</v>
      </c>
    </row>
    <row r="126" spans="1:22" x14ac:dyDescent="0.25">
      <c r="A126" t="s">
        <v>24</v>
      </c>
      <c r="B126" s="1" t="s">
        <v>150</v>
      </c>
      <c r="E126">
        <v>77</v>
      </c>
      <c r="I126">
        <v>94</v>
      </c>
      <c r="J126">
        <v>86</v>
      </c>
      <c r="Q126">
        <v>98</v>
      </c>
      <c r="R126">
        <v>64</v>
      </c>
      <c r="S126">
        <v>59</v>
      </c>
      <c r="V126">
        <f t="shared" si="1"/>
        <v>0</v>
      </c>
    </row>
    <row r="127" spans="1:22" x14ac:dyDescent="0.25">
      <c r="A127" t="s">
        <v>25</v>
      </c>
      <c r="B127" s="1" t="s">
        <v>151</v>
      </c>
      <c r="I127">
        <v>96</v>
      </c>
      <c r="M127">
        <v>97</v>
      </c>
      <c r="N127">
        <v>73</v>
      </c>
      <c r="Q127">
        <v>58</v>
      </c>
      <c r="S127">
        <v>69</v>
      </c>
      <c r="T127">
        <v>65</v>
      </c>
      <c r="V127">
        <f t="shared" si="1"/>
        <v>0</v>
      </c>
    </row>
    <row r="128" spans="1:22" x14ac:dyDescent="0.25">
      <c r="A128" t="s">
        <v>25</v>
      </c>
      <c r="B128" s="1" t="s">
        <v>152</v>
      </c>
      <c r="I128">
        <v>96</v>
      </c>
      <c r="M128">
        <v>83</v>
      </c>
      <c r="N128">
        <v>61</v>
      </c>
      <c r="Q128">
        <v>68</v>
      </c>
      <c r="S128">
        <v>69</v>
      </c>
      <c r="T128">
        <v>58</v>
      </c>
      <c r="V128">
        <f t="shared" si="1"/>
        <v>0</v>
      </c>
    </row>
    <row r="129" spans="1:22" x14ac:dyDescent="0.25">
      <c r="A129" t="s">
        <v>25</v>
      </c>
      <c r="B129" s="1" t="s">
        <v>153</v>
      </c>
      <c r="I129">
        <v>88</v>
      </c>
      <c r="M129">
        <v>90</v>
      </c>
      <c r="N129">
        <v>65</v>
      </c>
      <c r="Q129">
        <v>50</v>
      </c>
      <c r="S129">
        <v>81</v>
      </c>
      <c r="T129">
        <v>58</v>
      </c>
      <c r="V129">
        <f t="shared" si="1"/>
        <v>0</v>
      </c>
    </row>
    <row r="130" spans="1:22" x14ac:dyDescent="0.25">
      <c r="A130" t="s">
        <v>25</v>
      </c>
      <c r="B130" s="1" t="s">
        <v>154</v>
      </c>
      <c r="I130">
        <v>90</v>
      </c>
      <c r="M130">
        <v>84</v>
      </c>
      <c r="N130">
        <v>68</v>
      </c>
      <c r="Q130">
        <v>58</v>
      </c>
      <c r="S130">
        <v>76</v>
      </c>
      <c r="T130">
        <v>88</v>
      </c>
      <c r="V130">
        <f t="shared" si="1"/>
        <v>0</v>
      </c>
    </row>
    <row r="131" spans="1:22" x14ac:dyDescent="0.25">
      <c r="A131" t="s">
        <v>25</v>
      </c>
      <c r="B131" s="1" t="s">
        <v>155</v>
      </c>
      <c r="F131">
        <v>85</v>
      </c>
      <c r="J131">
        <v>95</v>
      </c>
      <c r="M131">
        <v>100</v>
      </c>
      <c r="Q131">
        <v>82</v>
      </c>
      <c r="S131">
        <v>73</v>
      </c>
      <c r="T131">
        <v>88</v>
      </c>
      <c r="V131">
        <f t="shared" ref="V131:V153" si="2">COUNTIF(C131:U131,100)</f>
        <v>1</v>
      </c>
    </row>
    <row r="132" spans="1:22" x14ac:dyDescent="0.25">
      <c r="A132" t="s">
        <v>25</v>
      </c>
      <c r="B132" s="1" t="s">
        <v>156</v>
      </c>
      <c r="I132">
        <v>96</v>
      </c>
      <c r="N132">
        <v>45</v>
      </c>
      <c r="Q132">
        <v>74</v>
      </c>
      <c r="S132">
        <v>61</v>
      </c>
      <c r="T132">
        <v>83</v>
      </c>
      <c r="V132">
        <f t="shared" si="2"/>
        <v>0</v>
      </c>
    </row>
    <row r="133" spans="1:22" x14ac:dyDescent="0.25">
      <c r="A133" t="s">
        <v>25</v>
      </c>
      <c r="B133" s="1" t="s">
        <v>157</v>
      </c>
      <c r="I133">
        <v>94</v>
      </c>
      <c r="J133">
        <v>79</v>
      </c>
      <c r="N133">
        <v>79</v>
      </c>
      <c r="Q133">
        <v>64</v>
      </c>
      <c r="S133">
        <v>74</v>
      </c>
      <c r="T133">
        <v>53</v>
      </c>
      <c r="V133">
        <f t="shared" si="2"/>
        <v>0</v>
      </c>
    </row>
    <row r="134" spans="1:22" x14ac:dyDescent="0.25">
      <c r="A134" t="s">
        <v>25</v>
      </c>
      <c r="B134" s="1" t="s">
        <v>158</v>
      </c>
      <c r="F134">
        <v>38</v>
      </c>
      <c r="I134">
        <v>87</v>
      </c>
      <c r="J134">
        <v>69</v>
      </c>
      <c r="N134">
        <v>72</v>
      </c>
      <c r="Q134">
        <v>56</v>
      </c>
      <c r="S134">
        <v>54</v>
      </c>
      <c r="T134">
        <v>60</v>
      </c>
      <c r="V134">
        <f t="shared" si="2"/>
        <v>0</v>
      </c>
    </row>
    <row r="135" spans="1:22" x14ac:dyDescent="0.25">
      <c r="A135" t="s">
        <v>25</v>
      </c>
      <c r="B135" s="1" t="s">
        <v>159</v>
      </c>
      <c r="C135">
        <v>62</v>
      </c>
      <c r="D135">
        <v>35</v>
      </c>
      <c r="I135">
        <v>97</v>
      </c>
      <c r="M135">
        <v>92</v>
      </c>
      <c r="N135">
        <v>52</v>
      </c>
      <c r="Q135">
        <v>56</v>
      </c>
      <c r="S135">
        <v>67</v>
      </c>
      <c r="V135">
        <f t="shared" si="2"/>
        <v>0</v>
      </c>
    </row>
    <row r="136" spans="1:22" x14ac:dyDescent="0.25">
      <c r="A136" t="s">
        <v>25</v>
      </c>
      <c r="B136" s="1" t="s">
        <v>160</v>
      </c>
      <c r="F136">
        <v>50</v>
      </c>
      <c r="I136">
        <v>92</v>
      </c>
      <c r="M136">
        <v>84</v>
      </c>
      <c r="N136">
        <v>63</v>
      </c>
      <c r="Q136">
        <v>54</v>
      </c>
      <c r="S136">
        <v>60</v>
      </c>
      <c r="V136">
        <f t="shared" si="2"/>
        <v>0</v>
      </c>
    </row>
    <row r="137" spans="1:22" x14ac:dyDescent="0.25">
      <c r="A137" t="s">
        <v>25</v>
      </c>
      <c r="B137" s="1" t="s">
        <v>161</v>
      </c>
      <c r="F137">
        <v>82</v>
      </c>
      <c r="I137">
        <v>100</v>
      </c>
      <c r="M137">
        <v>100</v>
      </c>
      <c r="Q137">
        <v>100</v>
      </c>
      <c r="R137">
        <v>66</v>
      </c>
      <c r="S137">
        <v>73</v>
      </c>
      <c r="T137">
        <v>85</v>
      </c>
      <c r="V137">
        <f t="shared" si="2"/>
        <v>3</v>
      </c>
    </row>
    <row r="138" spans="1:22" x14ac:dyDescent="0.25">
      <c r="A138" t="s">
        <v>25</v>
      </c>
      <c r="B138" s="1" t="s">
        <v>162</v>
      </c>
      <c r="I138">
        <v>96</v>
      </c>
      <c r="N138">
        <v>79</v>
      </c>
      <c r="Q138">
        <v>56</v>
      </c>
      <c r="S138">
        <v>81</v>
      </c>
      <c r="T138">
        <v>83</v>
      </c>
      <c r="V138">
        <f t="shared" si="2"/>
        <v>0</v>
      </c>
    </row>
    <row r="139" spans="1:22" x14ac:dyDescent="0.25">
      <c r="A139" t="s">
        <v>25</v>
      </c>
      <c r="B139" s="1" t="s">
        <v>163</v>
      </c>
      <c r="G139">
        <v>66</v>
      </c>
      <c r="I139">
        <v>94</v>
      </c>
      <c r="J139">
        <v>93</v>
      </c>
      <c r="N139">
        <v>83</v>
      </c>
      <c r="Q139">
        <v>78</v>
      </c>
      <c r="S139">
        <v>90</v>
      </c>
      <c r="T139">
        <v>100</v>
      </c>
      <c r="V139">
        <f t="shared" si="2"/>
        <v>1</v>
      </c>
    </row>
    <row r="140" spans="1:22" x14ac:dyDescent="0.25">
      <c r="A140" t="s">
        <v>25</v>
      </c>
      <c r="B140" s="1" t="s">
        <v>164</v>
      </c>
      <c r="F140">
        <v>75</v>
      </c>
      <c r="I140">
        <v>99</v>
      </c>
      <c r="J140">
        <v>83</v>
      </c>
      <c r="M140">
        <v>100</v>
      </c>
      <c r="Q140">
        <v>78</v>
      </c>
      <c r="R140">
        <v>30</v>
      </c>
      <c r="S140">
        <v>79</v>
      </c>
      <c r="T140">
        <v>80</v>
      </c>
      <c r="V140">
        <f t="shared" si="2"/>
        <v>1</v>
      </c>
    </row>
    <row r="141" spans="1:22" x14ac:dyDescent="0.25">
      <c r="A141" t="s">
        <v>25</v>
      </c>
      <c r="B141" s="1" t="s">
        <v>165</v>
      </c>
      <c r="I141">
        <v>96</v>
      </c>
      <c r="M141">
        <v>98</v>
      </c>
      <c r="N141">
        <v>96</v>
      </c>
      <c r="Q141">
        <v>44</v>
      </c>
      <c r="S141">
        <v>69</v>
      </c>
      <c r="V141">
        <f t="shared" si="2"/>
        <v>0</v>
      </c>
    </row>
    <row r="142" spans="1:22" x14ac:dyDescent="0.25">
      <c r="A142" t="s">
        <v>25</v>
      </c>
      <c r="B142" s="1" t="s">
        <v>166</v>
      </c>
      <c r="G142">
        <v>24</v>
      </c>
      <c r="I142">
        <v>100</v>
      </c>
      <c r="J142">
        <v>63</v>
      </c>
      <c r="N142">
        <v>61</v>
      </c>
      <c r="Q142">
        <v>40</v>
      </c>
      <c r="S142">
        <v>76</v>
      </c>
      <c r="T142">
        <v>58</v>
      </c>
      <c r="U142">
        <v>16</v>
      </c>
      <c r="V142">
        <f t="shared" si="2"/>
        <v>1</v>
      </c>
    </row>
    <row r="143" spans="1:22" x14ac:dyDescent="0.25">
      <c r="A143" t="s">
        <v>25</v>
      </c>
      <c r="B143" s="1" t="s">
        <v>167</v>
      </c>
      <c r="G143">
        <v>72</v>
      </c>
      <c r="I143">
        <v>98</v>
      </c>
      <c r="J143">
        <v>76</v>
      </c>
      <c r="N143">
        <v>77</v>
      </c>
      <c r="Q143">
        <v>64</v>
      </c>
      <c r="S143">
        <v>79</v>
      </c>
      <c r="T143">
        <v>75</v>
      </c>
      <c r="U143">
        <v>46</v>
      </c>
      <c r="V143">
        <f t="shared" si="2"/>
        <v>0</v>
      </c>
    </row>
    <row r="144" spans="1:22" x14ac:dyDescent="0.25">
      <c r="A144" t="s">
        <v>25</v>
      </c>
      <c r="B144" s="1" t="s">
        <v>168</v>
      </c>
      <c r="I144">
        <v>96</v>
      </c>
      <c r="J144">
        <v>71</v>
      </c>
      <c r="N144">
        <v>70</v>
      </c>
      <c r="Q144">
        <v>40</v>
      </c>
      <c r="S144">
        <v>37</v>
      </c>
      <c r="T144">
        <v>55</v>
      </c>
      <c r="V144">
        <f t="shared" si="2"/>
        <v>0</v>
      </c>
    </row>
    <row r="145" spans="1:22" x14ac:dyDescent="0.25">
      <c r="A145" t="s">
        <v>25</v>
      </c>
      <c r="B145" s="1" t="s">
        <v>169</v>
      </c>
      <c r="J145">
        <v>89</v>
      </c>
      <c r="M145">
        <v>96</v>
      </c>
      <c r="Q145">
        <v>56</v>
      </c>
      <c r="S145">
        <v>57</v>
      </c>
      <c r="T145">
        <v>63</v>
      </c>
      <c r="V145">
        <f t="shared" si="2"/>
        <v>0</v>
      </c>
    </row>
    <row r="146" spans="1:22" x14ac:dyDescent="0.25">
      <c r="A146" t="s">
        <v>25</v>
      </c>
      <c r="B146" s="1" t="s">
        <v>170</v>
      </c>
      <c r="J146">
        <v>74</v>
      </c>
      <c r="M146">
        <v>98</v>
      </c>
      <c r="Q146">
        <v>66</v>
      </c>
      <c r="S146">
        <v>56</v>
      </c>
      <c r="V146">
        <f t="shared" si="2"/>
        <v>0</v>
      </c>
    </row>
    <row r="147" spans="1:22" x14ac:dyDescent="0.25">
      <c r="A147" t="s">
        <v>25</v>
      </c>
      <c r="B147" s="1" t="s">
        <v>171</v>
      </c>
      <c r="L147">
        <v>73</v>
      </c>
      <c r="M147">
        <v>98</v>
      </c>
      <c r="N147">
        <v>82</v>
      </c>
      <c r="Q147">
        <v>68</v>
      </c>
      <c r="S147">
        <v>50</v>
      </c>
      <c r="T147">
        <v>70</v>
      </c>
      <c r="V147">
        <f t="shared" si="2"/>
        <v>0</v>
      </c>
    </row>
    <row r="148" spans="1:22" x14ac:dyDescent="0.25">
      <c r="A148" t="s">
        <v>25</v>
      </c>
      <c r="B148" s="1" t="s">
        <v>172</v>
      </c>
      <c r="C148">
        <v>18</v>
      </c>
      <c r="D148">
        <v>12</v>
      </c>
      <c r="I148">
        <v>70</v>
      </c>
      <c r="M148">
        <v>58</v>
      </c>
      <c r="Q148">
        <v>58</v>
      </c>
      <c r="S148">
        <v>43</v>
      </c>
      <c r="V148">
        <f t="shared" si="2"/>
        <v>0</v>
      </c>
    </row>
    <row r="149" spans="1:22" x14ac:dyDescent="0.25">
      <c r="A149" t="s">
        <v>25</v>
      </c>
      <c r="B149" s="1" t="s">
        <v>173</v>
      </c>
      <c r="J149">
        <v>78</v>
      </c>
      <c r="M149">
        <v>100</v>
      </c>
      <c r="Q149">
        <v>96</v>
      </c>
      <c r="R149">
        <v>40</v>
      </c>
      <c r="S149">
        <v>80</v>
      </c>
      <c r="V149">
        <f t="shared" si="2"/>
        <v>1</v>
      </c>
    </row>
    <row r="150" spans="1:22" x14ac:dyDescent="0.25">
      <c r="A150" t="s">
        <v>25</v>
      </c>
      <c r="B150" s="1" t="s">
        <v>174</v>
      </c>
      <c r="I150">
        <v>90</v>
      </c>
      <c r="M150">
        <v>92</v>
      </c>
      <c r="N150">
        <v>71</v>
      </c>
      <c r="Q150">
        <v>38</v>
      </c>
      <c r="S150">
        <v>47</v>
      </c>
      <c r="T150">
        <v>58</v>
      </c>
      <c r="V150">
        <f t="shared" si="2"/>
        <v>0</v>
      </c>
    </row>
    <row r="151" spans="1:22" x14ac:dyDescent="0.25">
      <c r="A151" t="s">
        <v>25</v>
      </c>
      <c r="B151" s="1" t="s">
        <v>175</v>
      </c>
      <c r="F151">
        <v>53</v>
      </c>
      <c r="I151">
        <v>98</v>
      </c>
      <c r="J151">
        <v>66</v>
      </c>
      <c r="N151">
        <v>67</v>
      </c>
      <c r="Q151">
        <v>62</v>
      </c>
      <c r="S151">
        <v>71</v>
      </c>
      <c r="T151">
        <v>63</v>
      </c>
      <c r="V151">
        <f t="shared" si="2"/>
        <v>0</v>
      </c>
    </row>
    <row r="152" spans="1:22" x14ac:dyDescent="0.25">
      <c r="A152" t="s">
        <v>25</v>
      </c>
      <c r="B152" s="1" t="s">
        <v>176</v>
      </c>
      <c r="F152">
        <v>52</v>
      </c>
      <c r="I152">
        <v>98</v>
      </c>
      <c r="M152">
        <v>93</v>
      </c>
      <c r="N152">
        <v>70</v>
      </c>
      <c r="Q152">
        <v>58</v>
      </c>
      <c r="R152">
        <v>36</v>
      </c>
      <c r="S152">
        <v>41</v>
      </c>
      <c r="V152">
        <f t="shared" si="2"/>
        <v>0</v>
      </c>
    </row>
    <row r="153" spans="1:22" x14ac:dyDescent="0.25">
      <c r="A153" t="s">
        <v>25</v>
      </c>
      <c r="B153" s="1" t="s">
        <v>177</v>
      </c>
      <c r="C153">
        <v>43</v>
      </c>
      <c r="D153">
        <v>43</v>
      </c>
      <c r="I153">
        <v>95</v>
      </c>
      <c r="N153">
        <v>70</v>
      </c>
      <c r="Q153">
        <v>62</v>
      </c>
      <c r="S153">
        <v>59</v>
      </c>
      <c r="V153">
        <f t="shared" si="2"/>
        <v>0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"/>
  <sheetViews>
    <sheetView topLeftCell="B1" workbookViewId="0">
      <selection activeCell="U1" sqref="A1:U1"/>
    </sheetView>
  </sheetViews>
  <sheetFormatPr defaultRowHeight="15" x14ac:dyDescent="0.25"/>
  <cols>
    <col min="1" max="1" width="6.5703125" bestFit="1" customWidth="1"/>
    <col min="2" max="2" width="13.7109375" customWidth="1"/>
    <col min="3" max="3" width="10" bestFit="1" customWidth="1"/>
    <col min="4" max="4" width="9.5703125" bestFit="1" customWidth="1"/>
    <col min="5" max="5" width="8.28515625" bestFit="1" customWidth="1"/>
    <col min="6" max="6" width="11.42578125" bestFit="1" customWidth="1"/>
    <col min="7" max="7" width="9.7109375" bestFit="1" customWidth="1"/>
    <col min="8" max="8" width="13.7109375" bestFit="1" customWidth="1"/>
    <col min="9" max="10" width="11" bestFit="1" customWidth="1"/>
    <col min="11" max="12" width="11.140625" bestFit="1" customWidth="1"/>
    <col min="13" max="14" width="12.140625" bestFit="1" customWidth="1"/>
    <col min="15" max="16" width="11.85546875" bestFit="1" customWidth="1"/>
    <col min="17" max="18" width="14" bestFit="1" customWidth="1"/>
    <col min="19" max="20" width="8.140625" bestFit="1" customWidth="1"/>
    <col min="21" max="21" width="7.140625" bestFit="1" customWidth="1"/>
  </cols>
  <sheetData>
    <row r="1" spans="1:2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s="1" t="s">
        <v>26</v>
      </c>
      <c r="C2">
        <v>52</v>
      </c>
      <c r="I2">
        <v>100</v>
      </c>
      <c r="J2">
        <v>91</v>
      </c>
      <c r="L2">
        <v>88</v>
      </c>
      <c r="Q2">
        <v>80</v>
      </c>
      <c r="S2">
        <v>67</v>
      </c>
    </row>
    <row r="3" spans="1:21" x14ac:dyDescent="0.25">
      <c r="A3" t="s">
        <v>21</v>
      </c>
      <c r="B3" s="1" t="s">
        <v>27</v>
      </c>
      <c r="C3">
        <v>33</v>
      </c>
      <c r="D3">
        <v>52</v>
      </c>
      <c r="I3">
        <v>73</v>
      </c>
      <c r="Q3">
        <v>56</v>
      </c>
      <c r="S3">
        <v>40</v>
      </c>
    </row>
    <row r="4" spans="1:21" x14ac:dyDescent="0.25">
      <c r="A4" t="s">
        <v>21</v>
      </c>
      <c r="B4" s="1" t="s">
        <v>28</v>
      </c>
      <c r="C4">
        <v>70</v>
      </c>
      <c r="D4">
        <v>58</v>
      </c>
      <c r="I4">
        <v>92</v>
      </c>
      <c r="Q4">
        <v>60</v>
      </c>
      <c r="S4">
        <v>61</v>
      </c>
    </row>
    <row r="5" spans="1:21" x14ac:dyDescent="0.25">
      <c r="A5" t="s">
        <v>21</v>
      </c>
      <c r="B5" s="1" t="s">
        <v>29</v>
      </c>
      <c r="C5">
        <v>90</v>
      </c>
      <c r="D5">
        <v>78</v>
      </c>
      <c r="I5">
        <v>98</v>
      </c>
      <c r="J5">
        <v>68</v>
      </c>
      <c r="Q5">
        <v>70</v>
      </c>
      <c r="S5">
        <v>73</v>
      </c>
    </row>
    <row r="6" spans="1:21" x14ac:dyDescent="0.25">
      <c r="A6" t="s">
        <v>21</v>
      </c>
      <c r="B6" s="1" t="s">
        <v>30</v>
      </c>
      <c r="C6">
        <v>62</v>
      </c>
      <c r="D6">
        <v>62</v>
      </c>
      <c r="I6">
        <v>87</v>
      </c>
      <c r="Q6">
        <v>70</v>
      </c>
      <c r="S6">
        <v>51</v>
      </c>
    </row>
    <row r="7" spans="1:21" x14ac:dyDescent="0.25">
      <c r="A7" t="s">
        <v>21</v>
      </c>
      <c r="B7" s="1" t="s">
        <v>31</v>
      </c>
      <c r="C7">
        <v>65</v>
      </c>
      <c r="D7">
        <v>65</v>
      </c>
      <c r="I7">
        <v>75</v>
      </c>
      <c r="Q7">
        <v>48</v>
      </c>
      <c r="S7">
        <v>40</v>
      </c>
    </row>
    <row r="8" spans="1:21" x14ac:dyDescent="0.25">
      <c r="A8" t="s">
        <v>21</v>
      </c>
      <c r="B8" s="1" t="s">
        <v>32</v>
      </c>
      <c r="D8">
        <v>58</v>
      </c>
      <c r="I8">
        <v>96</v>
      </c>
      <c r="J8">
        <v>61</v>
      </c>
      <c r="Q8">
        <v>94</v>
      </c>
      <c r="R8">
        <v>34</v>
      </c>
      <c r="S8">
        <v>74</v>
      </c>
    </row>
    <row r="9" spans="1:21" x14ac:dyDescent="0.25">
      <c r="A9" t="s">
        <v>21</v>
      </c>
      <c r="B9" s="1" t="s">
        <v>33</v>
      </c>
      <c r="C9">
        <v>77</v>
      </c>
      <c r="D9">
        <v>85</v>
      </c>
      <c r="I9">
        <v>96</v>
      </c>
      <c r="Q9">
        <v>96</v>
      </c>
      <c r="S9">
        <v>77</v>
      </c>
    </row>
    <row r="10" spans="1:21" x14ac:dyDescent="0.25">
      <c r="A10" t="s">
        <v>21</v>
      </c>
      <c r="B10" s="1" t="s">
        <v>34</v>
      </c>
      <c r="C10">
        <v>93</v>
      </c>
      <c r="D10">
        <v>67</v>
      </c>
      <c r="I10">
        <v>84</v>
      </c>
      <c r="Q10">
        <v>86</v>
      </c>
      <c r="S10">
        <v>73</v>
      </c>
    </row>
    <row r="11" spans="1:21" x14ac:dyDescent="0.25">
      <c r="A11" t="s">
        <v>21</v>
      </c>
      <c r="B11" s="1" t="s">
        <v>35</v>
      </c>
      <c r="C11">
        <v>57</v>
      </c>
      <c r="D11">
        <v>47</v>
      </c>
      <c r="I11">
        <v>87</v>
      </c>
      <c r="Q11">
        <v>40</v>
      </c>
      <c r="S11">
        <v>43</v>
      </c>
    </row>
    <row r="12" spans="1:21" x14ac:dyDescent="0.25">
      <c r="A12" t="s">
        <v>21</v>
      </c>
      <c r="B12" s="1" t="s">
        <v>36</v>
      </c>
      <c r="C12">
        <v>60</v>
      </c>
      <c r="I12">
        <v>96</v>
      </c>
      <c r="J12">
        <v>89</v>
      </c>
      <c r="Q12">
        <v>70</v>
      </c>
      <c r="S12">
        <v>76</v>
      </c>
    </row>
    <row r="13" spans="1:21" x14ac:dyDescent="0.25">
      <c r="A13" t="s">
        <v>21</v>
      </c>
      <c r="B13" s="1" t="s">
        <v>37</v>
      </c>
      <c r="F13">
        <v>90</v>
      </c>
      <c r="I13">
        <v>100</v>
      </c>
      <c r="J13">
        <v>100</v>
      </c>
      <c r="O13">
        <v>100</v>
      </c>
      <c r="Q13">
        <v>98</v>
      </c>
      <c r="R13">
        <v>86</v>
      </c>
      <c r="S13">
        <v>80</v>
      </c>
    </row>
    <row r="14" spans="1:21" x14ac:dyDescent="0.25">
      <c r="A14" t="s">
        <v>21</v>
      </c>
      <c r="B14" s="1" t="s">
        <v>38</v>
      </c>
      <c r="C14">
        <v>95</v>
      </c>
      <c r="D14">
        <v>88</v>
      </c>
      <c r="I14">
        <v>92</v>
      </c>
      <c r="Q14">
        <v>92</v>
      </c>
      <c r="S14">
        <v>79</v>
      </c>
    </row>
    <row r="15" spans="1:21" x14ac:dyDescent="0.25">
      <c r="A15" t="s">
        <v>21</v>
      </c>
      <c r="B15" s="1" t="s">
        <v>39</v>
      </c>
      <c r="C15">
        <v>75</v>
      </c>
      <c r="D15">
        <v>67</v>
      </c>
      <c r="I15">
        <v>91</v>
      </c>
      <c r="Q15">
        <v>88</v>
      </c>
      <c r="S15">
        <v>59</v>
      </c>
    </row>
    <row r="16" spans="1:21" x14ac:dyDescent="0.25">
      <c r="A16" t="s">
        <v>21</v>
      </c>
      <c r="B16" s="1" t="s">
        <v>40</v>
      </c>
      <c r="C16">
        <v>85</v>
      </c>
      <c r="D16">
        <v>83</v>
      </c>
      <c r="E16">
        <v>48</v>
      </c>
      <c r="I16">
        <v>94</v>
      </c>
      <c r="Q16">
        <v>92</v>
      </c>
      <c r="S16">
        <v>56</v>
      </c>
    </row>
    <row r="17" spans="1:19" x14ac:dyDescent="0.25">
      <c r="A17" t="s">
        <v>21</v>
      </c>
      <c r="B17" s="1" t="s">
        <v>41</v>
      </c>
      <c r="C17">
        <v>62</v>
      </c>
      <c r="D17">
        <v>48</v>
      </c>
      <c r="I17">
        <v>85</v>
      </c>
      <c r="Q17">
        <v>58</v>
      </c>
      <c r="S17">
        <v>59</v>
      </c>
    </row>
    <row r="18" spans="1:19" x14ac:dyDescent="0.25">
      <c r="A18" t="s">
        <v>21</v>
      </c>
      <c r="B18" s="1" t="s">
        <v>42</v>
      </c>
      <c r="C18">
        <v>68</v>
      </c>
      <c r="D18">
        <v>62</v>
      </c>
      <c r="I18">
        <v>99</v>
      </c>
      <c r="J18">
        <v>93</v>
      </c>
      <c r="Q18">
        <v>78</v>
      </c>
      <c r="S18">
        <v>54</v>
      </c>
    </row>
    <row r="19" spans="1:19" x14ac:dyDescent="0.25">
      <c r="A19" t="s">
        <v>21</v>
      </c>
      <c r="B19" s="1" t="s">
        <v>43</v>
      </c>
      <c r="C19">
        <v>55</v>
      </c>
      <c r="D19">
        <v>62</v>
      </c>
      <c r="I19">
        <v>96</v>
      </c>
      <c r="J19">
        <v>86</v>
      </c>
      <c r="Q19">
        <v>92</v>
      </c>
      <c r="S19">
        <v>73</v>
      </c>
    </row>
    <row r="20" spans="1:19" x14ac:dyDescent="0.25">
      <c r="A20" t="s">
        <v>21</v>
      </c>
      <c r="B20" s="1" t="s">
        <v>44</v>
      </c>
      <c r="C20">
        <v>68</v>
      </c>
      <c r="D20">
        <v>45</v>
      </c>
      <c r="I20">
        <v>92</v>
      </c>
      <c r="Q20">
        <v>78</v>
      </c>
      <c r="S20">
        <v>56</v>
      </c>
    </row>
    <row r="21" spans="1:19" x14ac:dyDescent="0.25">
      <c r="A21" t="s">
        <v>21</v>
      </c>
      <c r="B21" s="1" t="s">
        <v>45</v>
      </c>
      <c r="C21">
        <v>78</v>
      </c>
      <c r="I21">
        <v>95</v>
      </c>
      <c r="J21">
        <v>77</v>
      </c>
      <c r="Q21">
        <v>64</v>
      </c>
      <c r="S21">
        <v>84</v>
      </c>
    </row>
    <row r="22" spans="1:19" x14ac:dyDescent="0.25">
      <c r="A22" t="s">
        <v>21</v>
      </c>
      <c r="B22" s="1" t="s">
        <v>46</v>
      </c>
      <c r="C22">
        <v>72</v>
      </c>
      <c r="D22">
        <v>68</v>
      </c>
      <c r="I22">
        <v>92</v>
      </c>
      <c r="Q22">
        <v>70</v>
      </c>
      <c r="S22">
        <v>64</v>
      </c>
    </row>
    <row r="23" spans="1:19" x14ac:dyDescent="0.25">
      <c r="A23" t="s">
        <v>21</v>
      </c>
      <c r="B23" s="1" t="s">
        <v>47</v>
      </c>
      <c r="C23">
        <v>55</v>
      </c>
      <c r="D23">
        <v>50</v>
      </c>
      <c r="I23">
        <v>84</v>
      </c>
      <c r="Q23">
        <v>58</v>
      </c>
      <c r="S23">
        <v>54</v>
      </c>
    </row>
    <row r="24" spans="1:19" x14ac:dyDescent="0.25">
      <c r="A24" t="s">
        <v>21</v>
      </c>
      <c r="B24" s="1" t="s">
        <v>48</v>
      </c>
      <c r="C24">
        <v>67</v>
      </c>
      <c r="D24">
        <v>60</v>
      </c>
      <c r="I24">
        <v>92</v>
      </c>
      <c r="Q24">
        <v>76</v>
      </c>
      <c r="S24">
        <v>50</v>
      </c>
    </row>
    <row r="25" spans="1:19" x14ac:dyDescent="0.25">
      <c r="A25" t="s">
        <v>21</v>
      </c>
      <c r="B25" s="1" t="s">
        <v>49</v>
      </c>
      <c r="C25">
        <v>45</v>
      </c>
      <c r="D25">
        <v>30</v>
      </c>
      <c r="I25">
        <v>61</v>
      </c>
      <c r="Q25">
        <v>50</v>
      </c>
      <c r="S25">
        <v>33</v>
      </c>
    </row>
    <row r="26" spans="1:19" x14ac:dyDescent="0.25">
      <c r="A26" t="s">
        <v>21</v>
      </c>
      <c r="B26" s="1" t="s">
        <v>50</v>
      </c>
      <c r="C26">
        <v>83</v>
      </c>
      <c r="D26">
        <v>50</v>
      </c>
      <c r="I26">
        <v>100</v>
      </c>
      <c r="J26">
        <v>83</v>
      </c>
      <c r="Q26">
        <v>62</v>
      </c>
      <c r="S26">
        <v>76</v>
      </c>
    </row>
    <row r="27" spans="1:19" x14ac:dyDescent="0.25">
      <c r="A27" t="s">
        <v>21</v>
      </c>
      <c r="B27" s="1" t="s">
        <v>51</v>
      </c>
      <c r="C27">
        <v>80</v>
      </c>
      <c r="I27">
        <v>99</v>
      </c>
      <c r="J27">
        <v>83</v>
      </c>
      <c r="Q27">
        <v>72</v>
      </c>
      <c r="S27">
        <v>84</v>
      </c>
    </row>
    <row r="28" spans="1:19" x14ac:dyDescent="0.25">
      <c r="A28" t="s">
        <v>21</v>
      </c>
      <c r="B28" s="1" t="s">
        <v>52</v>
      </c>
      <c r="C28">
        <v>70</v>
      </c>
      <c r="D28">
        <v>60</v>
      </c>
      <c r="I28">
        <v>91</v>
      </c>
      <c r="Q28">
        <v>80</v>
      </c>
      <c r="S28">
        <v>74</v>
      </c>
    </row>
    <row r="29" spans="1:19" x14ac:dyDescent="0.25">
      <c r="A29" t="s">
        <v>21</v>
      </c>
      <c r="B29" s="1" t="s">
        <v>53</v>
      </c>
      <c r="E29">
        <v>55</v>
      </c>
      <c r="I29">
        <v>96</v>
      </c>
      <c r="J29">
        <v>86</v>
      </c>
      <c r="Q29">
        <v>86</v>
      </c>
      <c r="S29">
        <v>64</v>
      </c>
    </row>
    <row r="30" spans="1:19" x14ac:dyDescent="0.25">
      <c r="A30" t="s">
        <v>21</v>
      </c>
      <c r="B30" s="1" t="s">
        <v>54</v>
      </c>
      <c r="C30">
        <v>73</v>
      </c>
      <c r="D30">
        <v>78</v>
      </c>
      <c r="I30">
        <v>96</v>
      </c>
      <c r="Q30">
        <v>82</v>
      </c>
      <c r="S30">
        <v>60</v>
      </c>
    </row>
    <row r="31" spans="1:19" x14ac:dyDescent="0.25">
      <c r="A31" t="s">
        <v>21</v>
      </c>
      <c r="B31" s="1" t="s">
        <v>55</v>
      </c>
      <c r="C31">
        <v>80</v>
      </c>
      <c r="D31">
        <v>60</v>
      </c>
      <c r="I31">
        <v>88</v>
      </c>
      <c r="J31">
        <v>67</v>
      </c>
      <c r="Q31">
        <v>80</v>
      </c>
      <c r="S31">
        <v>63</v>
      </c>
    </row>
    <row r="32" spans="1:19" x14ac:dyDescent="0.25">
      <c r="A32" t="s">
        <v>21</v>
      </c>
      <c r="B32" s="1" t="s">
        <v>56</v>
      </c>
      <c r="C32">
        <v>93</v>
      </c>
      <c r="D32">
        <v>88</v>
      </c>
      <c r="I32">
        <v>100</v>
      </c>
      <c r="J32">
        <v>76</v>
      </c>
      <c r="Q32">
        <v>92</v>
      </c>
      <c r="S32">
        <v>76</v>
      </c>
    </row>
    <row r="33" spans="1:21" x14ac:dyDescent="0.25">
      <c r="A33" t="s">
        <v>21</v>
      </c>
      <c r="B33" s="1" t="s">
        <v>57</v>
      </c>
      <c r="C33">
        <v>85</v>
      </c>
      <c r="D33">
        <v>93</v>
      </c>
      <c r="E33">
        <v>82</v>
      </c>
      <c r="I33">
        <v>96</v>
      </c>
      <c r="Q33">
        <v>94</v>
      </c>
      <c r="R33">
        <v>74</v>
      </c>
      <c r="S33">
        <v>66</v>
      </c>
    </row>
    <row r="34" spans="1:21" x14ac:dyDescent="0.25">
      <c r="A34" t="s">
        <v>21</v>
      </c>
      <c r="B34" s="1" t="s">
        <v>58</v>
      </c>
      <c r="C34">
        <v>90</v>
      </c>
      <c r="D34">
        <v>82</v>
      </c>
      <c r="I34">
        <v>92</v>
      </c>
      <c r="Q34">
        <v>86</v>
      </c>
      <c r="S34">
        <v>63</v>
      </c>
    </row>
    <row r="35" spans="1:21" x14ac:dyDescent="0.25">
      <c r="A35" t="s">
        <v>21</v>
      </c>
      <c r="B35" s="1" t="s">
        <v>59</v>
      </c>
      <c r="C35">
        <v>87</v>
      </c>
      <c r="I35">
        <v>100</v>
      </c>
      <c r="Q35">
        <v>82</v>
      </c>
      <c r="S35">
        <v>79</v>
      </c>
      <c r="T35">
        <v>73</v>
      </c>
      <c r="U35">
        <v>64</v>
      </c>
    </row>
    <row r="36" spans="1:21" x14ac:dyDescent="0.25">
      <c r="A36" t="s">
        <v>22</v>
      </c>
      <c r="B36" s="1" t="s">
        <v>60</v>
      </c>
      <c r="I36">
        <v>93</v>
      </c>
      <c r="J36">
        <v>60</v>
      </c>
      <c r="Q36">
        <v>46</v>
      </c>
      <c r="S36">
        <v>60</v>
      </c>
      <c r="T36">
        <v>75</v>
      </c>
    </row>
    <row r="37" spans="1:21" x14ac:dyDescent="0.25">
      <c r="A37" t="s">
        <v>22</v>
      </c>
      <c r="B37" s="1" t="s">
        <v>61</v>
      </c>
      <c r="I37">
        <v>96</v>
      </c>
      <c r="J37">
        <v>87</v>
      </c>
      <c r="Q37">
        <v>50</v>
      </c>
      <c r="S37">
        <v>40</v>
      </c>
      <c r="T37">
        <v>70</v>
      </c>
      <c r="U37">
        <v>44</v>
      </c>
    </row>
    <row r="38" spans="1:21" x14ac:dyDescent="0.25">
      <c r="A38" t="s">
        <v>22</v>
      </c>
      <c r="B38" s="1" t="s">
        <v>62</v>
      </c>
      <c r="G38">
        <v>92</v>
      </c>
      <c r="I38">
        <v>100</v>
      </c>
      <c r="J38">
        <v>81</v>
      </c>
      <c r="Q38">
        <v>88</v>
      </c>
      <c r="S38">
        <v>57</v>
      </c>
      <c r="T38">
        <v>70</v>
      </c>
    </row>
    <row r="39" spans="1:21" x14ac:dyDescent="0.25">
      <c r="A39" t="s">
        <v>22</v>
      </c>
      <c r="B39" s="1" t="s">
        <v>63</v>
      </c>
      <c r="G39">
        <v>86</v>
      </c>
      <c r="I39">
        <v>100</v>
      </c>
      <c r="J39">
        <v>90</v>
      </c>
      <c r="Q39">
        <v>70</v>
      </c>
      <c r="S39">
        <v>56</v>
      </c>
      <c r="T39">
        <v>68</v>
      </c>
      <c r="U39">
        <v>78</v>
      </c>
    </row>
    <row r="40" spans="1:21" x14ac:dyDescent="0.25">
      <c r="A40" t="s">
        <v>22</v>
      </c>
      <c r="B40" s="1" t="s">
        <v>64</v>
      </c>
      <c r="G40">
        <v>90</v>
      </c>
      <c r="I40">
        <v>96</v>
      </c>
      <c r="J40">
        <v>93</v>
      </c>
      <c r="Q40">
        <v>86</v>
      </c>
      <c r="R40">
        <v>36</v>
      </c>
      <c r="S40">
        <v>53</v>
      </c>
      <c r="T40">
        <v>73</v>
      </c>
      <c r="U40">
        <v>100</v>
      </c>
    </row>
    <row r="41" spans="1:21" x14ac:dyDescent="0.25">
      <c r="A41" t="s">
        <v>22</v>
      </c>
      <c r="B41" s="1" t="s">
        <v>65</v>
      </c>
      <c r="I41">
        <v>59</v>
      </c>
      <c r="J41">
        <v>44</v>
      </c>
      <c r="Q41">
        <v>34</v>
      </c>
      <c r="S41">
        <v>30</v>
      </c>
      <c r="T41">
        <v>53</v>
      </c>
      <c r="U41">
        <v>34</v>
      </c>
    </row>
    <row r="42" spans="1:21" x14ac:dyDescent="0.25">
      <c r="A42" t="s">
        <v>22</v>
      </c>
      <c r="B42" s="1" t="s">
        <v>66</v>
      </c>
      <c r="G42">
        <v>88</v>
      </c>
      <c r="I42">
        <v>98</v>
      </c>
      <c r="J42">
        <v>95</v>
      </c>
      <c r="P42">
        <v>69</v>
      </c>
      <c r="Q42">
        <v>68</v>
      </c>
      <c r="S42">
        <v>70</v>
      </c>
      <c r="T42">
        <v>80</v>
      </c>
      <c r="U42">
        <v>72</v>
      </c>
    </row>
    <row r="43" spans="1:21" x14ac:dyDescent="0.25">
      <c r="A43" t="s">
        <v>22</v>
      </c>
      <c r="B43" s="1" t="s">
        <v>67</v>
      </c>
      <c r="G43">
        <v>92</v>
      </c>
      <c r="I43">
        <v>93</v>
      </c>
      <c r="J43">
        <v>95</v>
      </c>
      <c r="Q43">
        <v>56</v>
      </c>
      <c r="S43">
        <v>79</v>
      </c>
      <c r="T43">
        <v>55</v>
      </c>
      <c r="U43">
        <v>72</v>
      </c>
    </row>
    <row r="44" spans="1:21" x14ac:dyDescent="0.25">
      <c r="A44" t="s">
        <v>22</v>
      </c>
      <c r="B44" s="1" t="s">
        <v>68</v>
      </c>
      <c r="G44">
        <v>94</v>
      </c>
      <c r="I44">
        <v>90</v>
      </c>
      <c r="J44">
        <v>67</v>
      </c>
      <c r="Q44">
        <v>40</v>
      </c>
      <c r="S44">
        <v>80</v>
      </c>
      <c r="T44">
        <v>60</v>
      </c>
    </row>
    <row r="45" spans="1:21" x14ac:dyDescent="0.25">
      <c r="A45" t="s">
        <v>22</v>
      </c>
      <c r="B45" s="1" t="s">
        <v>69</v>
      </c>
      <c r="G45">
        <v>66</v>
      </c>
      <c r="I45">
        <v>98</v>
      </c>
      <c r="J45">
        <v>67</v>
      </c>
      <c r="Q45">
        <v>50</v>
      </c>
      <c r="S45">
        <v>54</v>
      </c>
      <c r="T45">
        <v>80</v>
      </c>
      <c r="U45">
        <v>68</v>
      </c>
    </row>
    <row r="46" spans="1:21" x14ac:dyDescent="0.25">
      <c r="A46" t="s">
        <v>22</v>
      </c>
      <c r="B46" s="1" t="s">
        <v>70</v>
      </c>
      <c r="I46">
        <v>100</v>
      </c>
      <c r="J46">
        <v>92</v>
      </c>
      <c r="Q46">
        <v>70</v>
      </c>
      <c r="S46">
        <v>63</v>
      </c>
      <c r="T46">
        <v>45</v>
      </c>
    </row>
    <row r="47" spans="1:21" x14ac:dyDescent="0.25">
      <c r="A47" t="s">
        <v>22</v>
      </c>
      <c r="B47" s="1" t="s">
        <v>71</v>
      </c>
      <c r="I47">
        <v>96</v>
      </c>
      <c r="J47">
        <v>63</v>
      </c>
      <c r="Q47">
        <v>64</v>
      </c>
      <c r="S47">
        <v>63</v>
      </c>
      <c r="T47">
        <v>58</v>
      </c>
      <c r="U47">
        <v>48</v>
      </c>
    </row>
    <row r="48" spans="1:21" x14ac:dyDescent="0.25">
      <c r="A48" t="s">
        <v>22</v>
      </c>
      <c r="B48" s="1" t="s">
        <v>72</v>
      </c>
      <c r="I48">
        <v>96</v>
      </c>
      <c r="J48">
        <v>69</v>
      </c>
      <c r="Q48">
        <v>68</v>
      </c>
      <c r="S48">
        <v>51</v>
      </c>
      <c r="T48">
        <v>70</v>
      </c>
      <c r="U48">
        <v>38</v>
      </c>
    </row>
    <row r="49" spans="1:21" x14ac:dyDescent="0.25">
      <c r="A49" t="s">
        <v>22</v>
      </c>
      <c r="B49" s="1" t="s">
        <v>73</v>
      </c>
      <c r="C49">
        <v>73</v>
      </c>
      <c r="D49">
        <v>65</v>
      </c>
      <c r="I49">
        <v>80</v>
      </c>
      <c r="Q49">
        <v>52</v>
      </c>
      <c r="S49">
        <v>56</v>
      </c>
    </row>
    <row r="50" spans="1:21" x14ac:dyDescent="0.25">
      <c r="A50" t="s">
        <v>22</v>
      </c>
      <c r="B50" s="1" t="s">
        <v>74</v>
      </c>
      <c r="C50">
        <v>50</v>
      </c>
      <c r="D50">
        <v>47</v>
      </c>
      <c r="I50">
        <v>92</v>
      </c>
      <c r="Q50">
        <v>58</v>
      </c>
      <c r="S50">
        <v>51</v>
      </c>
    </row>
    <row r="51" spans="1:21" x14ac:dyDescent="0.25">
      <c r="A51" t="s">
        <v>22</v>
      </c>
      <c r="B51" s="1" t="s">
        <v>75</v>
      </c>
      <c r="G51">
        <v>92</v>
      </c>
      <c r="I51">
        <v>92</v>
      </c>
      <c r="J51">
        <v>59</v>
      </c>
      <c r="Q51">
        <v>72</v>
      </c>
      <c r="S51">
        <v>41</v>
      </c>
      <c r="T51">
        <v>60</v>
      </c>
      <c r="U51">
        <v>68</v>
      </c>
    </row>
    <row r="52" spans="1:21" x14ac:dyDescent="0.25">
      <c r="A52" t="s">
        <v>22</v>
      </c>
      <c r="B52" s="1" t="s">
        <v>76</v>
      </c>
      <c r="C52">
        <v>73</v>
      </c>
      <c r="I52">
        <v>97</v>
      </c>
      <c r="J52">
        <v>74</v>
      </c>
      <c r="Q52">
        <v>56</v>
      </c>
      <c r="S52">
        <v>60</v>
      </c>
      <c r="T52">
        <v>73</v>
      </c>
    </row>
    <row r="53" spans="1:21" x14ac:dyDescent="0.25">
      <c r="A53" t="s">
        <v>22</v>
      </c>
      <c r="B53" s="1" t="s">
        <v>77</v>
      </c>
      <c r="G53">
        <v>80</v>
      </c>
      <c r="I53">
        <v>97</v>
      </c>
      <c r="J53">
        <v>83</v>
      </c>
      <c r="Q53">
        <v>44</v>
      </c>
      <c r="S53">
        <v>66</v>
      </c>
      <c r="T53">
        <v>63</v>
      </c>
    </row>
    <row r="54" spans="1:21" x14ac:dyDescent="0.25">
      <c r="A54" t="s">
        <v>22</v>
      </c>
      <c r="B54" s="1" t="s">
        <v>78</v>
      </c>
      <c r="C54">
        <v>35</v>
      </c>
      <c r="I54">
        <v>96</v>
      </c>
      <c r="J54">
        <v>84</v>
      </c>
      <c r="Q54">
        <v>32</v>
      </c>
      <c r="S54">
        <v>51</v>
      </c>
      <c r="T54">
        <v>63</v>
      </c>
    </row>
    <row r="55" spans="1:21" x14ac:dyDescent="0.25">
      <c r="A55" t="s">
        <v>22</v>
      </c>
      <c r="B55" s="1" t="s">
        <v>79</v>
      </c>
      <c r="F55">
        <v>47</v>
      </c>
      <c r="I55">
        <v>86</v>
      </c>
      <c r="J55">
        <v>60</v>
      </c>
      <c r="Q55">
        <v>66</v>
      </c>
      <c r="S55">
        <v>34</v>
      </c>
      <c r="T55">
        <v>58</v>
      </c>
      <c r="U55">
        <v>58</v>
      </c>
    </row>
    <row r="56" spans="1:21" x14ac:dyDescent="0.25">
      <c r="A56" t="s">
        <v>22</v>
      </c>
      <c r="B56" s="1" t="s">
        <v>80</v>
      </c>
      <c r="G56">
        <v>42</v>
      </c>
      <c r="I56">
        <v>66</v>
      </c>
      <c r="Q56">
        <v>64</v>
      </c>
      <c r="S56">
        <v>56</v>
      </c>
      <c r="T56">
        <v>75</v>
      </c>
    </row>
    <row r="57" spans="1:21" x14ac:dyDescent="0.25">
      <c r="A57" t="s">
        <v>22</v>
      </c>
      <c r="B57" s="1" t="s">
        <v>81</v>
      </c>
      <c r="G57">
        <v>76</v>
      </c>
      <c r="I57">
        <v>97</v>
      </c>
      <c r="J57">
        <v>78</v>
      </c>
      <c r="Q57">
        <v>72</v>
      </c>
      <c r="S57">
        <v>60</v>
      </c>
      <c r="T57">
        <v>80</v>
      </c>
    </row>
    <row r="58" spans="1:21" x14ac:dyDescent="0.25">
      <c r="A58" t="s">
        <v>22</v>
      </c>
      <c r="B58" s="1" t="s">
        <v>82</v>
      </c>
      <c r="G58">
        <v>80</v>
      </c>
      <c r="I58">
        <v>78</v>
      </c>
      <c r="J58">
        <v>34</v>
      </c>
      <c r="Q58">
        <v>52</v>
      </c>
      <c r="S58">
        <v>46</v>
      </c>
      <c r="T58">
        <v>80</v>
      </c>
      <c r="U58">
        <v>62</v>
      </c>
    </row>
    <row r="59" spans="1:21" x14ac:dyDescent="0.25">
      <c r="A59" t="s">
        <v>22</v>
      </c>
      <c r="B59" s="1" t="s">
        <v>83</v>
      </c>
      <c r="I59">
        <v>65</v>
      </c>
      <c r="Q59">
        <v>50</v>
      </c>
      <c r="S59">
        <v>43</v>
      </c>
      <c r="T59">
        <v>78</v>
      </c>
      <c r="U59">
        <v>24</v>
      </c>
    </row>
    <row r="60" spans="1:21" x14ac:dyDescent="0.25">
      <c r="A60" t="s">
        <v>22</v>
      </c>
      <c r="B60" s="1" t="s">
        <v>84</v>
      </c>
      <c r="G60">
        <v>88</v>
      </c>
      <c r="I60">
        <v>96</v>
      </c>
      <c r="J60">
        <v>92</v>
      </c>
      <c r="Q60">
        <v>58</v>
      </c>
      <c r="S60">
        <v>59</v>
      </c>
      <c r="T60">
        <v>53</v>
      </c>
      <c r="U60">
        <v>72</v>
      </c>
    </row>
    <row r="61" spans="1:21" x14ac:dyDescent="0.25">
      <c r="A61" t="s">
        <v>22</v>
      </c>
      <c r="B61" s="1" t="s">
        <v>85</v>
      </c>
      <c r="G61">
        <v>76</v>
      </c>
      <c r="I61">
        <v>100</v>
      </c>
      <c r="J61">
        <v>90</v>
      </c>
      <c r="O61">
        <v>100</v>
      </c>
      <c r="Q61">
        <v>78</v>
      </c>
      <c r="S61">
        <v>66</v>
      </c>
      <c r="T61">
        <v>75</v>
      </c>
    </row>
    <row r="62" spans="1:21" x14ac:dyDescent="0.25">
      <c r="A62" t="s">
        <v>22</v>
      </c>
      <c r="B62" s="1" t="s">
        <v>86</v>
      </c>
      <c r="G62">
        <v>96</v>
      </c>
      <c r="I62">
        <v>98</v>
      </c>
      <c r="J62">
        <v>91</v>
      </c>
      <c r="Q62">
        <v>72</v>
      </c>
      <c r="S62">
        <v>69</v>
      </c>
      <c r="T62">
        <v>85</v>
      </c>
    </row>
    <row r="63" spans="1:21" x14ac:dyDescent="0.25">
      <c r="A63" t="s">
        <v>22</v>
      </c>
      <c r="B63" s="1" t="s">
        <v>87</v>
      </c>
      <c r="G63">
        <v>76</v>
      </c>
      <c r="I63">
        <v>99</v>
      </c>
      <c r="J63">
        <v>84</v>
      </c>
      <c r="K63">
        <v>78</v>
      </c>
      <c r="Q63">
        <v>70</v>
      </c>
      <c r="S63">
        <v>53</v>
      </c>
      <c r="T63">
        <v>73</v>
      </c>
    </row>
    <row r="64" spans="1:21" x14ac:dyDescent="0.25">
      <c r="A64" t="s">
        <v>22</v>
      </c>
      <c r="B64" s="1" t="s">
        <v>88</v>
      </c>
      <c r="C64">
        <v>48</v>
      </c>
      <c r="D64">
        <v>17</v>
      </c>
      <c r="I64">
        <v>100</v>
      </c>
      <c r="J64">
        <v>92</v>
      </c>
      <c r="Q64">
        <v>60</v>
      </c>
      <c r="S64">
        <v>47</v>
      </c>
    </row>
    <row r="65" spans="1:21" x14ac:dyDescent="0.25">
      <c r="A65" t="s">
        <v>22</v>
      </c>
      <c r="B65" s="1" t="s">
        <v>89</v>
      </c>
      <c r="G65">
        <v>80</v>
      </c>
      <c r="I65">
        <v>98</v>
      </c>
      <c r="J65">
        <v>79</v>
      </c>
      <c r="Q65">
        <v>66</v>
      </c>
      <c r="S65">
        <v>66</v>
      </c>
      <c r="T65">
        <v>63</v>
      </c>
      <c r="U65">
        <v>60</v>
      </c>
    </row>
    <row r="66" spans="1:21" x14ac:dyDescent="0.25">
      <c r="A66" t="s">
        <v>22</v>
      </c>
      <c r="B66" s="1" t="s">
        <v>90</v>
      </c>
      <c r="I66">
        <v>94</v>
      </c>
      <c r="J66">
        <v>66</v>
      </c>
      <c r="Q66">
        <v>76</v>
      </c>
      <c r="R66">
        <v>24</v>
      </c>
      <c r="S66">
        <v>44</v>
      </c>
      <c r="T66">
        <v>40</v>
      </c>
    </row>
    <row r="67" spans="1:21" x14ac:dyDescent="0.25">
      <c r="A67" t="s">
        <v>23</v>
      </c>
      <c r="B67" s="1" t="s">
        <v>91</v>
      </c>
      <c r="I67">
        <v>95</v>
      </c>
      <c r="J67">
        <v>70</v>
      </c>
      <c r="M67">
        <v>51</v>
      </c>
      <c r="Q67">
        <v>76</v>
      </c>
      <c r="R67">
        <v>52</v>
      </c>
      <c r="S67">
        <v>49</v>
      </c>
    </row>
    <row r="68" spans="1:21" x14ac:dyDescent="0.25">
      <c r="A68" t="s">
        <v>23</v>
      </c>
      <c r="B68" s="1" t="s">
        <v>92</v>
      </c>
      <c r="F68">
        <v>42</v>
      </c>
      <c r="I68">
        <v>52</v>
      </c>
      <c r="Q68">
        <v>76</v>
      </c>
      <c r="R68">
        <v>40</v>
      </c>
      <c r="S68">
        <v>36</v>
      </c>
    </row>
    <row r="69" spans="1:21" x14ac:dyDescent="0.25">
      <c r="A69" t="s">
        <v>23</v>
      </c>
      <c r="B69" s="1" t="s">
        <v>93</v>
      </c>
      <c r="F69">
        <v>77</v>
      </c>
      <c r="I69">
        <v>92</v>
      </c>
      <c r="J69">
        <v>80</v>
      </c>
      <c r="K69">
        <v>68</v>
      </c>
      <c r="Q69">
        <v>66</v>
      </c>
      <c r="R69">
        <v>44</v>
      </c>
      <c r="S69">
        <v>54</v>
      </c>
    </row>
    <row r="70" spans="1:21" x14ac:dyDescent="0.25">
      <c r="A70" t="s">
        <v>23</v>
      </c>
      <c r="B70" s="1" t="s">
        <v>94</v>
      </c>
      <c r="F70">
        <v>55</v>
      </c>
      <c r="I70">
        <v>88</v>
      </c>
      <c r="Q70">
        <v>72</v>
      </c>
      <c r="R70">
        <v>42</v>
      </c>
      <c r="S70">
        <v>49</v>
      </c>
    </row>
    <row r="71" spans="1:21" x14ac:dyDescent="0.25">
      <c r="A71" t="s">
        <v>23</v>
      </c>
      <c r="B71" s="1" t="s">
        <v>95</v>
      </c>
      <c r="F71">
        <v>85</v>
      </c>
      <c r="I71">
        <v>100</v>
      </c>
      <c r="J71">
        <v>81</v>
      </c>
      <c r="M71">
        <v>94</v>
      </c>
      <c r="Q71">
        <v>94</v>
      </c>
      <c r="R71">
        <v>52</v>
      </c>
      <c r="S71">
        <v>71</v>
      </c>
    </row>
    <row r="72" spans="1:21" x14ac:dyDescent="0.25">
      <c r="A72" t="s">
        <v>23</v>
      </c>
      <c r="B72" s="1" t="s">
        <v>96</v>
      </c>
      <c r="F72">
        <v>68</v>
      </c>
      <c r="I72">
        <v>84</v>
      </c>
      <c r="Q72">
        <v>52</v>
      </c>
      <c r="R72">
        <v>14</v>
      </c>
      <c r="S72">
        <v>34</v>
      </c>
    </row>
    <row r="73" spans="1:21" x14ac:dyDescent="0.25">
      <c r="A73" t="s">
        <v>23</v>
      </c>
      <c r="B73" s="1" t="s">
        <v>97</v>
      </c>
      <c r="F73">
        <v>60</v>
      </c>
      <c r="I73">
        <v>92</v>
      </c>
      <c r="Q73">
        <v>70</v>
      </c>
      <c r="R73">
        <v>32</v>
      </c>
      <c r="S73">
        <v>63</v>
      </c>
    </row>
    <row r="74" spans="1:21" x14ac:dyDescent="0.25">
      <c r="A74" t="s">
        <v>23</v>
      </c>
      <c r="B74" s="1" t="s">
        <v>98</v>
      </c>
      <c r="F74">
        <v>70</v>
      </c>
      <c r="I74">
        <v>94</v>
      </c>
      <c r="J74">
        <v>84</v>
      </c>
      <c r="P74">
        <v>90</v>
      </c>
      <c r="Q74">
        <v>88</v>
      </c>
      <c r="R74">
        <v>56</v>
      </c>
      <c r="S74">
        <v>64</v>
      </c>
    </row>
    <row r="75" spans="1:21" x14ac:dyDescent="0.25">
      <c r="A75" t="s">
        <v>23</v>
      </c>
      <c r="B75" s="1" t="s">
        <v>99</v>
      </c>
      <c r="F75">
        <v>38</v>
      </c>
      <c r="I75">
        <v>51</v>
      </c>
      <c r="Q75">
        <v>48</v>
      </c>
      <c r="S75">
        <v>49</v>
      </c>
    </row>
    <row r="76" spans="1:21" x14ac:dyDescent="0.25">
      <c r="A76" t="s">
        <v>23</v>
      </c>
      <c r="B76" s="1" t="s">
        <v>100</v>
      </c>
      <c r="F76">
        <v>83</v>
      </c>
      <c r="J76">
        <v>93</v>
      </c>
      <c r="O76">
        <v>96</v>
      </c>
      <c r="Q76">
        <v>72</v>
      </c>
      <c r="R76">
        <v>64</v>
      </c>
      <c r="S76">
        <v>57</v>
      </c>
    </row>
    <row r="77" spans="1:21" x14ac:dyDescent="0.25">
      <c r="A77" t="s">
        <v>23</v>
      </c>
      <c r="B77" s="1" t="s">
        <v>101</v>
      </c>
      <c r="F77">
        <v>93</v>
      </c>
      <c r="I77">
        <v>98</v>
      </c>
      <c r="J77">
        <v>80</v>
      </c>
      <c r="K77">
        <v>80</v>
      </c>
      <c r="Q77">
        <v>78</v>
      </c>
      <c r="R77">
        <v>64</v>
      </c>
      <c r="S77">
        <v>63</v>
      </c>
    </row>
    <row r="78" spans="1:21" x14ac:dyDescent="0.25">
      <c r="A78" t="s">
        <v>23</v>
      </c>
      <c r="B78" s="1" t="s">
        <v>102</v>
      </c>
      <c r="F78">
        <v>63</v>
      </c>
      <c r="I78">
        <v>88</v>
      </c>
      <c r="Q78">
        <v>64</v>
      </c>
      <c r="S78">
        <v>63</v>
      </c>
      <c r="T78">
        <v>43</v>
      </c>
    </row>
    <row r="79" spans="1:21" x14ac:dyDescent="0.25">
      <c r="A79" t="s">
        <v>23</v>
      </c>
      <c r="B79" s="1" t="s">
        <v>103</v>
      </c>
      <c r="F79">
        <v>65</v>
      </c>
      <c r="I79">
        <v>69</v>
      </c>
      <c r="Q79">
        <v>52</v>
      </c>
      <c r="S79">
        <v>51</v>
      </c>
    </row>
    <row r="80" spans="1:21" x14ac:dyDescent="0.25">
      <c r="A80" t="s">
        <v>23</v>
      </c>
      <c r="B80" s="1" t="s">
        <v>104</v>
      </c>
      <c r="F80">
        <v>50</v>
      </c>
      <c r="I80">
        <v>82</v>
      </c>
      <c r="Q80">
        <v>68</v>
      </c>
      <c r="R80">
        <v>36</v>
      </c>
      <c r="S80">
        <v>47</v>
      </c>
    </row>
    <row r="81" spans="1:21" x14ac:dyDescent="0.25">
      <c r="A81" t="s">
        <v>23</v>
      </c>
      <c r="B81" s="1" t="s">
        <v>105</v>
      </c>
      <c r="F81">
        <v>53</v>
      </c>
      <c r="I81">
        <v>100</v>
      </c>
      <c r="J81">
        <v>77</v>
      </c>
      <c r="Q81">
        <v>82</v>
      </c>
      <c r="R81">
        <v>38</v>
      </c>
      <c r="S81">
        <v>53</v>
      </c>
      <c r="U81">
        <v>46</v>
      </c>
    </row>
    <row r="82" spans="1:21" x14ac:dyDescent="0.25">
      <c r="A82" t="s">
        <v>23</v>
      </c>
      <c r="B82" s="1" t="s">
        <v>106</v>
      </c>
      <c r="I82">
        <v>98</v>
      </c>
      <c r="J82">
        <v>81</v>
      </c>
      <c r="Q82">
        <v>88</v>
      </c>
      <c r="R82">
        <v>40</v>
      </c>
      <c r="S82">
        <v>59</v>
      </c>
    </row>
    <row r="83" spans="1:21" x14ac:dyDescent="0.25">
      <c r="A83" t="s">
        <v>23</v>
      </c>
      <c r="B83" s="1" t="s">
        <v>107</v>
      </c>
      <c r="F83">
        <v>70</v>
      </c>
      <c r="I83">
        <v>96</v>
      </c>
      <c r="J83">
        <v>51</v>
      </c>
      <c r="Q83">
        <v>76</v>
      </c>
      <c r="S83">
        <v>66</v>
      </c>
      <c r="T83">
        <v>95</v>
      </c>
    </row>
    <row r="84" spans="1:21" x14ac:dyDescent="0.25">
      <c r="A84" t="s">
        <v>23</v>
      </c>
      <c r="B84" s="1" t="s">
        <v>108</v>
      </c>
      <c r="F84">
        <v>68</v>
      </c>
      <c r="I84">
        <v>87</v>
      </c>
      <c r="J84">
        <v>55</v>
      </c>
      <c r="Q84">
        <v>86</v>
      </c>
      <c r="R84">
        <v>48</v>
      </c>
      <c r="S84">
        <v>63</v>
      </c>
      <c r="T84">
        <v>55</v>
      </c>
    </row>
    <row r="85" spans="1:21" x14ac:dyDescent="0.25">
      <c r="A85" t="s">
        <v>23</v>
      </c>
      <c r="B85" s="1" t="s">
        <v>109</v>
      </c>
      <c r="I85">
        <v>91</v>
      </c>
      <c r="J85">
        <v>66</v>
      </c>
      <c r="Q85">
        <v>100</v>
      </c>
      <c r="R85">
        <v>66</v>
      </c>
      <c r="S85">
        <v>76</v>
      </c>
      <c r="T85">
        <v>70</v>
      </c>
    </row>
    <row r="86" spans="1:21" x14ac:dyDescent="0.25">
      <c r="A86" t="s">
        <v>23</v>
      </c>
      <c r="B86" s="1" t="s">
        <v>110</v>
      </c>
      <c r="I86">
        <v>100</v>
      </c>
      <c r="J86">
        <v>92</v>
      </c>
      <c r="K86">
        <v>72</v>
      </c>
      <c r="Q86">
        <v>74</v>
      </c>
      <c r="R86">
        <v>52</v>
      </c>
      <c r="S86">
        <v>54</v>
      </c>
    </row>
    <row r="87" spans="1:21" x14ac:dyDescent="0.25">
      <c r="A87" t="s">
        <v>23</v>
      </c>
      <c r="B87" s="1" t="s">
        <v>111</v>
      </c>
      <c r="F87">
        <v>87</v>
      </c>
      <c r="I87">
        <v>98</v>
      </c>
      <c r="Q87">
        <v>96</v>
      </c>
      <c r="R87">
        <v>90</v>
      </c>
      <c r="S87">
        <v>91</v>
      </c>
    </row>
    <row r="88" spans="1:21" x14ac:dyDescent="0.25">
      <c r="A88" t="s">
        <v>23</v>
      </c>
      <c r="B88" s="1" t="s">
        <v>112</v>
      </c>
      <c r="F88">
        <v>47</v>
      </c>
      <c r="I88">
        <v>89</v>
      </c>
      <c r="Q88">
        <v>76</v>
      </c>
      <c r="R88">
        <v>40</v>
      </c>
      <c r="S88">
        <v>54</v>
      </c>
    </row>
    <row r="89" spans="1:21" x14ac:dyDescent="0.25">
      <c r="A89" t="s">
        <v>23</v>
      </c>
      <c r="B89" s="1" t="s">
        <v>113</v>
      </c>
      <c r="I89">
        <v>94</v>
      </c>
      <c r="J89">
        <v>88</v>
      </c>
      <c r="Q89">
        <v>88</v>
      </c>
      <c r="R89">
        <v>46</v>
      </c>
      <c r="S89">
        <v>77</v>
      </c>
    </row>
    <row r="90" spans="1:21" x14ac:dyDescent="0.25">
      <c r="A90" t="s">
        <v>23</v>
      </c>
      <c r="B90" s="1" t="s">
        <v>114</v>
      </c>
      <c r="F90">
        <v>68</v>
      </c>
      <c r="I90">
        <v>94</v>
      </c>
      <c r="J90">
        <v>78</v>
      </c>
      <c r="O90">
        <v>96</v>
      </c>
      <c r="Q90">
        <v>100</v>
      </c>
      <c r="R90">
        <v>54</v>
      </c>
      <c r="S90">
        <v>50</v>
      </c>
    </row>
    <row r="91" spans="1:21" x14ac:dyDescent="0.25">
      <c r="A91" t="s">
        <v>23</v>
      </c>
      <c r="B91" s="1" t="s">
        <v>115</v>
      </c>
      <c r="F91">
        <v>77</v>
      </c>
      <c r="I91">
        <v>72</v>
      </c>
      <c r="J91">
        <v>44</v>
      </c>
      <c r="Q91">
        <v>78</v>
      </c>
      <c r="R91">
        <v>40</v>
      </c>
      <c r="S91">
        <v>60</v>
      </c>
    </row>
    <row r="92" spans="1:21" x14ac:dyDescent="0.25">
      <c r="A92" t="s">
        <v>23</v>
      </c>
      <c r="B92" s="1" t="s">
        <v>116</v>
      </c>
      <c r="F92">
        <v>80</v>
      </c>
      <c r="I92">
        <v>100</v>
      </c>
      <c r="J92">
        <v>82</v>
      </c>
      <c r="O92">
        <v>100</v>
      </c>
      <c r="Q92">
        <v>86</v>
      </c>
      <c r="R92">
        <v>94</v>
      </c>
      <c r="S92">
        <v>63</v>
      </c>
    </row>
    <row r="93" spans="1:21" x14ac:dyDescent="0.25">
      <c r="A93" t="s">
        <v>23</v>
      </c>
      <c r="B93" s="1" t="s">
        <v>117</v>
      </c>
      <c r="F93">
        <v>82</v>
      </c>
      <c r="I93">
        <v>94</v>
      </c>
      <c r="J93">
        <v>61</v>
      </c>
      <c r="Q93">
        <v>68</v>
      </c>
      <c r="S93">
        <v>71</v>
      </c>
    </row>
    <row r="94" spans="1:21" x14ac:dyDescent="0.25">
      <c r="A94" t="s">
        <v>24</v>
      </c>
      <c r="B94" s="1" t="s">
        <v>118</v>
      </c>
      <c r="E94">
        <v>70</v>
      </c>
      <c r="I94">
        <v>94</v>
      </c>
      <c r="J94">
        <v>73</v>
      </c>
      <c r="Q94">
        <v>90</v>
      </c>
      <c r="R94">
        <v>70</v>
      </c>
      <c r="S94">
        <v>59</v>
      </c>
    </row>
    <row r="95" spans="1:21" x14ac:dyDescent="0.25">
      <c r="A95" t="s">
        <v>24</v>
      </c>
      <c r="B95" s="1" t="s">
        <v>119</v>
      </c>
      <c r="E95">
        <v>53</v>
      </c>
      <c r="I95">
        <v>96</v>
      </c>
      <c r="J95">
        <v>67</v>
      </c>
      <c r="Q95">
        <v>90</v>
      </c>
      <c r="R95">
        <v>40</v>
      </c>
      <c r="S95">
        <v>64</v>
      </c>
    </row>
    <row r="96" spans="1:21" x14ac:dyDescent="0.25">
      <c r="A96" t="s">
        <v>24</v>
      </c>
      <c r="B96" s="1" t="s">
        <v>120</v>
      </c>
      <c r="E96">
        <v>75</v>
      </c>
      <c r="H96">
        <v>78</v>
      </c>
      <c r="I96">
        <v>98</v>
      </c>
      <c r="J96">
        <v>96</v>
      </c>
      <c r="Q96">
        <v>100</v>
      </c>
      <c r="R96">
        <v>90</v>
      </c>
      <c r="S96">
        <v>80</v>
      </c>
    </row>
    <row r="97" spans="1:20" x14ac:dyDescent="0.25">
      <c r="A97" t="s">
        <v>24</v>
      </c>
      <c r="B97" s="1" t="s">
        <v>121</v>
      </c>
      <c r="E97">
        <v>82</v>
      </c>
      <c r="I97">
        <v>100</v>
      </c>
      <c r="J97">
        <v>91</v>
      </c>
      <c r="Q97">
        <v>86</v>
      </c>
      <c r="R97">
        <v>80</v>
      </c>
      <c r="S97">
        <v>84</v>
      </c>
    </row>
    <row r="98" spans="1:20" x14ac:dyDescent="0.25">
      <c r="A98" t="s">
        <v>24</v>
      </c>
      <c r="B98" s="1" t="s">
        <v>122</v>
      </c>
      <c r="E98">
        <v>32</v>
      </c>
      <c r="I98">
        <v>96</v>
      </c>
      <c r="J98">
        <v>74</v>
      </c>
      <c r="Q98">
        <v>82</v>
      </c>
      <c r="S98">
        <v>60</v>
      </c>
      <c r="T98">
        <v>25</v>
      </c>
    </row>
    <row r="99" spans="1:20" x14ac:dyDescent="0.25">
      <c r="A99" t="s">
        <v>24</v>
      </c>
      <c r="B99" s="1" t="s">
        <v>123</v>
      </c>
      <c r="E99">
        <v>77</v>
      </c>
      <c r="H99">
        <v>88</v>
      </c>
      <c r="I99">
        <v>98</v>
      </c>
      <c r="J99">
        <v>76</v>
      </c>
      <c r="Q99">
        <v>98</v>
      </c>
      <c r="R99">
        <v>68</v>
      </c>
      <c r="S99">
        <v>73</v>
      </c>
    </row>
    <row r="100" spans="1:20" x14ac:dyDescent="0.25">
      <c r="A100" t="s">
        <v>24</v>
      </c>
      <c r="B100" s="1" t="s">
        <v>124</v>
      </c>
      <c r="E100">
        <v>70</v>
      </c>
      <c r="I100">
        <v>97</v>
      </c>
      <c r="J100">
        <v>65</v>
      </c>
      <c r="Q100">
        <v>94</v>
      </c>
      <c r="R100">
        <v>78</v>
      </c>
      <c r="S100">
        <v>76</v>
      </c>
    </row>
    <row r="101" spans="1:20" x14ac:dyDescent="0.25">
      <c r="A101" t="s">
        <v>24</v>
      </c>
      <c r="B101" s="1" t="s">
        <v>125</v>
      </c>
      <c r="E101">
        <v>32</v>
      </c>
      <c r="I101">
        <v>95</v>
      </c>
      <c r="J101">
        <v>75</v>
      </c>
      <c r="Q101">
        <v>72</v>
      </c>
      <c r="R101">
        <v>58</v>
      </c>
      <c r="S101">
        <v>54</v>
      </c>
    </row>
    <row r="102" spans="1:20" x14ac:dyDescent="0.25">
      <c r="A102" t="s">
        <v>24</v>
      </c>
      <c r="B102" s="1" t="s">
        <v>126</v>
      </c>
      <c r="C102">
        <v>37</v>
      </c>
      <c r="E102">
        <v>37</v>
      </c>
      <c r="I102">
        <v>96</v>
      </c>
      <c r="J102">
        <v>84</v>
      </c>
      <c r="Q102">
        <v>86</v>
      </c>
      <c r="S102">
        <v>53</v>
      </c>
    </row>
    <row r="103" spans="1:20" x14ac:dyDescent="0.25">
      <c r="A103" t="s">
        <v>24</v>
      </c>
      <c r="B103" s="1" t="s">
        <v>127</v>
      </c>
      <c r="E103">
        <v>75</v>
      </c>
      <c r="I103">
        <v>98</v>
      </c>
      <c r="J103">
        <v>94</v>
      </c>
      <c r="Q103">
        <v>84</v>
      </c>
      <c r="R103">
        <v>82</v>
      </c>
      <c r="S103">
        <v>56</v>
      </c>
    </row>
    <row r="104" spans="1:20" x14ac:dyDescent="0.25">
      <c r="A104" t="s">
        <v>24</v>
      </c>
      <c r="B104" s="1" t="s">
        <v>128</v>
      </c>
      <c r="E104">
        <v>92</v>
      </c>
      <c r="I104">
        <v>98</v>
      </c>
      <c r="J104">
        <v>86</v>
      </c>
      <c r="Q104">
        <v>94</v>
      </c>
      <c r="R104">
        <v>88</v>
      </c>
      <c r="S104">
        <v>77</v>
      </c>
    </row>
    <row r="105" spans="1:20" x14ac:dyDescent="0.25">
      <c r="A105" t="s">
        <v>24</v>
      </c>
      <c r="B105" s="1" t="s">
        <v>129</v>
      </c>
      <c r="F105">
        <v>45</v>
      </c>
      <c r="I105">
        <v>100</v>
      </c>
      <c r="J105">
        <v>80</v>
      </c>
      <c r="Q105">
        <v>78</v>
      </c>
      <c r="R105">
        <v>36</v>
      </c>
      <c r="S105">
        <v>30</v>
      </c>
    </row>
    <row r="106" spans="1:20" x14ac:dyDescent="0.25">
      <c r="A106" t="s">
        <v>24</v>
      </c>
      <c r="B106" s="1" t="s">
        <v>130</v>
      </c>
      <c r="I106">
        <v>100</v>
      </c>
      <c r="J106">
        <v>94</v>
      </c>
      <c r="K106">
        <v>99</v>
      </c>
      <c r="Q106">
        <v>80</v>
      </c>
      <c r="R106">
        <v>74</v>
      </c>
      <c r="S106">
        <v>74</v>
      </c>
    </row>
    <row r="107" spans="1:20" x14ac:dyDescent="0.25">
      <c r="A107" t="s">
        <v>24</v>
      </c>
      <c r="B107" s="1" t="s">
        <v>131</v>
      </c>
      <c r="I107">
        <v>98</v>
      </c>
      <c r="J107">
        <v>78</v>
      </c>
      <c r="Q107">
        <v>64</v>
      </c>
      <c r="S107">
        <v>54</v>
      </c>
    </row>
    <row r="108" spans="1:20" x14ac:dyDescent="0.25">
      <c r="A108" t="s">
        <v>24</v>
      </c>
      <c r="B108" s="1" t="s">
        <v>132</v>
      </c>
      <c r="E108">
        <v>72</v>
      </c>
      <c r="I108">
        <v>98</v>
      </c>
      <c r="J108">
        <v>79</v>
      </c>
      <c r="Q108">
        <v>100</v>
      </c>
      <c r="R108">
        <v>78</v>
      </c>
      <c r="S108">
        <v>64</v>
      </c>
    </row>
    <row r="109" spans="1:20" x14ac:dyDescent="0.25">
      <c r="A109" t="s">
        <v>24</v>
      </c>
      <c r="B109" s="1" t="s">
        <v>133</v>
      </c>
      <c r="E109">
        <v>62</v>
      </c>
      <c r="I109">
        <v>100</v>
      </c>
      <c r="J109">
        <v>75</v>
      </c>
      <c r="Q109">
        <v>92</v>
      </c>
      <c r="R109">
        <v>38</v>
      </c>
      <c r="S109">
        <v>74</v>
      </c>
    </row>
    <row r="110" spans="1:20" x14ac:dyDescent="0.25">
      <c r="A110" t="s">
        <v>24</v>
      </c>
      <c r="B110" s="1" t="s">
        <v>134</v>
      </c>
      <c r="H110">
        <v>70</v>
      </c>
      <c r="I110">
        <v>98</v>
      </c>
      <c r="J110">
        <v>79</v>
      </c>
      <c r="Q110">
        <v>94</v>
      </c>
      <c r="R110">
        <v>62</v>
      </c>
      <c r="S110">
        <v>59</v>
      </c>
    </row>
    <row r="111" spans="1:20" x14ac:dyDescent="0.25">
      <c r="A111" t="s">
        <v>24</v>
      </c>
      <c r="B111" s="1" t="s">
        <v>135</v>
      </c>
      <c r="E111">
        <v>48</v>
      </c>
      <c r="I111">
        <v>84</v>
      </c>
      <c r="J111">
        <v>28</v>
      </c>
      <c r="Q111">
        <v>88</v>
      </c>
      <c r="R111">
        <v>68</v>
      </c>
      <c r="S111">
        <v>51</v>
      </c>
    </row>
    <row r="112" spans="1:20" x14ac:dyDescent="0.25">
      <c r="A112" t="s">
        <v>24</v>
      </c>
      <c r="B112" s="1" t="s">
        <v>136</v>
      </c>
      <c r="E112">
        <v>62</v>
      </c>
      <c r="I112">
        <v>98</v>
      </c>
      <c r="J112">
        <v>79</v>
      </c>
      <c r="Q112">
        <v>100</v>
      </c>
      <c r="R112">
        <v>66</v>
      </c>
      <c r="S112">
        <v>51</v>
      </c>
    </row>
    <row r="113" spans="1:20" x14ac:dyDescent="0.25">
      <c r="A113" t="s">
        <v>24</v>
      </c>
      <c r="B113" s="1" t="s">
        <v>137</v>
      </c>
      <c r="E113">
        <v>67</v>
      </c>
      <c r="I113">
        <v>100</v>
      </c>
      <c r="J113">
        <v>85</v>
      </c>
      <c r="Q113">
        <v>92</v>
      </c>
      <c r="R113">
        <v>70</v>
      </c>
      <c r="S113">
        <v>63</v>
      </c>
    </row>
    <row r="114" spans="1:20" x14ac:dyDescent="0.25">
      <c r="A114" t="s">
        <v>24</v>
      </c>
      <c r="B114" s="1" t="s">
        <v>138</v>
      </c>
      <c r="E114">
        <v>67</v>
      </c>
      <c r="I114">
        <v>100</v>
      </c>
      <c r="J114">
        <v>78</v>
      </c>
      <c r="Q114">
        <v>98</v>
      </c>
      <c r="R114">
        <v>68</v>
      </c>
      <c r="S114">
        <v>63</v>
      </c>
    </row>
    <row r="115" spans="1:20" x14ac:dyDescent="0.25">
      <c r="A115" t="s">
        <v>24</v>
      </c>
      <c r="B115" s="1" t="s">
        <v>139</v>
      </c>
      <c r="H115">
        <v>98</v>
      </c>
      <c r="I115">
        <v>99</v>
      </c>
      <c r="J115">
        <v>84</v>
      </c>
      <c r="Q115">
        <v>96</v>
      </c>
      <c r="R115">
        <v>92</v>
      </c>
      <c r="S115">
        <v>66</v>
      </c>
    </row>
    <row r="116" spans="1:20" x14ac:dyDescent="0.25">
      <c r="A116" t="s">
        <v>24</v>
      </c>
      <c r="B116" s="1" t="s">
        <v>140</v>
      </c>
      <c r="I116">
        <v>96</v>
      </c>
      <c r="J116">
        <v>86</v>
      </c>
      <c r="Q116">
        <v>94</v>
      </c>
      <c r="R116">
        <v>60</v>
      </c>
      <c r="S116">
        <v>57</v>
      </c>
    </row>
    <row r="117" spans="1:20" x14ac:dyDescent="0.25">
      <c r="A117" t="s">
        <v>24</v>
      </c>
      <c r="B117" s="1" t="s">
        <v>141</v>
      </c>
      <c r="E117">
        <v>55</v>
      </c>
      <c r="I117">
        <v>97</v>
      </c>
      <c r="J117">
        <v>92</v>
      </c>
      <c r="Q117">
        <v>94</v>
      </c>
      <c r="R117">
        <v>78</v>
      </c>
      <c r="S117">
        <v>63</v>
      </c>
    </row>
    <row r="118" spans="1:20" x14ac:dyDescent="0.25">
      <c r="A118" t="s">
        <v>24</v>
      </c>
      <c r="B118" s="1" t="s">
        <v>142</v>
      </c>
      <c r="E118">
        <v>78</v>
      </c>
      <c r="I118">
        <v>98</v>
      </c>
      <c r="J118">
        <v>85</v>
      </c>
      <c r="Q118">
        <v>100</v>
      </c>
      <c r="R118">
        <v>92</v>
      </c>
      <c r="S118">
        <v>70</v>
      </c>
    </row>
    <row r="119" spans="1:20" x14ac:dyDescent="0.25">
      <c r="A119" t="s">
        <v>24</v>
      </c>
      <c r="B119" s="1" t="s">
        <v>143</v>
      </c>
      <c r="H119">
        <v>52</v>
      </c>
      <c r="I119">
        <v>96</v>
      </c>
      <c r="J119">
        <v>68</v>
      </c>
      <c r="Q119">
        <v>94</v>
      </c>
      <c r="R119">
        <v>56</v>
      </c>
      <c r="S119">
        <v>57</v>
      </c>
    </row>
    <row r="120" spans="1:20" x14ac:dyDescent="0.25">
      <c r="A120" t="s">
        <v>24</v>
      </c>
      <c r="B120" s="1" t="s">
        <v>144</v>
      </c>
      <c r="E120">
        <v>70</v>
      </c>
      <c r="I120">
        <v>100</v>
      </c>
      <c r="J120">
        <v>86</v>
      </c>
      <c r="Q120">
        <v>98</v>
      </c>
      <c r="R120">
        <v>78</v>
      </c>
      <c r="S120">
        <v>90</v>
      </c>
    </row>
    <row r="121" spans="1:20" x14ac:dyDescent="0.25">
      <c r="A121" t="s">
        <v>24</v>
      </c>
      <c r="B121" s="1" t="s">
        <v>145</v>
      </c>
      <c r="E121">
        <v>32</v>
      </c>
      <c r="I121">
        <v>96</v>
      </c>
      <c r="J121">
        <v>78</v>
      </c>
      <c r="Q121">
        <v>90</v>
      </c>
      <c r="R121">
        <v>74</v>
      </c>
      <c r="S121">
        <v>74</v>
      </c>
    </row>
    <row r="122" spans="1:20" x14ac:dyDescent="0.25">
      <c r="A122" t="s">
        <v>24</v>
      </c>
      <c r="B122" s="1" t="s">
        <v>146</v>
      </c>
      <c r="E122">
        <v>75</v>
      </c>
      <c r="I122">
        <v>100</v>
      </c>
      <c r="J122">
        <v>64</v>
      </c>
      <c r="Q122">
        <v>92</v>
      </c>
      <c r="R122">
        <v>74</v>
      </c>
      <c r="S122">
        <v>70</v>
      </c>
    </row>
    <row r="123" spans="1:20" x14ac:dyDescent="0.25">
      <c r="A123" t="s">
        <v>24</v>
      </c>
      <c r="B123" s="1" t="s">
        <v>147</v>
      </c>
      <c r="E123">
        <v>63</v>
      </c>
      <c r="I123">
        <v>96</v>
      </c>
      <c r="Q123">
        <v>96</v>
      </c>
      <c r="R123">
        <v>92</v>
      </c>
      <c r="S123">
        <v>67</v>
      </c>
    </row>
    <row r="124" spans="1:20" x14ac:dyDescent="0.25">
      <c r="A124" t="s">
        <v>24</v>
      </c>
      <c r="B124" s="1" t="s">
        <v>148</v>
      </c>
      <c r="I124">
        <v>98</v>
      </c>
      <c r="J124">
        <v>65</v>
      </c>
      <c r="Q124">
        <v>94</v>
      </c>
      <c r="R124">
        <v>68</v>
      </c>
      <c r="S124">
        <v>81</v>
      </c>
    </row>
    <row r="125" spans="1:20" x14ac:dyDescent="0.25">
      <c r="A125" t="s">
        <v>24</v>
      </c>
      <c r="B125" s="1" t="s">
        <v>149</v>
      </c>
      <c r="I125">
        <v>98</v>
      </c>
      <c r="J125">
        <v>84</v>
      </c>
      <c r="Q125">
        <v>82</v>
      </c>
      <c r="R125">
        <v>54</v>
      </c>
      <c r="S125">
        <v>73</v>
      </c>
    </row>
    <row r="126" spans="1:20" x14ac:dyDescent="0.25">
      <c r="A126" t="s">
        <v>24</v>
      </c>
      <c r="B126" s="1" t="s">
        <v>150</v>
      </c>
      <c r="E126">
        <v>77</v>
      </c>
      <c r="I126">
        <v>94</v>
      </c>
      <c r="J126">
        <v>86</v>
      </c>
      <c r="Q126">
        <v>98</v>
      </c>
      <c r="R126">
        <v>64</v>
      </c>
      <c r="S126">
        <v>59</v>
      </c>
    </row>
    <row r="127" spans="1:20" x14ac:dyDescent="0.25">
      <c r="A127" t="s">
        <v>25</v>
      </c>
      <c r="B127" s="1" t="s">
        <v>151</v>
      </c>
      <c r="I127">
        <v>96</v>
      </c>
      <c r="M127">
        <v>97</v>
      </c>
      <c r="N127">
        <v>73</v>
      </c>
      <c r="Q127">
        <v>58</v>
      </c>
      <c r="S127">
        <v>69</v>
      </c>
      <c r="T127">
        <v>65</v>
      </c>
    </row>
    <row r="128" spans="1:20" x14ac:dyDescent="0.25">
      <c r="A128" t="s">
        <v>25</v>
      </c>
      <c r="B128" s="1" t="s">
        <v>152</v>
      </c>
      <c r="I128">
        <v>96</v>
      </c>
      <c r="M128">
        <v>83</v>
      </c>
      <c r="N128">
        <v>61</v>
      </c>
      <c r="Q128">
        <v>68</v>
      </c>
      <c r="S128">
        <v>69</v>
      </c>
      <c r="T128">
        <v>58</v>
      </c>
    </row>
    <row r="129" spans="1:21" x14ac:dyDescent="0.25">
      <c r="A129" t="s">
        <v>25</v>
      </c>
      <c r="B129" s="1" t="s">
        <v>153</v>
      </c>
      <c r="I129">
        <v>88</v>
      </c>
      <c r="M129">
        <v>90</v>
      </c>
      <c r="N129">
        <v>65</v>
      </c>
      <c r="Q129">
        <v>50</v>
      </c>
      <c r="S129">
        <v>81</v>
      </c>
      <c r="T129">
        <v>58</v>
      </c>
    </row>
    <row r="130" spans="1:21" x14ac:dyDescent="0.25">
      <c r="A130" t="s">
        <v>25</v>
      </c>
      <c r="B130" s="1" t="s">
        <v>154</v>
      </c>
      <c r="I130">
        <v>90</v>
      </c>
      <c r="M130">
        <v>84</v>
      </c>
      <c r="N130">
        <v>68</v>
      </c>
      <c r="Q130">
        <v>58</v>
      </c>
      <c r="S130">
        <v>76</v>
      </c>
      <c r="T130">
        <v>88</v>
      </c>
    </row>
    <row r="131" spans="1:21" x14ac:dyDescent="0.25">
      <c r="A131" t="s">
        <v>25</v>
      </c>
      <c r="B131" s="1" t="s">
        <v>155</v>
      </c>
      <c r="F131">
        <v>85</v>
      </c>
      <c r="J131">
        <v>95</v>
      </c>
      <c r="M131">
        <v>100</v>
      </c>
      <c r="Q131">
        <v>82</v>
      </c>
      <c r="S131">
        <v>73</v>
      </c>
      <c r="T131">
        <v>88</v>
      </c>
    </row>
    <row r="132" spans="1:21" x14ac:dyDescent="0.25">
      <c r="A132" t="s">
        <v>25</v>
      </c>
      <c r="B132" s="1" t="s">
        <v>156</v>
      </c>
      <c r="I132">
        <v>96</v>
      </c>
      <c r="N132">
        <v>45</v>
      </c>
      <c r="Q132">
        <v>74</v>
      </c>
      <c r="S132">
        <v>61</v>
      </c>
      <c r="T132">
        <v>83</v>
      </c>
    </row>
    <row r="133" spans="1:21" x14ac:dyDescent="0.25">
      <c r="A133" t="s">
        <v>25</v>
      </c>
      <c r="B133" s="1" t="s">
        <v>157</v>
      </c>
      <c r="I133">
        <v>94</v>
      </c>
      <c r="J133">
        <v>79</v>
      </c>
      <c r="N133">
        <v>79</v>
      </c>
      <c r="Q133">
        <v>64</v>
      </c>
      <c r="S133">
        <v>74</v>
      </c>
      <c r="T133">
        <v>53</v>
      </c>
    </row>
    <row r="134" spans="1:21" x14ac:dyDescent="0.25">
      <c r="A134" t="s">
        <v>25</v>
      </c>
      <c r="B134" s="1" t="s">
        <v>158</v>
      </c>
      <c r="F134">
        <v>38</v>
      </c>
      <c r="I134">
        <v>87</v>
      </c>
      <c r="J134">
        <v>69</v>
      </c>
      <c r="N134">
        <v>72</v>
      </c>
      <c r="Q134">
        <v>56</v>
      </c>
      <c r="S134">
        <v>54</v>
      </c>
      <c r="T134">
        <v>60</v>
      </c>
    </row>
    <row r="135" spans="1:21" x14ac:dyDescent="0.25">
      <c r="A135" t="s">
        <v>25</v>
      </c>
      <c r="B135" s="1" t="s">
        <v>159</v>
      </c>
      <c r="C135">
        <v>62</v>
      </c>
      <c r="D135">
        <v>35</v>
      </c>
      <c r="I135">
        <v>97</v>
      </c>
      <c r="M135">
        <v>92</v>
      </c>
      <c r="N135">
        <v>52</v>
      </c>
      <c r="Q135">
        <v>56</v>
      </c>
      <c r="S135">
        <v>67</v>
      </c>
    </row>
    <row r="136" spans="1:21" x14ac:dyDescent="0.25">
      <c r="A136" t="s">
        <v>25</v>
      </c>
      <c r="B136" s="1" t="s">
        <v>160</v>
      </c>
      <c r="F136">
        <v>50</v>
      </c>
      <c r="I136">
        <v>92</v>
      </c>
      <c r="M136">
        <v>84</v>
      </c>
      <c r="N136">
        <v>63</v>
      </c>
      <c r="Q136">
        <v>54</v>
      </c>
      <c r="S136">
        <v>60</v>
      </c>
    </row>
    <row r="137" spans="1:21" x14ac:dyDescent="0.25">
      <c r="A137" t="s">
        <v>25</v>
      </c>
      <c r="B137" s="1" t="s">
        <v>161</v>
      </c>
      <c r="F137">
        <v>82</v>
      </c>
      <c r="I137">
        <v>100</v>
      </c>
      <c r="M137">
        <v>100</v>
      </c>
      <c r="Q137">
        <v>100</v>
      </c>
      <c r="R137">
        <v>66</v>
      </c>
      <c r="S137">
        <v>73</v>
      </c>
      <c r="T137">
        <v>85</v>
      </c>
    </row>
    <row r="138" spans="1:21" x14ac:dyDescent="0.25">
      <c r="A138" t="s">
        <v>25</v>
      </c>
      <c r="B138" s="1" t="s">
        <v>162</v>
      </c>
      <c r="I138">
        <v>96</v>
      </c>
      <c r="N138">
        <v>79</v>
      </c>
      <c r="Q138">
        <v>56</v>
      </c>
      <c r="S138">
        <v>81</v>
      </c>
      <c r="T138">
        <v>83</v>
      </c>
    </row>
    <row r="139" spans="1:21" x14ac:dyDescent="0.25">
      <c r="A139" t="s">
        <v>25</v>
      </c>
      <c r="B139" s="1" t="s">
        <v>163</v>
      </c>
      <c r="G139">
        <v>66</v>
      </c>
      <c r="I139">
        <v>94</v>
      </c>
      <c r="J139">
        <v>93</v>
      </c>
      <c r="N139">
        <v>83</v>
      </c>
      <c r="Q139">
        <v>78</v>
      </c>
      <c r="S139">
        <v>90</v>
      </c>
      <c r="T139">
        <v>100</v>
      </c>
    </row>
    <row r="140" spans="1:21" x14ac:dyDescent="0.25">
      <c r="A140" t="s">
        <v>25</v>
      </c>
      <c r="B140" s="1" t="s">
        <v>164</v>
      </c>
      <c r="F140">
        <v>75</v>
      </c>
      <c r="I140">
        <v>99</v>
      </c>
      <c r="J140">
        <v>83</v>
      </c>
      <c r="M140">
        <v>100</v>
      </c>
      <c r="Q140">
        <v>78</v>
      </c>
      <c r="R140">
        <v>30</v>
      </c>
      <c r="S140">
        <v>79</v>
      </c>
      <c r="T140">
        <v>80</v>
      </c>
    </row>
    <row r="141" spans="1:21" x14ac:dyDescent="0.25">
      <c r="A141" t="s">
        <v>25</v>
      </c>
      <c r="B141" s="1" t="s">
        <v>165</v>
      </c>
      <c r="I141">
        <v>96</v>
      </c>
      <c r="M141">
        <v>98</v>
      </c>
      <c r="N141">
        <v>96</v>
      </c>
      <c r="Q141">
        <v>44</v>
      </c>
      <c r="S141">
        <v>69</v>
      </c>
    </row>
    <row r="142" spans="1:21" x14ac:dyDescent="0.25">
      <c r="A142" t="s">
        <v>25</v>
      </c>
      <c r="B142" s="1" t="s">
        <v>166</v>
      </c>
      <c r="G142">
        <v>24</v>
      </c>
      <c r="I142">
        <v>100</v>
      </c>
      <c r="J142">
        <v>63</v>
      </c>
      <c r="N142">
        <v>61</v>
      </c>
      <c r="Q142">
        <v>40</v>
      </c>
      <c r="S142">
        <v>76</v>
      </c>
      <c r="T142">
        <v>58</v>
      </c>
      <c r="U142">
        <v>16</v>
      </c>
    </row>
    <row r="143" spans="1:21" x14ac:dyDescent="0.25">
      <c r="A143" t="s">
        <v>25</v>
      </c>
      <c r="B143" s="1" t="s">
        <v>167</v>
      </c>
      <c r="G143">
        <v>72</v>
      </c>
      <c r="I143">
        <v>98</v>
      </c>
      <c r="J143">
        <v>76</v>
      </c>
      <c r="N143">
        <v>77</v>
      </c>
      <c r="Q143">
        <v>64</v>
      </c>
      <c r="S143">
        <v>79</v>
      </c>
      <c r="T143">
        <v>75</v>
      </c>
      <c r="U143">
        <v>46</v>
      </c>
    </row>
    <row r="144" spans="1:21" x14ac:dyDescent="0.25">
      <c r="A144" t="s">
        <v>25</v>
      </c>
      <c r="B144" s="1" t="s">
        <v>168</v>
      </c>
      <c r="I144">
        <v>96</v>
      </c>
      <c r="J144">
        <v>71</v>
      </c>
      <c r="N144">
        <v>70</v>
      </c>
      <c r="Q144">
        <v>40</v>
      </c>
      <c r="S144">
        <v>37</v>
      </c>
      <c r="T144">
        <v>55</v>
      </c>
    </row>
    <row r="145" spans="1:20" x14ac:dyDescent="0.25">
      <c r="A145" t="s">
        <v>25</v>
      </c>
      <c r="B145" s="1" t="s">
        <v>169</v>
      </c>
      <c r="J145">
        <v>89</v>
      </c>
      <c r="M145">
        <v>96</v>
      </c>
      <c r="Q145">
        <v>56</v>
      </c>
      <c r="S145">
        <v>57</v>
      </c>
      <c r="T145">
        <v>63</v>
      </c>
    </row>
    <row r="146" spans="1:20" x14ac:dyDescent="0.25">
      <c r="A146" t="s">
        <v>25</v>
      </c>
      <c r="B146" s="1" t="s">
        <v>170</v>
      </c>
      <c r="J146">
        <v>74</v>
      </c>
      <c r="M146">
        <v>98</v>
      </c>
      <c r="Q146">
        <v>66</v>
      </c>
      <c r="S146">
        <v>56</v>
      </c>
    </row>
    <row r="147" spans="1:20" x14ac:dyDescent="0.25">
      <c r="A147" t="s">
        <v>25</v>
      </c>
      <c r="B147" s="1" t="s">
        <v>171</v>
      </c>
      <c r="L147">
        <v>73</v>
      </c>
      <c r="M147">
        <v>98</v>
      </c>
      <c r="N147">
        <v>82</v>
      </c>
      <c r="Q147">
        <v>68</v>
      </c>
      <c r="S147">
        <v>50</v>
      </c>
      <c r="T147">
        <v>70</v>
      </c>
    </row>
    <row r="148" spans="1:20" x14ac:dyDescent="0.25">
      <c r="A148" t="s">
        <v>25</v>
      </c>
      <c r="B148" s="1" t="s">
        <v>172</v>
      </c>
      <c r="C148">
        <v>18</v>
      </c>
      <c r="D148">
        <v>12</v>
      </c>
      <c r="I148">
        <v>70</v>
      </c>
      <c r="M148">
        <v>58</v>
      </c>
      <c r="Q148">
        <v>58</v>
      </c>
      <c r="S148">
        <v>43</v>
      </c>
    </row>
    <row r="149" spans="1:20" x14ac:dyDescent="0.25">
      <c r="A149" t="s">
        <v>25</v>
      </c>
      <c r="B149" s="1" t="s">
        <v>173</v>
      </c>
      <c r="J149">
        <v>78</v>
      </c>
      <c r="M149">
        <v>100</v>
      </c>
      <c r="Q149">
        <v>96</v>
      </c>
      <c r="R149">
        <v>40</v>
      </c>
      <c r="S149">
        <v>80</v>
      </c>
    </row>
    <row r="150" spans="1:20" x14ac:dyDescent="0.25">
      <c r="A150" t="s">
        <v>25</v>
      </c>
      <c r="B150" s="1" t="s">
        <v>174</v>
      </c>
      <c r="I150">
        <v>90</v>
      </c>
      <c r="M150">
        <v>92</v>
      </c>
      <c r="N150">
        <v>71</v>
      </c>
      <c r="Q150">
        <v>38</v>
      </c>
      <c r="S150">
        <v>47</v>
      </c>
      <c r="T150">
        <v>58</v>
      </c>
    </row>
    <row r="151" spans="1:20" x14ac:dyDescent="0.25">
      <c r="A151" t="s">
        <v>25</v>
      </c>
      <c r="B151" s="1" t="s">
        <v>175</v>
      </c>
      <c r="F151">
        <v>53</v>
      </c>
      <c r="I151">
        <v>98</v>
      </c>
      <c r="J151">
        <v>66</v>
      </c>
      <c r="N151">
        <v>67</v>
      </c>
      <c r="Q151">
        <v>62</v>
      </c>
      <c r="S151">
        <v>71</v>
      </c>
      <c r="T151">
        <v>63</v>
      </c>
    </row>
    <row r="152" spans="1:20" x14ac:dyDescent="0.25">
      <c r="A152" t="s">
        <v>25</v>
      </c>
      <c r="B152" s="1" t="s">
        <v>176</v>
      </c>
      <c r="F152">
        <v>52</v>
      </c>
      <c r="I152">
        <v>98</v>
      </c>
      <c r="M152">
        <v>93</v>
      </c>
      <c r="N152">
        <v>70</v>
      </c>
      <c r="Q152">
        <v>58</v>
      </c>
      <c r="R152">
        <v>36</v>
      </c>
      <c r="S152">
        <v>41</v>
      </c>
    </row>
    <row r="153" spans="1:20" x14ac:dyDescent="0.25">
      <c r="A153" t="s">
        <v>25</v>
      </c>
      <c r="B153" s="1" t="s">
        <v>177</v>
      </c>
      <c r="C153">
        <v>43</v>
      </c>
      <c r="D153">
        <v>43</v>
      </c>
      <c r="I153">
        <v>95</v>
      </c>
      <c r="N153">
        <v>70</v>
      </c>
      <c r="Q153">
        <v>62</v>
      </c>
      <c r="S153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6</vt:i4>
      </vt:variant>
    </vt:vector>
  </HeadingPairs>
  <TitlesOfParts>
    <vt:vector size="12" baseType="lpstr">
      <vt:lpstr>5.5</vt:lpstr>
      <vt:lpstr>5.4</vt:lpstr>
      <vt:lpstr>5.3</vt:lpstr>
      <vt:lpstr>5.2</vt:lpstr>
      <vt:lpstr>5.1</vt:lpstr>
      <vt:lpstr>Baza</vt:lpstr>
      <vt:lpstr>'5.1'!matura</vt:lpstr>
      <vt:lpstr>'5.2'!matura</vt:lpstr>
      <vt:lpstr>'5.3'!matura</vt:lpstr>
      <vt:lpstr>'5.4'!matura</vt:lpstr>
      <vt:lpstr>'5.5'!matura</vt:lpstr>
      <vt:lpstr>Baza!matura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2026-04-18T06:49:45Z</dcterms:created>
  <dcterms:modified xsi:type="dcterms:W3CDTF">2026-04-18T08:00:54Z</dcterms:modified>
</cp:coreProperties>
</file>