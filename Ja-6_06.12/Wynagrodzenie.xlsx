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queryTables/queryTable8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queryTables/queryTable9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zegorz.tereszkiewi\Documents\GitHub\InfScul\Ja-6_06.12\"/>
    </mc:Choice>
  </mc:AlternateContent>
  <bookViews>
    <workbookView xWindow="0" yWindow="0" windowWidth="28800" windowHeight="12312"/>
  </bookViews>
  <sheets>
    <sheet name="7.5" sheetId="8" r:id="rId1"/>
    <sheet name="7.4" sheetId="7" r:id="rId2"/>
    <sheet name="7.3" sheetId="5" r:id="rId3"/>
    <sheet name="7.2" sheetId="4" r:id="rId4"/>
    <sheet name="7.1" sheetId="3" r:id="rId5"/>
    <sheet name="Arkusz1" sheetId="1" r:id="rId6"/>
    <sheet name="Baza" sheetId="2" r:id="rId7"/>
  </sheets>
  <definedNames>
    <definedName name="_xlnm._FilterDatabase" localSheetId="5" hidden="1">Arkusz1!$A$1:$A$19</definedName>
    <definedName name="wynagrodzenie" localSheetId="4">'7.1'!$A$1:$E$501</definedName>
    <definedName name="wynagrodzenie" localSheetId="3">'7.2'!$A$1:$E$501</definedName>
    <definedName name="wynagrodzenie" localSheetId="2">'7.3'!$A$1:$E$501</definedName>
    <definedName name="wynagrodzenie" localSheetId="1">'7.4'!$A$1:$E$501</definedName>
    <definedName name="wynagrodzenie" localSheetId="0">'7.5'!$A$1:$E$501</definedName>
    <definedName name="wynagrodzenie" localSheetId="6">Baza!$A$1:$E$501</definedName>
    <definedName name="wynagrodzenie_1" localSheetId="2">'7.3'!$A$1:$E$501</definedName>
    <definedName name="wynagrodzenie_1" localSheetId="1">'7.4'!$A$1:$E$501</definedName>
    <definedName name="wynagrodzenie_1" localSheetId="0">'7.5'!$A$1:$E$501</definedName>
  </definedNames>
  <calcPr calcId="162913"/>
  <pivotCaches>
    <pivotCache cacheId="2" r:id="rId8"/>
    <pivotCache cacheId="6" r:id="rId9"/>
    <pivotCache cacheId="21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" i="8" l="1"/>
  <c r="H501" i="8"/>
  <c r="G501" i="8"/>
  <c r="F501" i="8"/>
  <c r="H500" i="8"/>
  <c r="G500" i="8"/>
  <c r="I500" i="8" s="1"/>
  <c r="F500" i="8"/>
  <c r="H499" i="8"/>
  <c r="G499" i="8"/>
  <c r="F499" i="8"/>
  <c r="I499" i="8" s="1"/>
  <c r="H498" i="8"/>
  <c r="G498" i="8"/>
  <c r="F498" i="8"/>
  <c r="H497" i="8"/>
  <c r="G497" i="8"/>
  <c r="F497" i="8"/>
  <c r="H496" i="8"/>
  <c r="G496" i="8"/>
  <c r="F496" i="8"/>
  <c r="H495" i="8"/>
  <c r="G495" i="8"/>
  <c r="I495" i="8" s="1"/>
  <c r="F495" i="8"/>
  <c r="H494" i="8"/>
  <c r="G494" i="8"/>
  <c r="F494" i="8"/>
  <c r="H493" i="8"/>
  <c r="G493" i="8"/>
  <c r="I493" i="8" s="1"/>
  <c r="F493" i="8"/>
  <c r="H492" i="8"/>
  <c r="G492" i="8"/>
  <c r="F492" i="8"/>
  <c r="H491" i="8"/>
  <c r="G491" i="8"/>
  <c r="I491" i="8" s="1"/>
  <c r="F491" i="8"/>
  <c r="H490" i="8"/>
  <c r="G490" i="8"/>
  <c r="F490" i="8"/>
  <c r="I490" i="8" s="1"/>
  <c r="H489" i="8"/>
  <c r="J489" i="8" s="1"/>
  <c r="K489" i="8" s="1"/>
  <c r="G489" i="8"/>
  <c r="I489" i="8" s="1"/>
  <c r="F489" i="8"/>
  <c r="H488" i="8"/>
  <c r="G488" i="8"/>
  <c r="I488" i="8" s="1"/>
  <c r="F488" i="8"/>
  <c r="H487" i="8"/>
  <c r="G487" i="8"/>
  <c r="F487" i="8"/>
  <c r="I487" i="8" s="1"/>
  <c r="H486" i="8"/>
  <c r="G486" i="8"/>
  <c r="F486" i="8"/>
  <c r="H485" i="8"/>
  <c r="G485" i="8"/>
  <c r="F485" i="8"/>
  <c r="H484" i="8"/>
  <c r="G484" i="8"/>
  <c r="I484" i="8" s="1"/>
  <c r="F484" i="8"/>
  <c r="H483" i="8"/>
  <c r="G483" i="8"/>
  <c r="F483" i="8"/>
  <c r="H482" i="8"/>
  <c r="G482" i="8"/>
  <c r="F482" i="8"/>
  <c r="H481" i="8"/>
  <c r="G481" i="8"/>
  <c r="I481" i="8" s="1"/>
  <c r="F481" i="8"/>
  <c r="H480" i="8"/>
  <c r="G480" i="8"/>
  <c r="F480" i="8"/>
  <c r="H479" i="8"/>
  <c r="G479" i="8"/>
  <c r="F479" i="8"/>
  <c r="H478" i="8"/>
  <c r="G478" i="8"/>
  <c r="F478" i="8"/>
  <c r="H477" i="8"/>
  <c r="G477" i="8"/>
  <c r="I477" i="8" s="1"/>
  <c r="F477" i="8"/>
  <c r="I476" i="8"/>
  <c r="H476" i="8"/>
  <c r="J476" i="8" s="1"/>
  <c r="K476" i="8" s="1"/>
  <c r="G476" i="8"/>
  <c r="F476" i="8"/>
  <c r="H475" i="8"/>
  <c r="G475" i="8"/>
  <c r="F475" i="8"/>
  <c r="I475" i="8" s="1"/>
  <c r="H474" i="8"/>
  <c r="G474" i="8"/>
  <c r="F474" i="8"/>
  <c r="H473" i="8"/>
  <c r="G473" i="8"/>
  <c r="I473" i="8" s="1"/>
  <c r="F473" i="8"/>
  <c r="H472" i="8"/>
  <c r="G472" i="8"/>
  <c r="F472" i="8"/>
  <c r="H471" i="8"/>
  <c r="G471" i="8"/>
  <c r="I471" i="8" s="1"/>
  <c r="F471" i="8"/>
  <c r="H470" i="8"/>
  <c r="G470" i="8"/>
  <c r="F470" i="8"/>
  <c r="I469" i="8"/>
  <c r="H469" i="8"/>
  <c r="G469" i="8"/>
  <c r="F469" i="8"/>
  <c r="H468" i="8"/>
  <c r="G468" i="8"/>
  <c r="F468" i="8"/>
  <c r="H467" i="8"/>
  <c r="G467" i="8"/>
  <c r="F467" i="8"/>
  <c r="H466" i="8"/>
  <c r="G466" i="8"/>
  <c r="F466" i="8"/>
  <c r="H465" i="8"/>
  <c r="G465" i="8"/>
  <c r="F465" i="8"/>
  <c r="H464" i="8"/>
  <c r="G464" i="8"/>
  <c r="I464" i="8" s="1"/>
  <c r="F464" i="8"/>
  <c r="H463" i="8"/>
  <c r="G463" i="8"/>
  <c r="F463" i="8"/>
  <c r="H462" i="8"/>
  <c r="G462" i="8"/>
  <c r="F462" i="8"/>
  <c r="H461" i="8"/>
  <c r="G461" i="8"/>
  <c r="F461" i="8"/>
  <c r="H460" i="8"/>
  <c r="G460" i="8"/>
  <c r="I460" i="8" s="1"/>
  <c r="F460" i="8"/>
  <c r="H459" i="8"/>
  <c r="G459" i="8"/>
  <c r="I459" i="8" s="1"/>
  <c r="F459" i="8"/>
  <c r="H458" i="8"/>
  <c r="G458" i="8"/>
  <c r="F458" i="8"/>
  <c r="H457" i="8"/>
  <c r="G457" i="8"/>
  <c r="I457" i="8" s="1"/>
  <c r="F457" i="8"/>
  <c r="H456" i="8"/>
  <c r="G456" i="8"/>
  <c r="F456" i="8"/>
  <c r="H455" i="8"/>
  <c r="G455" i="8"/>
  <c r="F455" i="8"/>
  <c r="H454" i="8"/>
  <c r="G454" i="8"/>
  <c r="F454" i="8"/>
  <c r="H453" i="8"/>
  <c r="G453" i="8"/>
  <c r="F453" i="8"/>
  <c r="H452" i="8"/>
  <c r="G452" i="8"/>
  <c r="F452" i="8"/>
  <c r="I452" i="8" s="1"/>
  <c r="H451" i="8"/>
  <c r="G451" i="8"/>
  <c r="F451" i="8"/>
  <c r="H450" i="8"/>
  <c r="G450" i="8"/>
  <c r="F450" i="8"/>
  <c r="H449" i="8"/>
  <c r="G449" i="8"/>
  <c r="F449" i="8"/>
  <c r="H448" i="8"/>
  <c r="G448" i="8"/>
  <c r="F448" i="8"/>
  <c r="H447" i="8"/>
  <c r="G447" i="8"/>
  <c r="I447" i="8" s="1"/>
  <c r="F447" i="8"/>
  <c r="H446" i="8"/>
  <c r="G446" i="8"/>
  <c r="F446" i="8"/>
  <c r="H445" i="8"/>
  <c r="G445" i="8"/>
  <c r="I445" i="8" s="1"/>
  <c r="F445" i="8"/>
  <c r="H444" i="8"/>
  <c r="G444" i="8"/>
  <c r="F444" i="8"/>
  <c r="H443" i="8"/>
  <c r="G443" i="8"/>
  <c r="I443" i="8" s="1"/>
  <c r="F443" i="8"/>
  <c r="H442" i="8"/>
  <c r="G442" i="8"/>
  <c r="F442" i="8"/>
  <c r="H441" i="8"/>
  <c r="J441" i="8" s="1"/>
  <c r="K441" i="8" s="1"/>
  <c r="G441" i="8"/>
  <c r="I441" i="8" s="1"/>
  <c r="F441" i="8"/>
  <c r="H440" i="8"/>
  <c r="G440" i="8"/>
  <c r="I440" i="8" s="1"/>
  <c r="F440" i="8"/>
  <c r="H439" i="8"/>
  <c r="G439" i="8"/>
  <c r="F439" i="8"/>
  <c r="H438" i="8"/>
  <c r="G438" i="8"/>
  <c r="F438" i="8"/>
  <c r="H437" i="8"/>
  <c r="G437" i="8"/>
  <c r="F437" i="8"/>
  <c r="H436" i="8"/>
  <c r="G436" i="8"/>
  <c r="I436" i="8" s="1"/>
  <c r="F436" i="8"/>
  <c r="H435" i="8"/>
  <c r="G435" i="8"/>
  <c r="I435" i="8" s="1"/>
  <c r="F435" i="8"/>
  <c r="H434" i="8"/>
  <c r="G434" i="8"/>
  <c r="F434" i="8"/>
  <c r="H433" i="8"/>
  <c r="G433" i="8"/>
  <c r="I433" i="8" s="1"/>
  <c r="F433" i="8"/>
  <c r="H432" i="8"/>
  <c r="G432" i="8"/>
  <c r="F432" i="8"/>
  <c r="H431" i="8"/>
  <c r="G431" i="8"/>
  <c r="F431" i="8"/>
  <c r="H430" i="8"/>
  <c r="G430" i="8"/>
  <c r="F430" i="8"/>
  <c r="H429" i="8"/>
  <c r="G429" i="8"/>
  <c r="I429" i="8" s="1"/>
  <c r="F429" i="8"/>
  <c r="H428" i="8"/>
  <c r="G428" i="8"/>
  <c r="I428" i="8" s="1"/>
  <c r="F428" i="8"/>
  <c r="H427" i="8"/>
  <c r="G427" i="8"/>
  <c r="F427" i="8"/>
  <c r="I427" i="8" s="1"/>
  <c r="H426" i="8"/>
  <c r="G426" i="8"/>
  <c r="I426" i="8" s="1"/>
  <c r="F426" i="8"/>
  <c r="H425" i="8"/>
  <c r="G425" i="8"/>
  <c r="F425" i="8"/>
  <c r="H424" i="8"/>
  <c r="G424" i="8"/>
  <c r="I424" i="8" s="1"/>
  <c r="F424" i="8"/>
  <c r="H423" i="8"/>
  <c r="G423" i="8"/>
  <c r="F423" i="8"/>
  <c r="H422" i="8"/>
  <c r="G422" i="8"/>
  <c r="I422" i="8" s="1"/>
  <c r="F422" i="8"/>
  <c r="H421" i="8"/>
  <c r="G421" i="8"/>
  <c r="I421" i="8" s="1"/>
  <c r="F421" i="8"/>
  <c r="H420" i="8"/>
  <c r="G420" i="8"/>
  <c r="F420" i="8"/>
  <c r="H419" i="8"/>
  <c r="G419" i="8"/>
  <c r="F419" i="8"/>
  <c r="H418" i="8"/>
  <c r="G418" i="8"/>
  <c r="F418" i="8"/>
  <c r="H417" i="8"/>
  <c r="G417" i="8"/>
  <c r="I417" i="8" s="1"/>
  <c r="F417" i="8"/>
  <c r="I416" i="8"/>
  <c r="H416" i="8"/>
  <c r="G416" i="8"/>
  <c r="F416" i="8"/>
  <c r="H415" i="8"/>
  <c r="G415" i="8"/>
  <c r="F415" i="8"/>
  <c r="H414" i="8"/>
  <c r="G414" i="8"/>
  <c r="I414" i="8" s="1"/>
  <c r="J414" i="8" s="1"/>
  <c r="K414" i="8" s="1"/>
  <c r="L414" i="8" s="1"/>
  <c r="F414" i="8"/>
  <c r="H413" i="8"/>
  <c r="G413" i="8"/>
  <c r="F413" i="8"/>
  <c r="H412" i="8"/>
  <c r="G412" i="8"/>
  <c r="F412" i="8"/>
  <c r="H411" i="8"/>
  <c r="G411" i="8"/>
  <c r="F411" i="8"/>
  <c r="I411" i="8" s="1"/>
  <c r="H410" i="8"/>
  <c r="G410" i="8"/>
  <c r="I410" i="8" s="1"/>
  <c r="F410" i="8"/>
  <c r="I409" i="8"/>
  <c r="H409" i="8"/>
  <c r="G409" i="8"/>
  <c r="F409" i="8"/>
  <c r="H408" i="8"/>
  <c r="G408" i="8"/>
  <c r="F408" i="8"/>
  <c r="H407" i="8"/>
  <c r="G407" i="8"/>
  <c r="I407" i="8" s="1"/>
  <c r="F407" i="8"/>
  <c r="H406" i="8"/>
  <c r="G406" i="8"/>
  <c r="F406" i="8"/>
  <c r="H405" i="8"/>
  <c r="G405" i="8"/>
  <c r="F405" i="8"/>
  <c r="H404" i="8"/>
  <c r="G404" i="8"/>
  <c r="I404" i="8" s="1"/>
  <c r="F404" i="8"/>
  <c r="H403" i="8"/>
  <c r="G403" i="8"/>
  <c r="F403" i="8"/>
  <c r="I403" i="8" s="1"/>
  <c r="H402" i="8"/>
  <c r="G402" i="8"/>
  <c r="I402" i="8" s="1"/>
  <c r="J402" i="8" s="1"/>
  <c r="K402" i="8" s="1"/>
  <c r="F402" i="8"/>
  <c r="H401" i="8"/>
  <c r="G401" i="8"/>
  <c r="F401" i="8"/>
  <c r="H400" i="8"/>
  <c r="G400" i="8"/>
  <c r="I400" i="8" s="1"/>
  <c r="F400" i="8"/>
  <c r="H399" i="8"/>
  <c r="G399" i="8"/>
  <c r="I399" i="8" s="1"/>
  <c r="F399" i="8"/>
  <c r="H398" i="8"/>
  <c r="G398" i="8"/>
  <c r="I398" i="8" s="1"/>
  <c r="F398" i="8"/>
  <c r="H397" i="8"/>
  <c r="G397" i="8"/>
  <c r="I397" i="8" s="1"/>
  <c r="F397" i="8"/>
  <c r="H396" i="8"/>
  <c r="G396" i="8"/>
  <c r="F396" i="8"/>
  <c r="H395" i="8"/>
  <c r="G395" i="8"/>
  <c r="F395" i="8"/>
  <c r="H394" i="8"/>
  <c r="G394" i="8"/>
  <c r="F394" i="8"/>
  <c r="H393" i="8"/>
  <c r="G393" i="8"/>
  <c r="I393" i="8" s="1"/>
  <c r="F393" i="8"/>
  <c r="H392" i="8"/>
  <c r="G392" i="8"/>
  <c r="I392" i="8" s="1"/>
  <c r="F392" i="8"/>
  <c r="H391" i="8"/>
  <c r="G391" i="8"/>
  <c r="F391" i="8"/>
  <c r="H390" i="8"/>
  <c r="G390" i="8"/>
  <c r="F390" i="8"/>
  <c r="H389" i="8"/>
  <c r="G389" i="8"/>
  <c r="I389" i="8" s="1"/>
  <c r="F389" i="8"/>
  <c r="H388" i="8"/>
  <c r="G388" i="8"/>
  <c r="F388" i="8"/>
  <c r="H387" i="8"/>
  <c r="G387" i="8"/>
  <c r="I387" i="8" s="1"/>
  <c r="F387" i="8"/>
  <c r="H386" i="8"/>
  <c r="G386" i="8"/>
  <c r="F386" i="8"/>
  <c r="H385" i="8"/>
  <c r="G385" i="8"/>
  <c r="F385" i="8"/>
  <c r="I385" i="8" s="1"/>
  <c r="H384" i="8"/>
  <c r="G384" i="8"/>
  <c r="F384" i="8"/>
  <c r="H383" i="8"/>
  <c r="G383" i="8"/>
  <c r="F383" i="8"/>
  <c r="H382" i="8"/>
  <c r="G382" i="8"/>
  <c r="F382" i="8"/>
  <c r="H381" i="8"/>
  <c r="G381" i="8"/>
  <c r="F381" i="8"/>
  <c r="H380" i="8"/>
  <c r="G380" i="8"/>
  <c r="I380" i="8" s="1"/>
  <c r="F380" i="8"/>
  <c r="H379" i="8"/>
  <c r="G379" i="8"/>
  <c r="F379" i="8"/>
  <c r="I379" i="8" s="1"/>
  <c r="H378" i="8"/>
  <c r="G378" i="8"/>
  <c r="I378" i="8" s="1"/>
  <c r="F378" i="8"/>
  <c r="H377" i="8"/>
  <c r="G377" i="8"/>
  <c r="F377" i="8"/>
  <c r="H376" i="8"/>
  <c r="G376" i="8"/>
  <c r="F376" i="8"/>
  <c r="H375" i="8"/>
  <c r="G375" i="8"/>
  <c r="F375" i="8"/>
  <c r="H374" i="8"/>
  <c r="G374" i="8"/>
  <c r="F374" i="8"/>
  <c r="H373" i="8"/>
  <c r="G373" i="8"/>
  <c r="I373" i="8" s="1"/>
  <c r="F373" i="8"/>
  <c r="H372" i="8"/>
  <c r="G372" i="8"/>
  <c r="F372" i="8"/>
  <c r="H371" i="8"/>
  <c r="G371" i="8"/>
  <c r="I371" i="8" s="1"/>
  <c r="F371" i="8"/>
  <c r="H370" i="8"/>
  <c r="G370" i="8"/>
  <c r="F370" i="8"/>
  <c r="H369" i="8"/>
  <c r="G369" i="8"/>
  <c r="F369" i="8"/>
  <c r="H368" i="8"/>
  <c r="G368" i="8"/>
  <c r="I368" i="8" s="1"/>
  <c r="F368" i="8"/>
  <c r="H367" i="8"/>
  <c r="G367" i="8"/>
  <c r="F367" i="8"/>
  <c r="I367" i="8" s="1"/>
  <c r="H366" i="8"/>
  <c r="G366" i="8"/>
  <c r="F366" i="8"/>
  <c r="H365" i="8"/>
  <c r="G365" i="8"/>
  <c r="I365" i="8" s="1"/>
  <c r="F365" i="8"/>
  <c r="H364" i="8"/>
  <c r="G364" i="8"/>
  <c r="I364" i="8" s="1"/>
  <c r="F364" i="8"/>
  <c r="H363" i="8"/>
  <c r="G363" i="8"/>
  <c r="I363" i="8" s="1"/>
  <c r="F363" i="8"/>
  <c r="H362" i="8"/>
  <c r="G362" i="8"/>
  <c r="F362" i="8"/>
  <c r="H361" i="8"/>
  <c r="G361" i="8"/>
  <c r="I361" i="8" s="1"/>
  <c r="F361" i="8"/>
  <c r="H360" i="8"/>
  <c r="G360" i="8"/>
  <c r="F360" i="8"/>
  <c r="H359" i="8"/>
  <c r="G359" i="8"/>
  <c r="F359" i="8"/>
  <c r="H358" i="8"/>
  <c r="G358" i="8"/>
  <c r="I358" i="8" s="1"/>
  <c r="F358" i="8"/>
  <c r="H357" i="8"/>
  <c r="G357" i="8"/>
  <c r="F357" i="8"/>
  <c r="H356" i="8"/>
  <c r="G356" i="8"/>
  <c r="I356" i="8" s="1"/>
  <c r="F356" i="8"/>
  <c r="H355" i="8"/>
  <c r="G355" i="8"/>
  <c r="I355" i="8" s="1"/>
  <c r="F355" i="8"/>
  <c r="H354" i="8"/>
  <c r="G354" i="8"/>
  <c r="F354" i="8"/>
  <c r="H353" i="8"/>
  <c r="G353" i="8"/>
  <c r="F353" i="8"/>
  <c r="H352" i="8"/>
  <c r="G352" i="8"/>
  <c r="I352" i="8" s="1"/>
  <c r="J352" i="8" s="1"/>
  <c r="K352" i="8" s="1"/>
  <c r="F352" i="8"/>
  <c r="I351" i="8"/>
  <c r="H351" i="8"/>
  <c r="G351" i="8"/>
  <c r="F351" i="8"/>
  <c r="H350" i="8"/>
  <c r="G350" i="8"/>
  <c r="I350" i="8" s="1"/>
  <c r="F350" i="8"/>
  <c r="H349" i="8"/>
  <c r="G349" i="8"/>
  <c r="I349" i="8" s="1"/>
  <c r="F349" i="8"/>
  <c r="H348" i="8"/>
  <c r="G348" i="8"/>
  <c r="I348" i="8" s="1"/>
  <c r="F348" i="8"/>
  <c r="H347" i="8"/>
  <c r="G347" i="8"/>
  <c r="F347" i="8"/>
  <c r="H346" i="8"/>
  <c r="G346" i="8"/>
  <c r="F346" i="8"/>
  <c r="H345" i="8"/>
  <c r="G345" i="8"/>
  <c r="F345" i="8"/>
  <c r="I344" i="8"/>
  <c r="J344" i="8" s="1"/>
  <c r="K344" i="8" s="1"/>
  <c r="H344" i="8"/>
  <c r="G344" i="8"/>
  <c r="F344" i="8"/>
  <c r="H343" i="8"/>
  <c r="G343" i="8"/>
  <c r="I343" i="8" s="1"/>
  <c r="F343" i="8"/>
  <c r="H342" i="8"/>
  <c r="G342" i="8"/>
  <c r="F342" i="8"/>
  <c r="H341" i="8"/>
  <c r="G341" i="8"/>
  <c r="I341" i="8" s="1"/>
  <c r="F341" i="8"/>
  <c r="H340" i="8"/>
  <c r="G340" i="8"/>
  <c r="F340" i="8"/>
  <c r="H339" i="8"/>
  <c r="G339" i="8"/>
  <c r="F339" i="8"/>
  <c r="I339" i="8" s="1"/>
  <c r="H338" i="8"/>
  <c r="G338" i="8"/>
  <c r="I338" i="8" s="1"/>
  <c r="F338" i="8"/>
  <c r="I337" i="8"/>
  <c r="H337" i="8"/>
  <c r="G337" i="8"/>
  <c r="F337" i="8"/>
  <c r="H336" i="8"/>
  <c r="G336" i="8"/>
  <c r="F336" i="8"/>
  <c r="H335" i="8"/>
  <c r="G335" i="8"/>
  <c r="I335" i="8" s="1"/>
  <c r="F335" i="8"/>
  <c r="H334" i="8"/>
  <c r="G334" i="8"/>
  <c r="F334" i="8"/>
  <c r="H333" i="8"/>
  <c r="G333" i="8"/>
  <c r="I333" i="8" s="1"/>
  <c r="F333" i="8"/>
  <c r="H332" i="8"/>
  <c r="G332" i="8"/>
  <c r="I332" i="8" s="1"/>
  <c r="F332" i="8"/>
  <c r="H331" i="8"/>
  <c r="G331" i="8"/>
  <c r="I331" i="8" s="1"/>
  <c r="F331" i="8"/>
  <c r="J330" i="8"/>
  <c r="K330" i="8" s="1"/>
  <c r="L330" i="8" s="1"/>
  <c r="H330" i="8"/>
  <c r="G330" i="8"/>
  <c r="I330" i="8" s="1"/>
  <c r="F330" i="8"/>
  <c r="H329" i="8"/>
  <c r="G329" i="8"/>
  <c r="I329" i="8" s="1"/>
  <c r="F329" i="8"/>
  <c r="H328" i="8"/>
  <c r="G328" i="8"/>
  <c r="I328" i="8" s="1"/>
  <c r="F328" i="8"/>
  <c r="H327" i="8"/>
  <c r="G327" i="8"/>
  <c r="F327" i="8"/>
  <c r="H326" i="8"/>
  <c r="G326" i="8"/>
  <c r="I326" i="8" s="1"/>
  <c r="F326" i="8"/>
  <c r="H325" i="8"/>
  <c r="G325" i="8"/>
  <c r="I325" i="8" s="1"/>
  <c r="F325" i="8"/>
  <c r="H324" i="8"/>
  <c r="G324" i="8"/>
  <c r="F324" i="8"/>
  <c r="I324" i="8" s="1"/>
  <c r="H323" i="8"/>
  <c r="G323" i="8"/>
  <c r="I323" i="8" s="1"/>
  <c r="F323" i="8"/>
  <c r="H322" i="8"/>
  <c r="G322" i="8"/>
  <c r="F322" i="8"/>
  <c r="H321" i="8"/>
  <c r="J321" i="8" s="1"/>
  <c r="K321" i="8" s="1"/>
  <c r="G321" i="8"/>
  <c r="I321" i="8" s="1"/>
  <c r="F321" i="8"/>
  <c r="H320" i="8"/>
  <c r="J320" i="8" s="1"/>
  <c r="K320" i="8" s="1"/>
  <c r="G320" i="8"/>
  <c r="I320" i="8" s="1"/>
  <c r="F320" i="8"/>
  <c r="H319" i="8"/>
  <c r="G319" i="8"/>
  <c r="I319" i="8" s="1"/>
  <c r="F319" i="8"/>
  <c r="H318" i="8"/>
  <c r="J318" i="8" s="1"/>
  <c r="K318" i="8" s="1"/>
  <c r="G318" i="8"/>
  <c r="I318" i="8" s="1"/>
  <c r="F318" i="8"/>
  <c r="H317" i="8"/>
  <c r="G317" i="8"/>
  <c r="I317" i="8" s="1"/>
  <c r="F317" i="8"/>
  <c r="H316" i="8"/>
  <c r="G316" i="8"/>
  <c r="F316" i="8"/>
  <c r="H315" i="8"/>
  <c r="G315" i="8"/>
  <c r="F315" i="8"/>
  <c r="H314" i="8"/>
  <c r="G314" i="8"/>
  <c r="I314" i="8" s="1"/>
  <c r="F314" i="8"/>
  <c r="I313" i="8"/>
  <c r="H313" i="8"/>
  <c r="G313" i="8"/>
  <c r="F313" i="8"/>
  <c r="H312" i="8"/>
  <c r="G312" i="8"/>
  <c r="F312" i="8"/>
  <c r="H311" i="8"/>
  <c r="G311" i="8"/>
  <c r="F311" i="8"/>
  <c r="H310" i="8"/>
  <c r="G310" i="8"/>
  <c r="F310" i="8"/>
  <c r="H309" i="8"/>
  <c r="G309" i="8"/>
  <c r="I309" i="8" s="1"/>
  <c r="F309" i="8"/>
  <c r="H308" i="8"/>
  <c r="G308" i="8"/>
  <c r="I308" i="8" s="1"/>
  <c r="F308" i="8"/>
  <c r="H307" i="8"/>
  <c r="G307" i="8"/>
  <c r="I307" i="8" s="1"/>
  <c r="F307" i="8"/>
  <c r="H306" i="8"/>
  <c r="G306" i="8"/>
  <c r="I306" i="8" s="1"/>
  <c r="J306" i="8" s="1"/>
  <c r="K306" i="8" s="1"/>
  <c r="L306" i="8" s="1"/>
  <c r="F306" i="8"/>
  <c r="H305" i="8"/>
  <c r="G305" i="8"/>
  <c r="I305" i="8" s="1"/>
  <c r="F305" i="8"/>
  <c r="H304" i="8"/>
  <c r="G304" i="8"/>
  <c r="F304" i="8"/>
  <c r="H303" i="8"/>
  <c r="G303" i="8"/>
  <c r="I303" i="8" s="1"/>
  <c r="F303" i="8"/>
  <c r="H302" i="8"/>
  <c r="G302" i="8"/>
  <c r="F302" i="8"/>
  <c r="H301" i="8"/>
  <c r="G301" i="8"/>
  <c r="F301" i="8"/>
  <c r="I301" i="8" s="1"/>
  <c r="H300" i="8"/>
  <c r="G300" i="8"/>
  <c r="F300" i="8"/>
  <c r="H299" i="8"/>
  <c r="G299" i="8"/>
  <c r="F299" i="8"/>
  <c r="I299" i="8" s="1"/>
  <c r="H298" i="8"/>
  <c r="G298" i="8"/>
  <c r="F298" i="8"/>
  <c r="H297" i="8"/>
  <c r="G297" i="8"/>
  <c r="F297" i="8"/>
  <c r="H296" i="8"/>
  <c r="G296" i="8"/>
  <c r="I296" i="8" s="1"/>
  <c r="F296" i="8"/>
  <c r="H295" i="8"/>
  <c r="G295" i="8"/>
  <c r="I295" i="8" s="1"/>
  <c r="F295" i="8"/>
  <c r="H294" i="8"/>
  <c r="G294" i="8"/>
  <c r="I294" i="8" s="1"/>
  <c r="F294" i="8"/>
  <c r="H293" i="8"/>
  <c r="G293" i="8"/>
  <c r="I293" i="8" s="1"/>
  <c r="F293" i="8"/>
  <c r="H292" i="8"/>
  <c r="G292" i="8"/>
  <c r="F292" i="8"/>
  <c r="H291" i="8"/>
  <c r="G291" i="8"/>
  <c r="I291" i="8" s="1"/>
  <c r="F291" i="8"/>
  <c r="H290" i="8"/>
  <c r="G290" i="8"/>
  <c r="F290" i="8"/>
  <c r="I289" i="8"/>
  <c r="H289" i="8"/>
  <c r="G289" i="8"/>
  <c r="F289" i="8"/>
  <c r="H288" i="8"/>
  <c r="G288" i="8"/>
  <c r="F288" i="8"/>
  <c r="I288" i="8" s="1"/>
  <c r="H287" i="8"/>
  <c r="G287" i="8"/>
  <c r="F287" i="8"/>
  <c r="I287" i="8" s="1"/>
  <c r="H286" i="8"/>
  <c r="G286" i="8"/>
  <c r="F286" i="8"/>
  <c r="H285" i="8"/>
  <c r="G285" i="8"/>
  <c r="F285" i="8"/>
  <c r="H284" i="8"/>
  <c r="G284" i="8"/>
  <c r="I284" i="8" s="1"/>
  <c r="F284" i="8"/>
  <c r="H283" i="8"/>
  <c r="G283" i="8"/>
  <c r="I283" i="8" s="1"/>
  <c r="F283" i="8"/>
  <c r="I282" i="8"/>
  <c r="J282" i="8" s="1"/>
  <c r="K282" i="8" s="1"/>
  <c r="L282" i="8" s="1"/>
  <c r="H282" i="8"/>
  <c r="G282" i="8"/>
  <c r="F282" i="8"/>
  <c r="H281" i="8"/>
  <c r="G281" i="8"/>
  <c r="F281" i="8"/>
  <c r="H280" i="8"/>
  <c r="G280" i="8"/>
  <c r="I280" i="8" s="1"/>
  <c r="J280" i="8" s="1"/>
  <c r="K280" i="8" s="1"/>
  <c r="F280" i="8"/>
  <c r="H279" i="8"/>
  <c r="G279" i="8"/>
  <c r="F279" i="8"/>
  <c r="H278" i="8"/>
  <c r="G278" i="8"/>
  <c r="I278" i="8" s="1"/>
  <c r="F278" i="8"/>
  <c r="H277" i="8"/>
  <c r="G277" i="8"/>
  <c r="I277" i="8" s="1"/>
  <c r="F277" i="8"/>
  <c r="H276" i="8"/>
  <c r="G276" i="8"/>
  <c r="F276" i="8"/>
  <c r="H275" i="8"/>
  <c r="G275" i="8"/>
  <c r="F275" i="8"/>
  <c r="I275" i="8" s="1"/>
  <c r="H274" i="8"/>
  <c r="G274" i="8"/>
  <c r="I274" i="8" s="1"/>
  <c r="F274" i="8"/>
  <c r="H273" i="8"/>
  <c r="G273" i="8"/>
  <c r="F273" i="8"/>
  <c r="H272" i="8"/>
  <c r="G272" i="8"/>
  <c r="I272" i="8" s="1"/>
  <c r="F272" i="8"/>
  <c r="H271" i="8"/>
  <c r="G271" i="8"/>
  <c r="I271" i="8" s="1"/>
  <c r="F271" i="8"/>
  <c r="H270" i="8"/>
  <c r="J270" i="8" s="1"/>
  <c r="K270" i="8" s="1"/>
  <c r="L270" i="8" s="1"/>
  <c r="G270" i="8"/>
  <c r="I270" i="8" s="1"/>
  <c r="F270" i="8"/>
  <c r="H269" i="8"/>
  <c r="G269" i="8"/>
  <c r="F269" i="8"/>
  <c r="H268" i="8"/>
  <c r="G268" i="8"/>
  <c r="F268" i="8"/>
  <c r="H267" i="8"/>
  <c r="G267" i="8"/>
  <c r="I267" i="8" s="1"/>
  <c r="F267" i="8"/>
  <c r="H266" i="8"/>
  <c r="G266" i="8"/>
  <c r="F266" i="8"/>
  <c r="H265" i="8"/>
  <c r="J265" i="8" s="1"/>
  <c r="K265" i="8" s="1"/>
  <c r="L265" i="8" s="1"/>
  <c r="G265" i="8"/>
  <c r="I265" i="8" s="1"/>
  <c r="F265" i="8"/>
  <c r="H264" i="8"/>
  <c r="G264" i="8"/>
  <c r="F264" i="8"/>
  <c r="I264" i="8" s="1"/>
  <c r="H263" i="8"/>
  <c r="G263" i="8"/>
  <c r="F263" i="8"/>
  <c r="H262" i="8"/>
  <c r="G262" i="8"/>
  <c r="F262" i="8"/>
  <c r="I262" i="8" s="1"/>
  <c r="H261" i="8"/>
  <c r="G261" i="8"/>
  <c r="F261" i="8"/>
  <c r="H260" i="8"/>
  <c r="G260" i="8"/>
  <c r="I260" i="8" s="1"/>
  <c r="F260" i="8"/>
  <c r="H259" i="8"/>
  <c r="G259" i="8"/>
  <c r="I259" i="8" s="1"/>
  <c r="F259" i="8"/>
  <c r="H258" i="8"/>
  <c r="J258" i="8" s="1"/>
  <c r="K258" i="8" s="1"/>
  <c r="L258" i="8" s="1"/>
  <c r="G258" i="8"/>
  <c r="I258" i="8" s="1"/>
  <c r="F258" i="8"/>
  <c r="H257" i="8"/>
  <c r="G257" i="8"/>
  <c r="F257" i="8"/>
  <c r="H256" i="8"/>
  <c r="G256" i="8"/>
  <c r="F256" i="8"/>
  <c r="H255" i="8"/>
  <c r="G255" i="8"/>
  <c r="F255" i="8"/>
  <c r="H254" i="8"/>
  <c r="G254" i="8"/>
  <c r="F254" i="8"/>
  <c r="H253" i="8"/>
  <c r="G253" i="8"/>
  <c r="I253" i="8" s="1"/>
  <c r="J253" i="8" s="1"/>
  <c r="K253" i="8" s="1"/>
  <c r="L253" i="8" s="1"/>
  <c r="F253" i="8"/>
  <c r="H252" i="8"/>
  <c r="G252" i="8"/>
  <c r="F252" i="8"/>
  <c r="H251" i="8"/>
  <c r="G251" i="8"/>
  <c r="F251" i="8"/>
  <c r="H250" i="8"/>
  <c r="G250" i="8"/>
  <c r="F250" i="8"/>
  <c r="H249" i="8"/>
  <c r="G249" i="8"/>
  <c r="F249" i="8"/>
  <c r="H248" i="8"/>
  <c r="G248" i="8"/>
  <c r="I248" i="8" s="1"/>
  <c r="F248" i="8"/>
  <c r="H247" i="8"/>
  <c r="G247" i="8"/>
  <c r="F247" i="8"/>
  <c r="I246" i="8"/>
  <c r="H246" i="8"/>
  <c r="G246" i="8"/>
  <c r="F246" i="8"/>
  <c r="H245" i="8"/>
  <c r="G245" i="8"/>
  <c r="F245" i="8"/>
  <c r="H244" i="8"/>
  <c r="G244" i="8"/>
  <c r="F244" i="8"/>
  <c r="H243" i="8"/>
  <c r="G243" i="8"/>
  <c r="I243" i="8" s="1"/>
  <c r="F243" i="8"/>
  <c r="H242" i="8"/>
  <c r="G242" i="8"/>
  <c r="I242" i="8" s="1"/>
  <c r="F242" i="8"/>
  <c r="H241" i="8"/>
  <c r="G241" i="8"/>
  <c r="I241" i="8" s="1"/>
  <c r="F241" i="8"/>
  <c r="H240" i="8"/>
  <c r="G240" i="8"/>
  <c r="F240" i="8"/>
  <c r="I240" i="8" s="1"/>
  <c r="H239" i="8"/>
  <c r="G239" i="8"/>
  <c r="F239" i="8"/>
  <c r="H238" i="8"/>
  <c r="G238" i="8"/>
  <c r="F238" i="8"/>
  <c r="H237" i="8"/>
  <c r="G237" i="8"/>
  <c r="F237" i="8"/>
  <c r="I237" i="8" s="1"/>
  <c r="H236" i="8"/>
  <c r="G236" i="8"/>
  <c r="I236" i="8" s="1"/>
  <c r="F236" i="8"/>
  <c r="J235" i="8"/>
  <c r="K235" i="8" s="1"/>
  <c r="H235" i="8"/>
  <c r="G235" i="8"/>
  <c r="I235" i="8" s="1"/>
  <c r="F235" i="8"/>
  <c r="H234" i="8"/>
  <c r="J234" i="8" s="1"/>
  <c r="K234" i="8" s="1"/>
  <c r="G234" i="8"/>
  <c r="F234" i="8"/>
  <c r="I234" i="8" s="1"/>
  <c r="H233" i="8"/>
  <c r="G233" i="8"/>
  <c r="I233" i="8" s="1"/>
  <c r="J233" i="8" s="1"/>
  <c r="K233" i="8" s="1"/>
  <c r="F233" i="8"/>
  <c r="J232" i="8"/>
  <c r="K232" i="8" s="1"/>
  <c r="H232" i="8"/>
  <c r="G232" i="8"/>
  <c r="I232" i="8" s="1"/>
  <c r="F232" i="8"/>
  <c r="H231" i="8"/>
  <c r="G231" i="8"/>
  <c r="I231" i="8" s="1"/>
  <c r="F231" i="8"/>
  <c r="H230" i="8"/>
  <c r="G230" i="8"/>
  <c r="F230" i="8"/>
  <c r="I230" i="8" s="1"/>
  <c r="H229" i="8"/>
  <c r="G229" i="8"/>
  <c r="I229" i="8" s="1"/>
  <c r="F229" i="8"/>
  <c r="H228" i="8"/>
  <c r="G228" i="8"/>
  <c r="F228" i="8"/>
  <c r="I228" i="8" s="1"/>
  <c r="H227" i="8"/>
  <c r="G227" i="8"/>
  <c r="F227" i="8"/>
  <c r="H226" i="8"/>
  <c r="G226" i="8"/>
  <c r="F226" i="8"/>
  <c r="H225" i="8"/>
  <c r="G225" i="8"/>
  <c r="F225" i="8"/>
  <c r="H224" i="8"/>
  <c r="G224" i="8"/>
  <c r="F224" i="8"/>
  <c r="H223" i="8"/>
  <c r="G223" i="8"/>
  <c r="I223" i="8" s="1"/>
  <c r="F223" i="8"/>
  <c r="H222" i="8"/>
  <c r="G222" i="8"/>
  <c r="I222" i="8" s="1"/>
  <c r="F222" i="8"/>
  <c r="I221" i="8"/>
  <c r="H221" i="8"/>
  <c r="G221" i="8"/>
  <c r="F221" i="8"/>
  <c r="H220" i="8"/>
  <c r="G220" i="8"/>
  <c r="I220" i="8" s="1"/>
  <c r="F220" i="8"/>
  <c r="H219" i="8"/>
  <c r="G219" i="8"/>
  <c r="I219" i="8" s="1"/>
  <c r="F219" i="8"/>
  <c r="H218" i="8"/>
  <c r="G218" i="8"/>
  <c r="F218" i="8"/>
  <c r="H217" i="8"/>
  <c r="G217" i="8"/>
  <c r="F217" i="8"/>
  <c r="H216" i="8"/>
  <c r="G216" i="8"/>
  <c r="F216" i="8"/>
  <c r="I216" i="8" s="1"/>
  <c r="H215" i="8"/>
  <c r="G215" i="8"/>
  <c r="F215" i="8"/>
  <c r="H214" i="8"/>
  <c r="J214" i="8" s="1"/>
  <c r="K214" i="8" s="1"/>
  <c r="G214" i="8"/>
  <c r="F214" i="8"/>
  <c r="I214" i="8" s="1"/>
  <c r="H213" i="8"/>
  <c r="G213" i="8"/>
  <c r="F213" i="8"/>
  <c r="I213" i="8" s="1"/>
  <c r="H212" i="8"/>
  <c r="G212" i="8"/>
  <c r="F212" i="8"/>
  <c r="H211" i="8"/>
  <c r="G211" i="8"/>
  <c r="I211" i="8" s="1"/>
  <c r="F211" i="8"/>
  <c r="I210" i="8"/>
  <c r="H210" i="8"/>
  <c r="G210" i="8"/>
  <c r="F210" i="8"/>
  <c r="H209" i="8"/>
  <c r="G209" i="8"/>
  <c r="I209" i="8" s="1"/>
  <c r="F209" i="8"/>
  <c r="H208" i="8"/>
  <c r="G208" i="8"/>
  <c r="F208" i="8"/>
  <c r="I207" i="8"/>
  <c r="H207" i="8"/>
  <c r="G207" i="8"/>
  <c r="F207" i="8"/>
  <c r="H206" i="8"/>
  <c r="G206" i="8"/>
  <c r="F206" i="8"/>
  <c r="I206" i="8" s="1"/>
  <c r="H205" i="8"/>
  <c r="G205" i="8"/>
  <c r="F205" i="8"/>
  <c r="H204" i="8"/>
  <c r="G204" i="8"/>
  <c r="F204" i="8"/>
  <c r="H203" i="8"/>
  <c r="G203" i="8"/>
  <c r="F203" i="8"/>
  <c r="I203" i="8" s="1"/>
  <c r="H202" i="8"/>
  <c r="G202" i="8"/>
  <c r="F202" i="8"/>
  <c r="I202" i="8" s="1"/>
  <c r="H201" i="8"/>
  <c r="G201" i="8"/>
  <c r="F201" i="8"/>
  <c r="I201" i="8" s="1"/>
  <c r="H200" i="8"/>
  <c r="G200" i="8"/>
  <c r="F200" i="8"/>
  <c r="H199" i="8"/>
  <c r="G199" i="8"/>
  <c r="F199" i="8"/>
  <c r="H198" i="8"/>
  <c r="G198" i="8"/>
  <c r="I198" i="8" s="1"/>
  <c r="F198" i="8"/>
  <c r="H197" i="8"/>
  <c r="G197" i="8"/>
  <c r="I197" i="8" s="1"/>
  <c r="F197" i="8"/>
  <c r="H196" i="8"/>
  <c r="G196" i="8"/>
  <c r="I196" i="8" s="1"/>
  <c r="F196" i="8"/>
  <c r="H195" i="8"/>
  <c r="G195" i="8"/>
  <c r="I195" i="8" s="1"/>
  <c r="F195" i="8"/>
  <c r="H194" i="8"/>
  <c r="G194" i="8"/>
  <c r="F194" i="8"/>
  <c r="I194" i="8" s="1"/>
  <c r="H193" i="8"/>
  <c r="G193" i="8"/>
  <c r="F193" i="8"/>
  <c r="H192" i="8"/>
  <c r="G192" i="8"/>
  <c r="F192" i="8"/>
  <c r="I192" i="8" s="1"/>
  <c r="H191" i="8"/>
  <c r="G191" i="8"/>
  <c r="F191" i="8"/>
  <c r="H190" i="8"/>
  <c r="G190" i="8"/>
  <c r="F190" i="8"/>
  <c r="H189" i="8"/>
  <c r="G189" i="8"/>
  <c r="F189" i="8"/>
  <c r="I189" i="8" s="1"/>
  <c r="H188" i="8"/>
  <c r="G188" i="8"/>
  <c r="F188" i="8"/>
  <c r="H187" i="8"/>
  <c r="G187" i="8"/>
  <c r="I187" i="8" s="1"/>
  <c r="F187" i="8"/>
  <c r="H186" i="8"/>
  <c r="G186" i="8"/>
  <c r="I186" i="8" s="1"/>
  <c r="F186" i="8"/>
  <c r="I185" i="8"/>
  <c r="H185" i="8"/>
  <c r="G185" i="8"/>
  <c r="F185" i="8"/>
  <c r="H184" i="8"/>
  <c r="G184" i="8"/>
  <c r="F184" i="8"/>
  <c r="H183" i="8"/>
  <c r="G183" i="8"/>
  <c r="I183" i="8" s="1"/>
  <c r="F183" i="8"/>
  <c r="H182" i="8"/>
  <c r="G182" i="8"/>
  <c r="F182" i="8"/>
  <c r="I182" i="8" s="1"/>
  <c r="H181" i="8"/>
  <c r="G181" i="8"/>
  <c r="I181" i="8" s="1"/>
  <c r="F181" i="8"/>
  <c r="H180" i="8"/>
  <c r="G180" i="8"/>
  <c r="F180" i="8"/>
  <c r="H179" i="8"/>
  <c r="G179" i="8"/>
  <c r="F179" i="8"/>
  <c r="H178" i="8"/>
  <c r="G178" i="8"/>
  <c r="F178" i="8"/>
  <c r="I178" i="8" s="1"/>
  <c r="H177" i="8"/>
  <c r="G177" i="8"/>
  <c r="F177" i="8"/>
  <c r="I177" i="8" s="1"/>
  <c r="H176" i="8"/>
  <c r="G176" i="8"/>
  <c r="F176" i="8"/>
  <c r="H175" i="8"/>
  <c r="G175" i="8"/>
  <c r="I175" i="8" s="1"/>
  <c r="F175" i="8"/>
  <c r="H174" i="8"/>
  <c r="G174" i="8"/>
  <c r="I174" i="8" s="1"/>
  <c r="F174" i="8"/>
  <c r="H173" i="8"/>
  <c r="G173" i="8"/>
  <c r="I173" i="8" s="1"/>
  <c r="F173" i="8"/>
  <c r="H172" i="8"/>
  <c r="G172" i="8"/>
  <c r="F172" i="8"/>
  <c r="H171" i="8"/>
  <c r="G171" i="8"/>
  <c r="I171" i="8" s="1"/>
  <c r="F171" i="8"/>
  <c r="H170" i="8"/>
  <c r="G170" i="8"/>
  <c r="F170" i="8"/>
  <c r="I170" i="8" s="1"/>
  <c r="H169" i="8"/>
  <c r="J169" i="8" s="1"/>
  <c r="K169" i="8" s="1"/>
  <c r="G169" i="8"/>
  <c r="I169" i="8" s="1"/>
  <c r="F169" i="8"/>
  <c r="H168" i="8"/>
  <c r="G168" i="8"/>
  <c r="F168" i="8"/>
  <c r="I168" i="8" s="1"/>
  <c r="H167" i="8"/>
  <c r="G167" i="8"/>
  <c r="F167" i="8"/>
  <c r="H166" i="8"/>
  <c r="G166" i="8"/>
  <c r="F166" i="8"/>
  <c r="I166" i="8" s="1"/>
  <c r="H165" i="8"/>
  <c r="G165" i="8"/>
  <c r="F165" i="8"/>
  <c r="H164" i="8"/>
  <c r="G164" i="8"/>
  <c r="F164" i="8"/>
  <c r="H163" i="8"/>
  <c r="G163" i="8"/>
  <c r="I163" i="8" s="1"/>
  <c r="F163" i="8"/>
  <c r="H162" i="8"/>
  <c r="G162" i="8"/>
  <c r="I162" i="8" s="1"/>
  <c r="F162" i="8"/>
  <c r="H161" i="8"/>
  <c r="G161" i="8"/>
  <c r="I161" i="8" s="1"/>
  <c r="F161" i="8"/>
  <c r="H160" i="8"/>
  <c r="G160" i="8"/>
  <c r="F160" i="8"/>
  <c r="H159" i="8"/>
  <c r="G159" i="8"/>
  <c r="I159" i="8" s="1"/>
  <c r="F159" i="8"/>
  <c r="H158" i="8"/>
  <c r="G158" i="8"/>
  <c r="F158" i="8"/>
  <c r="H157" i="8"/>
  <c r="G157" i="8"/>
  <c r="F157" i="8"/>
  <c r="H156" i="8"/>
  <c r="G156" i="8"/>
  <c r="F156" i="8"/>
  <c r="H155" i="8"/>
  <c r="G155" i="8"/>
  <c r="F155" i="8"/>
  <c r="I155" i="8" s="1"/>
  <c r="H154" i="8"/>
  <c r="G154" i="8"/>
  <c r="F154" i="8"/>
  <c r="H153" i="8"/>
  <c r="G153" i="8"/>
  <c r="F153" i="8"/>
  <c r="I153" i="8" s="1"/>
  <c r="H152" i="8"/>
  <c r="G152" i="8"/>
  <c r="F152" i="8"/>
  <c r="H151" i="8"/>
  <c r="G151" i="8"/>
  <c r="F151" i="8"/>
  <c r="H150" i="8"/>
  <c r="G150" i="8"/>
  <c r="F150" i="8"/>
  <c r="I150" i="8" s="1"/>
  <c r="H149" i="8"/>
  <c r="G149" i="8"/>
  <c r="I149" i="8" s="1"/>
  <c r="F149" i="8"/>
  <c r="H148" i="8"/>
  <c r="G148" i="8"/>
  <c r="F148" i="8"/>
  <c r="H147" i="8"/>
  <c r="G147" i="8"/>
  <c r="F147" i="8"/>
  <c r="I147" i="8" s="1"/>
  <c r="J147" i="8" s="1"/>
  <c r="K147" i="8" s="1"/>
  <c r="L147" i="8" s="1"/>
  <c r="H146" i="8"/>
  <c r="G146" i="8"/>
  <c r="I146" i="8" s="1"/>
  <c r="F146" i="8"/>
  <c r="H145" i="8"/>
  <c r="G145" i="8"/>
  <c r="I145" i="8" s="1"/>
  <c r="F145" i="8"/>
  <c r="H144" i="8"/>
  <c r="G144" i="8"/>
  <c r="I144" i="8" s="1"/>
  <c r="F144" i="8"/>
  <c r="H143" i="8"/>
  <c r="G143" i="8"/>
  <c r="I143" i="8" s="1"/>
  <c r="F143" i="8"/>
  <c r="H142" i="8"/>
  <c r="G142" i="8"/>
  <c r="F142" i="8"/>
  <c r="I142" i="8" s="1"/>
  <c r="H141" i="8"/>
  <c r="G141" i="8"/>
  <c r="I141" i="8" s="1"/>
  <c r="F141" i="8"/>
  <c r="H140" i="8"/>
  <c r="G140" i="8"/>
  <c r="F140" i="8"/>
  <c r="H139" i="8"/>
  <c r="G139" i="8"/>
  <c r="F139" i="8"/>
  <c r="H138" i="8"/>
  <c r="G138" i="8"/>
  <c r="I138" i="8" s="1"/>
  <c r="F138" i="8"/>
  <c r="H137" i="8"/>
  <c r="G137" i="8"/>
  <c r="I137" i="8" s="1"/>
  <c r="F137" i="8"/>
  <c r="H136" i="8"/>
  <c r="G136" i="8"/>
  <c r="I136" i="8" s="1"/>
  <c r="F136" i="8"/>
  <c r="H135" i="8"/>
  <c r="G135" i="8"/>
  <c r="F135" i="8"/>
  <c r="I135" i="8" s="1"/>
  <c r="H134" i="8"/>
  <c r="G134" i="8"/>
  <c r="F134" i="8"/>
  <c r="I134" i="8" s="1"/>
  <c r="H133" i="8"/>
  <c r="G133" i="8"/>
  <c r="F133" i="8"/>
  <c r="I132" i="8"/>
  <c r="H132" i="8"/>
  <c r="G132" i="8"/>
  <c r="F132" i="8"/>
  <c r="H131" i="8"/>
  <c r="G131" i="8"/>
  <c r="I131" i="8" s="1"/>
  <c r="F131" i="8"/>
  <c r="H130" i="8"/>
  <c r="G130" i="8"/>
  <c r="I130" i="8" s="1"/>
  <c r="F130" i="8"/>
  <c r="H129" i="8"/>
  <c r="G129" i="8"/>
  <c r="I129" i="8" s="1"/>
  <c r="F129" i="8"/>
  <c r="H128" i="8"/>
  <c r="G128" i="8"/>
  <c r="F128" i="8"/>
  <c r="H127" i="8"/>
  <c r="G127" i="8"/>
  <c r="I127" i="8" s="1"/>
  <c r="F127" i="8"/>
  <c r="H126" i="8"/>
  <c r="G126" i="8"/>
  <c r="I126" i="8" s="1"/>
  <c r="J126" i="8" s="1"/>
  <c r="K126" i="8" s="1"/>
  <c r="F126" i="8"/>
  <c r="H125" i="8"/>
  <c r="G125" i="8"/>
  <c r="I125" i="8" s="1"/>
  <c r="F125" i="8"/>
  <c r="H124" i="8"/>
  <c r="G124" i="8"/>
  <c r="F124" i="8"/>
  <c r="H123" i="8"/>
  <c r="G123" i="8"/>
  <c r="I123" i="8" s="1"/>
  <c r="F123" i="8"/>
  <c r="H122" i="8"/>
  <c r="G122" i="8"/>
  <c r="F122" i="8"/>
  <c r="I122" i="8" s="1"/>
  <c r="H121" i="8"/>
  <c r="G121" i="8"/>
  <c r="I121" i="8" s="1"/>
  <c r="F121" i="8"/>
  <c r="H120" i="8"/>
  <c r="G120" i="8"/>
  <c r="F120" i="8"/>
  <c r="H119" i="8"/>
  <c r="G119" i="8"/>
  <c r="F119" i="8"/>
  <c r="I119" i="8" s="1"/>
  <c r="H118" i="8"/>
  <c r="G118" i="8"/>
  <c r="I118" i="8" s="1"/>
  <c r="J118" i="8" s="1"/>
  <c r="K118" i="8" s="1"/>
  <c r="L118" i="8" s="1"/>
  <c r="F118" i="8"/>
  <c r="H117" i="8"/>
  <c r="G117" i="8"/>
  <c r="F117" i="8"/>
  <c r="H116" i="8"/>
  <c r="G116" i="8"/>
  <c r="I116" i="8" s="1"/>
  <c r="F116" i="8"/>
  <c r="H115" i="8"/>
  <c r="G115" i="8"/>
  <c r="I115" i="8" s="1"/>
  <c r="F115" i="8"/>
  <c r="H114" i="8"/>
  <c r="G114" i="8"/>
  <c r="F114" i="8"/>
  <c r="H113" i="8"/>
  <c r="G113" i="8"/>
  <c r="I113" i="8" s="1"/>
  <c r="F113" i="8"/>
  <c r="H112" i="8"/>
  <c r="G112" i="8"/>
  <c r="F112" i="8"/>
  <c r="H111" i="8"/>
  <c r="G111" i="8"/>
  <c r="I111" i="8" s="1"/>
  <c r="J111" i="8" s="1"/>
  <c r="K111" i="8" s="1"/>
  <c r="F111" i="8"/>
  <c r="H110" i="8"/>
  <c r="G110" i="8"/>
  <c r="F110" i="8"/>
  <c r="I110" i="8" s="1"/>
  <c r="H109" i="8"/>
  <c r="G109" i="8"/>
  <c r="I109" i="8" s="1"/>
  <c r="F109" i="8"/>
  <c r="H108" i="8"/>
  <c r="G108" i="8"/>
  <c r="F108" i="8"/>
  <c r="H107" i="8"/>
  <c r="G107" i="8"/>
  <c r="F107" i="8"/>
  <c r="H106" i="8"/>
  <c r="G106" i="8"/>
  <c r="I106" i="8" s="1"/>
  <c r="F106" i="8"/>
  <c r="H105" i="8"/>
  <c r="G105" i="8"/>
  <c r="I105" i="8" s="1"/>
  <c r="F105" i="8"/>
  <c r="H104" i="8"/>
  <c r="G104" i="8"/>
  <c r="F104" i="8"/>
  <c r="H103" i="8"/>
  <c r="G103" i="8"/>
  <c r="I103" i="8" s="1"/>
  <c r="F103" i="8"/>
  <c r="H102" i="8"/>
  <c r="G102" i="8"/>
  <c r="I102" i="8" s="1"/>
  <c r="J102" i="8" s="1"/>
  <c r="K102" i="8" s="1"/>
  <c r="F102" i="8"/>
  <c r="H101" i="8"/>
  <c r="G101" i="8"/>
  <c r="I101" i="8" s="1"/>
  <c r="F101" i="8"/>
  <c r="H100" i="8"/>
  <c r="G100" i="8"/>
  <c r="F100" i="8"/>
  <c r="H99" i="8"/>
  <c r="G99" i="8"/>
  <c r="I99" i="8" s="1"/>
  <c r="F99" i="8"/>
  <c r="H98" i="8"/>
  <c r="G98" i="8"/>
  <c r="F98" i="8"/>
  <c r="H97" i="8"/>
  <c r="G97" i="8"/>
  <c r="I97" i="8" s="1"/>
  <c r="F97" i="8"/>
  <c r="H96" i="8"/>
  <c r="G96" i="8"/>
  <c r="F96" i="8"/>
  <c r="H95" i="8"/>
  <c r="G95" i="8"/>
  <c r="F95" i="8"/>
  <c r="I94" i="8"/>
  <c r="H94" i="8"/>
  <c r="G94" i="8"/>
  <c r="F94" i="8"/>
  <c r="H93" i="8"/>
  <c r="G93" i="8"/>
  <c r="I93" i="8" s="1"/>
  <c r="F93" i="8"/>
  <c r="H92" i="8"/>
  <c r="G92" i="8"/>
  <c r="I92" i="8" s="1"/>
  <c r="F92" i="8"/>
  <c r="H91" i="8"/>
  <c r="G91" i="8"/>
  <c r="F91" i="8"/>
  <c r="I91" i="8" s="1"/>
  <c r="H90" i="8"/>
  <c r="G90" i="8"/>
  <c r="F90" i="8"/>
  <c r="H89" i="8"/>
  <c r="G89" i="8"/>
  <c r="F89" i="8"/>
  <c r="I89" i="8" s="1"/>
  <c r="H88" i="8"/>
  <c r="G88" i="8"/>
  <c r="F88" i="8"/>
  <c r="H87" i="8"/>
  <c r="G87" i="8"/>
  <c r="I87" i="8" s="1"/>
  <c r="J87" i="8" s="1"/>
  <c r="K87" i="8" s="1"/>
  <c r="F87" i="8"/>
  <c r="H86" i="8"/>
  <c r="G86" i="8"/>
  <c r="F86" i="8"/>
  <c r="I86" i="8" s="1"/>
  <c r="H85" i="8"/>
  <c r="G85" i="8"/>
  <c r="I85" i="8" s="1"/>
  <c r="F85" i="8"/>
  <c r="H84" i="8"/>
  <c r="G84" i="8"/>
  <c r="I84" i="8" s="1"/>
  <c r="F84" i="8"/>
  <c r="H83" i="8"/>
  <c r="G83" i="8"/>
  <c r="F83" i="8"/>
  <c r="H82" i="8"/>
  <c r="G82" i="8"/>
  <c r="I82" i="8" s="1"/>
  <c r="F82" i="8"/>
  <c r="H81" i="8"/>
  <c r="G81" i="8"/>
  <c r="I81" i="8" s="1"/>
  <c r="F81" i="8"/>
  <c r="H80" i="8"/>
  <c r="G80" i="8"/>
  <c r="F80" i="8"/>
  <c r="H79" i="8"/>
  <c r="G79" i="8"/>
  <c r="I79" i="8" s="1"/>
  <c r="F79" i="8"/>
  <c r="H78" i="8"/>
  <c r="G78" i="8"/>
  <c r="F78" i="8"/>
  <c r="H77" i="8"/>
  <c r="G77" i="8"/>
  <c r="I77" i="8" s="1"/>
  <c r="F77" i="8"/>
  <c r="H76" i="8"/>
  <c r="G76" i="8"/>
  <c r="F76" i="8"/>
  <c r="H75" i="8"/>
  <c r="G75" i="8"/>
  <c r="I75" i="8" s="1"/>
  <c r="F75" i="8"/>
  <c r="H74" i="8"/>
  <c r="G74" i="8"/>
  <c r="I74" i="8" s="1"/>
  <c r="F74" i="8"/>
  <c r="I73" i="8"/>
  <c r="H73" i="8"/>
  <c r="G73" i="8"/>
  <c r="F73" i="8"/>
  <c r="H72" i="8"/>
  <c r="G72" i="8"/>
  <c r="I72" i="8" s="1"/>
  <c r="F72" i="8"/>
  <c r="H71" i="8"/>
  <c r="G71" i="8"/>
  <c r="F71" i="8"/>
  <c r="H70" i="8"/>
  <c r="G70" i="8"/>
  <c r="F70" i="8"/>
  <c r="I70" i="8" s="1"/>
  <c r="H69" i="8"/>
  <c r="G69" i="8"/>
  <c r="F69" i="8"/>
  <c r="H68" i="8"/>
  <c r="G68" i="8"/>
  <c r="I68" i="8" s="1"/>
  <c r="F68" i="8"/>
  <c r="H67" i="8"/>
  <c r="G67" i="8"/>
  <c r="I67" i="8" s="1"/>
  <c r="F67" i="8"/>
  <c r="H66" i="8"/>
  <c r="G66" i="8"/>
  <c r="F66" i="8"/>
  <c r="H65" i="8"/>
  <c r="G65" i="8"/>
  <c r="I65" i="8" s="1"/>
  <c r="F65" i="8"/>
  <c r="H64" i="8"/>
  <c r="G64" i="8"/>
  <c r="F64" i="8"/>
  <c r="H63" i="8"/>
  <c r="G63" i="8"/>
  <c r="I63" i="8" s="1"/>
  <c r="F63" i="8"/>
  <c r="H62" i="8"/>
  <c r="G62" i="8"/>
  <c r="I62" i="8" s="1"/>
  <c r="F62" i="8"/>
  <c r="H61" i="8"/>
  <c r="G61" i="8"/>
  <c r="I61" i="8" s="1"/>
  <c r="F61" i="8"/>
  <c r="H60" i="8"/>
  <c r="G60" i="8"/>
  <c r="F60" i="8"/>
  <c r="H59" i="8"/>
  <c r="G59" i="8"/>
  <c r="F59" i="8"/>
  <c r="H58" i="8"/>
  <c r="J58" i="8" s="1"/>
  <c r="K58" i="8" s="1"/>
  <c r="G58" i="8"/>
  <c r="F58" i="8"/>
  <c r="I58" i="8" s="1"/>
  <c r="H57" i="8"/>
  <c r="G57" i="8"/>
  <c r="F57" i="8"/>
  <c r="H56" i="8"/>
  <c r="G56" i="8"/>
  <c r="F56" i="8"/>
  <c r="H55" i="8"/>
  <c r="G55" i="8"/>
  <c r="I55" i="8" s="1"/>
  <c r="F55" i="8"/>
  <c r="H54" i="8"/>
  <c r="G54" i="8"/>
  <c r="F54" i="8"/>
  <c r="H53" i="8"/>
  <c r="G53" i="8"/>
  <c r="F53" i="8"/>
  <c r="H52" i="8"/>
  <c r="G52" i="8"/>
  <c r="F52" i="8"/>
  <c r="H51" i="8"/>
  <c r="G51" i="8"/>
  <c r="I51" i="8" s="1"/>
  <c r="F51" i="8"/>
  <c r="H50" i="8"/>
  <c r="G50" i="8"/>
  <c r="F50" i="8"/>
  <c r="I50" i="8" s="1"/>
  <c r="H49" i="8"/>
  <c r="G49" i="8"/>
  <c r="F49" i="8"/>
  <c r="H48" i="8"/>
  <c r="G48" i="8"/>
  <c r="F48" i="8"/>
  <c r="H47" i="8"/>
  <c r="G47" i="8"/>
  <c r="F47" i="8"/>
  <c r="I46" i="8"/>
  <c r="H46" i="8"/>
  <c r="G46" i="8"/>
  <c r="F46" i="8"/>
  <c r="H45" i="8"/>
  <c r="G45" i="8"/>
  <c r="I45" i="8" s="1"/>
  <c r="F45" i="8"/>
  <c r="H44" i="8"/>
  <c r="G44" i="8"/>
  <c r="I44" i="8" s="1"/>
  <c r="F44" i="8"/>
  <c r="H43" i="8"/>
  <c r="G43" i="8"/>
  <c r="F43" i="8"/>
  <c r="H42" i="8"/>
  <c r="G42" i="8"/>
  <c r="F42" i="8"/>
  <c r="H41" i="8"/>
  <c r="G41" i="8"/>
  <c r="I41" i="8" s="1"/>
  <c r="F41" i="8"/>
  <c r="H40" i="8"/>
  <c r="G40" i="8"/>
  <c r="I40" i="8" s="1"/>
  <c r="F40" i="8"/>
  <c r="H39" i="8"/>
  <c r="G39" i="8"/>
  <c r="F39" i="8"/>
  <c r="H38" i="8"/>
  <c r="G38" i="8"/>
  <c r="I38" i="8" s="1"/>
  <c r="F38" i="8"/>
  <c r="H37" i="8"/>
  <c r="G37" i="8"/>
  <c r="I37" i="8" s="1"/>
  <c r="F37" i="8"/>
  <c r="H36" i="8"/>
  <c r="G36" i="8"/>
  <c r="F36" i="8"/>
  <c r="H35" i="8"/>
  <c r="G35" i="8"/>
  <c r="F35" i="8"/>
  <c r="H34" i="8"/>
  <c r="G34" i="8"/>
  <c r="F34" i="8"/>
  <c r="I34" i="8" s="1"/>
  <c r="H33" i="8"/>
  <c r="G33" i="8"/>
  <c r="I33" i="8" s="1"/>
  <c r="J33" i="8" s="1"/>
  <c r="K33" i="8" s="1"/>
  <c r="F33" i="8"/>
  <c r="H32" i="8"/>
  <c r="G32" i="8"/>
  <c r="F32" i="8"/>
  <c r="H31" i="8"/>
  <c r="G31" i="8"/>
  <c r="I31" i="8" s="1"/>
  <c r="F31" i="8"/>
  <c r="H30" i="8"/>
  <c r="G30" i="8"/>
  <c r="F30" i="8"/>
  <c r="H29" i="8"/>
  <c r="G29" i="8"/>
  <c r="I29" i="8" s="1"/>
  <c r="F29" i="8"/>
  <c r="H28" i="8"/>
  <c r="G28" i="8"/>
  <c r="F28" i="8"/>
  <c r="H27" i="8"/>
  <c r="G27" i="8"/>
  <c r="I27" i="8" s="1"/>
  <c r="F27" i="8"/>
  <c r="H26" i="8"/>
  <c r="G26" i="8"/>
  <c r="F26" i="8"/>
  <c r="I26" i="8" s="1"/>
  <c r="I25" i="8"/>
  <c r="H25" i="8"/>
  <c r="G25" i="8"/>
  <c r="F25" i="8"/>
  <c r="H24" i="8"/>
  <c r="G24" i="8"/>
  <c r="F24" i="8"/>
  <c r="H23" i="8"/>
  <c r="G23" i="8"/>
  <c r="I23" i="8" s="1"/>
  <c r="F23" i="8"/>
  <c r="H22" i="8"/>
  <c r="G22" i="8"/>
  <c r="F22" i="8"/>
  <c r="I22" i="8" s="1"/>
  <c r="H21" i="8"/>
  <c r="G21" i="8"/>
  <c r="I21" i="8" s="1"/>
  <c r="F21" i="8"/>
  <c r="H20" i="8"/>
  <c r="G20" i="8"/>
  <c r="I20" i="8" s="1"/>
  <c r="F20" i="8"/>
  <c r="H19" i="8"/>
  <c r="G19" i="8"/>
  <c r="I19" i="8" s="1"/>
  <c r="F19" i="8"/>
  <c r="H18" i="8"/>
  <c r="G18" i="8"/>
  <c r="I18" i="8" s="1"/>
  <c r="F18" i="8"/>
  <c r="H17" i="8"/>
  <c r="G17" i="8"/>
  <c r="I17" i="8" s="1"/>
  <c r="F17" i="8"/>
  <c r="H16" i="8"/>
  <c r="G16" i="8"/>
  <c r="F16" i="8"/>
  <c r="H15" i="8"/>
  <c r="G15" i="8"/>
  <c r="I15" i="8" s="1"/>
  <c r="F15" i="8"/>
  <c r="H14" i="8"/>
  <c r="G14" i="8"/>
  <c r="I14" i="8" s="1"/>
  <c r="F14" i="8"/>
  <c r="H13" i="8"/>
  <c r="G13" i="8"/>
  <c r="I13" i="8" s="1"/>
  <c r="F13" i="8"/>
  <c r="H12" i="8"/>
  <c r="G12" i="8"/>
  <c r="F12" i="8"/>
  <c r="I11" i="8"/>
  <c r="H11" i="8"/>
  <c r="J11" i="8" s="1"/>
  <c r="K11" i="8" s="1"/>
  <c r="G11" i="8"/>
  <c r="F11" i="8"/>
  <c r="H10" i="8"/>
  <c r="G10" i="8"/>
  <c r="F10" i="8"/>
  <c r="I10" i="8" s="1"/>
  <c r="H9" i="8"/>
  <c r="G9" i="8"/>
  <c r="F9" i="8"/>
  <c r="H8" i="8"/>
  <c r="G8" i="8"/>
  <c r="I8" i="8" s="1"/>
  <c r="F8" i="8"/>
  <c r="I7" i="8"/>
  <c r="H7" i="8"/>
  <c r="G7" i="8"/>
  <c r="F7" i="8"/>
  <c r="H6" i="8"/>
  <c r="G6" i="8"/>
  <c r="I6" i="8" s="1"/>
  <c r="F6" i="8"/>
  <c r="H5" i="8"/>
  <c r="G5" i="8"/>
  <c r="I5" i="8" s="1"/>
  <c r="F5" i="8"/>
  <c r="H4" i="8"/>
  <c r="G4" i="8"/>
  <c r="I4" i="8" s="1"/>
  <c r="F4" i="8"/>
  <c r="H3" i="8"/>
  <c r="G3" i="8"/>
  <c r="F3" i="8"/>
  <c r="H2" i="8"/>
  <c r="J2" i="8" s="1"/>
  <c r="K2" i="8" s="1"/>
  <c r="G2" i="8"/>
  <c r="I2" i="8" s="1"/>
  <c r="F2" i="8"/>
  <c r="H501" i="7"/>
  <c r="G501" i="7"/>
  <c r="F501" i="7"/>
  <c r="H500" i="7"/>
  <c r="G500" i="7"/>
  <c r="F500" i="7"/>
  <c r="H499" i="7"/>
  <c r="G499" i="7"/>
  <c r="F499" i="7"/>
  <c r="H498" i="7"/>
  <c r="G498" i="7"/>
  <c r="F498" i="7"/>
  <c r="H497" i="7"/>
  <c r="G497" i="7"/>
  <c r="F497" i="7"/>
  <c r="H496" i="7"/>
  <c r="G496" i="7"/>
  <c r="I496" i="7" s="1"/>
  <c r="J496" i="7" s="1"/>
  <c r="K496" i="7" s="1"/>
  <c r="F496" i="7"/>
  <c r="H495" i="7"/>
  <c r="G495" i="7"/>
  <c r="F495" i="7"/>
  <c r="H494" i="7"/>
  <c r="G494" i="7"/>
  <c r="F494" i="7"/>
  <c r="H493" i="7"/>
  <c r="G493" i="7"/>
  <c r="F493" i="7"/>
  <c r="H492" i="7"/>
  <c r="G492" i="7"/>
  <c r="F492" i="7"/>
  <c r="H491" i="7"/>
  <c r="G491" i="7"/>
  <c r="F491" i="7"/>
  <c r="H490" i="7"/>
  <c r="G490" i="7"/>
  <c r="F490" i="7"/>
  <c r="H489" i="7"/>
  <c r="G489" i="7"/>
  <c r="F489" i="7"/>
  <c r="H488" i="7"/>
  <c r="G488" i="7"/>
  <c r="I488" i="7" s="1"/>
  <c r="F488" i="7"/>
  <c r="H487" i="7"/>
  <c r="G487" i="7"/>
  <c r="F487" i="7"/>
  <c r="H486" i="7"/>
  <c r="G486" i="7"/>
  <c r="F486" i="7"/>
  <c r="H485" i="7"/>
  <c r="G485" i="7"/>
  <c r="F485" i="7"/>
  <c r="H484" i="7"/>
  <c r="G484" i="7"/>
  <c r="F484" i="7"/>
  <c r="H483" i="7"/>
  <c r="G483" i="7"/>
  <c r="F483" i="7"/>
  <c r="H482" i="7"/>
  <c r="G482" i="7"/>
  <c r="F482" i="7"/>
  <c r="H481" i="7"/>
  <c r="G481" i="7"/>
  <c r="F481" i="7"/>
  <c r="H480" i="7"/>
  <c r="G480" i="7"/>
  <c r="I480" i="7" s="1"/>
  <c r="J480" i="7" s="1"/>
  <c r="K480" i="7" s="1"/>
  <c r="F480" i="7"/>
  <c r="H479" i="7"/>
  <c r="G479" i="7"/>
  <c r="F479" i="7"/>
  <c r="H478" i="7"/>
  <c r="G478" i="7"/>
  <c r="F478" i="7"/>
  <c r="H477" i="7"/>
  <c r="G477" i="7"/>
  <c r="F477" i="7"/>
  <c r="H476" i="7"/>
  <c r="G476" i="7"/>
  <c r="I476" i="7" s="1"/>
  <c r="J476" i="7" s="1"/>
  <c r="K476" i="7" s="1"/>
  <c r="F476" i="7"/>
  <c r="H475" i="7"/>
  <c r="G475" i="7"/>
  <c r="F475" i="7"/>
  <c r="H474" i="7"/>
  <c r="G474" i="7"/>
  <c r="F474" i="7"/>
  <c r="H473" i="7"/>
  <c r="G473" i="7"/>
  <c r="F473" i="7"/>
  <c r="H472" i="7"/>
  <c r="G472" i="7"/>
  <c r="F472" i="7"/>
  <c r="H471" i="7"/>
  <c r="G471" i="7"/>
  <c r="F471" i="7"/>
  <c r="H470" i="7"/>
  <c r="G470" i="7"/>
  <c r="F470" i="7"/>
  <c r="H469" i="7"/>
  <c r="G469" i="7"/>
  <c r="F469" i="7"/>
  <c r="H468" i="7"/>
  <c r="G468" i="7"/>
  <c r="F468" i="7"/>
  <c r="H467" i="7"/>
  <c r="G467" i="7"/>
  <c r="F467" i="7"/>
  <c r="H466" i="7"/>
  <c r="G466" i="7"/>
  <c r="F466" i="7"/>
  <c r="H465" i="7"/>
  <c r="G465" i="7"/>
  <c r="F465" i="7"/>
  <c r="H464" i="7"/>
  <c r="G464" i="7"/>
  <c r="I464" i="7" s="1"/>
  <c r="J464" i="7" s="1"/>
  <c r="K464" i="7" s="1"/>
  <c r="F464" i="7"/>
  <c r="H463" i="7"/>
  <c r="G463" i="7"/>
  <c r="F463" i="7"/>
  <c r="H462" i="7"/>
  <c r="G462" i="7"/>
  <c r="F462" i="7"/>
  <c r="H461" i="7"/>
  <c r="G461" i="7"/>
  <c r="F461" i="7"/>
  <c r="H460" i="7"/>
  <c r="G460" i="7"/>
  <c r="I460" i="7" s="1"/>
  <c r="J460" i="7" s="1"/>
  <c r="K460" i="7" s="1"/>
  <c r="F460" i="7"/>
  <c r="H459" i="7"/>
  <c r="G459" i="7"/>
  <c r="F459" i="7"/>
  <c r="H458" i="7"/>
  <c r="G458" i="7"/>
  <c r="F458" i="7"/>
  <c r="H457" i="7"/>
  <c r="G457" i="7"/>
  <c r="F457" i="7"/>
  <c r="I456" i="7"/>
  <c r="H456" i="7"/>
  <c r="G456" i="7"/>
  <c r="F456" i="7"/>
  <c r="H455" i="7"/>
  <c r="G455" i="7"/>
  <c r="F455" i="7"/>
  <c r="H454" i="7"/>
  <c r="G454" i="7"/>
  <c r="F454" i="7"/>
  <c r="H453" i="7"/>
  <c r="G453" i="7"/>
  <c r="F453" i="7"/>
  <c r="H452" i="7"/>
  <c r="G452" i="7"/>
  <c r="F452" i="7"/>
  <c r="I452" i="7" s="1"/>
  <c r="H451" i="7"/>
  <c r="G451" i="7"/>
  <c r="F451" i="7"/>
  <c r="H450" i="7"/>
  <c r="G450" i="7"/>
  <c r="F450" i="7"/>
  <c r="H449" i="7"/>
  <c r="G449" i="7"/>
  <c r="F449" i="7"/>
  <c r="H448" i="7"/>
  <c r="G448" i="7"/>
  <c r="F448" i="7"/>
  <c r="H447" i="7"/>
  <c r="G447" i="7"/>
  <c r="I447" i="7" s="1"/>
  <c r="J447" i="7" s="1"/>
  <c r="K447" i="7" s="1"/>
  <c r="F447" i="7"/>
  <c r="H446" i="7"/>
  <c r="G446" i="7"/>
  <c r="F446" i="7"/>
  <c r="H445" i="7"/>
  <c r="G445" i="7"/>
  <c r="F445" i="7"/>
  <c r="H444" i="7"/>
  <c r="J444" i="7" s="1"/>
  <c r="K444" i="7" s="1"/>
  <c r="G444" i="7"/>
  <c r="F444" i="7"/>
  <c r="I444" i="7" s="1"/>
  <c r="H443" i="7"/>
  <c r="G443" i="7"/>
  <c r="F443" i="7"/>
  <c r="H442" i="7"/>
  <c r="G442" i="7"/>
  <c r="F442" i="7"/>
  <c r="H441" i="7"/>
  <c r="G441" i="7"/>
  <c r="F441" i="7"/>
  <c r="H440" i="7"/>
  <c r="G440" i="7"/>
  <c r="F440" i="7"/>
  <c r="H439" i="7"/>
  <c r="G439" i="7"/>
  <c r="F439" i="7"/>
  <c r="H438" i="7"/>
  <c r="G438" i="7"/>
  <c r="F438" i="7"/>
  <c r="H437" i="7"/>
  <c r="G437" i="7"/>
  <c r="I437" i="7" s="1"/>
  <c r="F437" i="7"/>
  <c r="H436" i="7"/>
  <c r="G436" i="7"/>
  <c r="F436" i="7"/>
  <c r="H435" i="7"/>
  <c r="G435" i="7"/>
  <c r="F435" i="7"/>
  <c r="H434" i="7"/>
  <c r="G434" i="7"/>
  <c r="F434" i="7"/>
  <c r="H433" i="7"/>
  <c r="G433" i="7"/>
  <c r="F433" i="7"/>
  <c r="H432" i="7"/>
  <c r="G432" i="7"/>
  <c r="F432" i="7"/>
  <c r="I432" i="7" s="1"/>
  <c r="H431" i="7"/>
  <c r="G431" i="7"/>
  <c r="I431" i="7" s="1"/>
  <c r="J431" i="7" s="1"/>
  <c r="K431" i="7" s="1"/>
  <c r="F431" i="7"/>
  <c r="H430" i="7"/>
  <c r="G430" i="7"/>
  <c r="F430" i="7"/>
  <c r="H429" i="7"/>
  <c r="G429" i="7"/>
  <c r="I429" i="7" s="1"/>
  <c r="F429" i="7"/>
  <c r="H428" i="7"/>
  <c r="G428" i="7"/>
  <c r="F428" i="7"/>
  <c r="I428" i="7" s="1"/>
  <c r="H427" i="7"/>
  <c r="G427" i="7"/>
  <c r="F427" i="7"/>
  <c r="H426" i="7"/>
  <c r="G426" i="7"/>
  <c r="F426" i="7"/>
  <c r="H425" i="7"/>
  <c r="G425" i="7"/>
  <c r="F425" i="7"/>
  <c r="H424" i="7"/>
  <c r="G424" i="7"/>
  <c r="F424" i="7"/>
  <c r="H423" i="7"/>
  <c r="G423" i="7"/>
  <c r="F423" i="7"/>
  <c r="H422" i="7"/>
  <c r="G422" i="7"/>
  <c r="F422" i="7"/>
  <c r="H421" i="7"/>
  <c r="G421" i="7"/>
  <c r="F421" i="7"/>
  <c r="H420" i="7"/>
  <c r="G420" i="7"/>
  <c r="F420" i="7"/>
  <c r="H419" i="7"/>
  <c r="G419" i="7"/>
  <c r="I419" i="7" s="1"/>
  <c r="J419" i="7" s="1"/>
  <c r="K419" i="7" s="1"/>
  <c r="F419" i="7"/>
  <c r="H418" i="7"/>
  <c r="G418" i="7"/>
  <c r="F418" i="7"/>
  <c r="H417" i="7"/>
  <c r="G417" i="7"/>
  <c r="F417" i="7"/>
  <c r="H416" i="7"/>
  <c r="G416" i="7"/>
  <c r="F416" i="7"/>
  <c r="H415" i="7"/>
  <c r="G415" i="7"/>
  <c r="I415" i="7" s="1"/>
  <c r="F415" i="7"/>
  <c r="H414" i="7"/>
  <c r="G414" i="7"/>
  <c r="F414" i="7"/>
  <c r="H413" i="7"/>
  <c r="G413" i="7"/>
  <c r="F413" i="7"/>
  <c r="H412" i="7"/>
  <c r="G412" i="7"/>
  <c r="F412" i="7"/>
  <c r="H411" i="7"/>
  <c r="G411" i="7"/>
  <c r="F411" i="7"/>
  <c r="H410" i="7"/>
  <c r="G410" i="7"/>
  <c r="F410" i="7"/>
  <c r="I410" i="7" s="1"/>
  <c r="J410" i="7" s="1"/>
  <c r="K410" i="7" s="1"/>
  <c r="H409" i="7"/>
  <c r="G409" i="7"/>
  <c r="F409" i="7"/>
  <c r="H408" i="7"/>
  <c r="G408" i="7"/>
  <c r="F408" i="7"/>
  <c r="I408" i="7" s="1"/>
  <c r="H407" i="7"/>
  <c r="G407" i="7"/>
  <c r="I407" i="7" s="1"/>
  <c r="J407" i="7" s="1"/>
  <c r="K407" i="7" s="1"/>
  <c r="F407" i="7"/>
  <c r="H406" i="7"/>
  <c r="G406" i="7"/>
  <c r="I406" i="7" s="1"/>
  <c r="F406" i="7"/>
  <c r="H405" i="7"/>
  <c r="G405" i="7"/>
  <c r="F405" i="7"/>
  <c r="H404" i="7"/>
  <c r="G404" i="7"/>
  <c r="F404" i="7"/>
  <c r="H403" i="7"/>
  <c r="G403" i="7"/>
  <c r="I403" i="7" s="1"/>
  <c r="F403" i="7"/>
  <c r="H402" i="7"/>
  <c r="G402" i="7"/>
  <c r="I402" i="7" s="1"/>
  <c r="F402" i="7"/>
  <c r="H401" i="7"/>
  <c r="G401" i="7"/>
  <c r="F401" i="7"/>
  <c r="H400" i="7"/>
  <c r="G400" i="7"/>
  <c r="F400" i="7"/>
  <c r="H399" i="7"/>
  <c r="G399" i="7"/>
  <c r="I399" i="7" s="1"/>
  <c r="F399" i="7"/>
  <c r="H398" i="7"/>
  <c r="G398" i="7"/>
  <c r="I398" i="7" s="1"/>
  <c r="F398" i="7"/>
  <c r="H397" i="7"/>
  <c r="G397" i="7"/>
  <c r="F397" i="7"/>
  <c r="I397" i="7" s="1"/>
  <c r="H396" i="7"/>
  <c r="G396" i="7"/>
  <c r="I396" i="7" s="1"/>
  <c r="F396" i="7"/>
  <c r="H395" i="7"/>
  <c r="G395" i="7"/>
  <c r="F395" i="7"/>
  <c r="H394" i="7"/>
  <c r="G394" i="7"/>
  <c r="I394" i="7" s="1"/>
  <c r="J394" i="7" s="1"/>
  <c r="K394" i="7" s="1"/>
  <c r="F394" i="7"/>
  <c r="H393" i="7"/>
  <c r="G393" i="7"/>
  <c r="F393" i="7"/>
  <c r="I393" i="7" s="1"/>
  <c r="I392" i="7"/>
  <c r="H392" i="7"/>
  <c r="J392" i="7" s="1"/>
  <c r="K392" i="7" s="1"/>
  <c r="G392" i="7"/>
  <c r="F392" i="7"/>
  <c r="H391" i="7"/>
  <c r="G391" i="7"/>
  <c r="F391" i="7"/>
  <c r="H390" i="7"/>
  <c r="G390" i="7"/>
  <c r="I390" i="7" s="1"/>
  <c r="F390" i="7"/>
  <c r="H389" i="7"/>
  <c r="G389" i="7"/>
  <c r="F389" i="7"/>
  <c r="H388" i="7"/>
  <c r="G388" i="7"/>
  <c r="F388" i="7"/>
  <c r="H387" i="7"/>
  <c r="G387" i="7"/>
  <c r="F387" i="7"/>
  <c r="H386" i="7"/>
  <c r="G386" i="7"/>
  <c r="F386" i="7"/>
  <c r="H385" i="7"/>
  <c r="G385" i="7"/>
  <c r="F385" i="7"/>
  <c r="H384" i="7"/>
  <c r="G384" i="7"/>
  <c r="I384" i="7" s="1"/>
  <c r="F384" i="7"/>
  <c r="H383" i="7"/>
  <c r="G383" i="7"/>
  <c r="F383" i="7"/>
  <c r="H382" i="7"/>
  <c r="G382" i="7"/>
  <c r="I382" i="7" s="1"/>
  <c r="F382" i="7"/>
  <c r="H381" i="7"/>
  <c r="G381" i="7"/>
  <c r="F381" i="7"/>
  <c r="H380" i="7"/>
  <c r="G380" i="7"/>
  <c r="I380" i="7" s="1"/>
  <c r="F380" i="7"/>
  <c r="H379" i="7"/>
  <c r="G379" i="7"/>
  <c r="F379" i="7"/>
  <c r="H378" i="7"/>
  <c r="G378" i="7"/>
  <c r="F378" i="7"/>
  <c r="H377" i="7"/>
  <c r="G377" i="7"/>
  <c r="F377" i="7"/>
  <c r="H376" i="7"/>
  <c r="G376" i="7"/>
  <c r="F376" i="7"/>
  <c r="H375" i="7"/>
  <c r="G375" i="7"/>
  <c r="F375" i="7"/>
  <c r="H374" i="7"/>
  <c r="G374" i="7"/>
  <c r="F374" i="7"/>
  <c r="H373" i="7"/>
  <c r="G373" i="7"/>
  <c r="F373" i="7"/>
  <c r="H372" i="7"/>
  <c r="G372" i="7"/>
  <c r="I372" i="7" s="1"/>
  <c r="J372" i="7" s="1"/>
  <c r="K372" i="7" s="1"/>
  <c r="F372" i="7"/>
  <c r="H371" i="7"/>
  <c r="G371" i="7"/>
  <c r="F371" i="7"/>
  <c r="H370" i="7"/>
  <c r="G370" i="7"/>
  <c r="I370" i="7" s="1"/>
  <c r="F370" i="7"/>
  <c r="H369" i="7"/>
  <c r="G369" i="7"/>
  <c r="F369" i="7"/>
  <c r="H368" i="7"/>
  <c r="G368" i="7"/>
  <c r="I368" i="7" s="1"/>
  <c r="F368" i="7"/>
  <c r="H367" i="7"/>
  <c r="G367" i="7"/>
  <c r="F367" i="7"/>
  <c r="H366" i="7"/>
  <c r="G366" i="7"/>
  <c r="I366" i="7" s="1"/>
  <c r="F366" i="7"/>
  <c r="H365" i="7"/>
  <c r="G365" i="7"/>
  <c r="F365" i="7"/>
  <c r="H364" i="7"/>
  <c r="G364" i="7"/>
  <c r="F364" i="7"/>
  <c r="H363" i="7"/>
  <c r="G363" i="7"/>
  <c r="F363" i="7"/>
  <c r="H362" i="7"/>
  <c r="G362" i="7"/>
  <c r="F362" i="7"/>
  <c r="H361" i="7"/>
  <c r="G361" i="7"/>
  <c r="F361" i="7"/>
  <c r="H360" i="7"/>
  <c r="G360" i="7"/>
  <c r="F360" i="7"/>
  <c r="I359" i="7"/>
  <c r="J359" i="7" s="1"/>
  <c r="K359" i="7" s="1"/>
  <c r="H359" i="7"/>
  <c r="G359" i="7"/>
  <c r="F359" i="7"/>
  <c r="H358" i="7"/>
  <c r="G358" i="7"/>
  <c r="F358" i="7"/>
  <c r="H357" i="7"/>
  <c r="G357" i="7"/>
  <c r="I357" i="7" s="1"/>
  <c r="J357" i="7" s="1"/>
  <c r="K357" i="7" s="1"/>
  <c r="F357" i="7"/>
  <c r="H356" i="7"/>
  <c r="G356" i="7"/>
  <c r="I356" i="7" s="1"/>
  <c r="F356" i="7"/>
  <c r="H355" i="7"/>
  <c r="G355" i="7"/>
  <c r="F355" i="7"/>
  <c r="H354" i="7"/>
  <c r="G354" i="7"/>
  <c r="F354" i="7"/>
  <c r="H353" i="7"/>
  <c r="G353" i="7"/>
  <c r="F353" i="7"/>
  <c r="H352" i="7"/>
  <c r="G352" i="7"/>
  <c r="F352" i="7"/>
  <c r="H351" i="7"/>
  <c r="G351" i="7"/>
  <c r="F351" i="7"/>
  <c r="I351" i="7" s="1"/>
  <c r="H350" i="7"/>
  <c r="G350" i="7"/>
  <c r="F350" i="7"/>
  <c r="H349" i="7"/>
  <c r="G349" i="7"/>
  <c r="F349" i="7"/>
  <c r="H348" i="7"/>
  <c r="G348" i="7"/>
  <c r="F348" i="7"/>
  <c r="H347" i="7"/>
  <c r="G347" i="7"/>
  <c r="F347" i="7"/>
  <c r="H346" i="7"/>
  <c r="G346" i="7"/>
  <c r="I346" i="7" s="1"/>
  <c r="J346" i="7" s="1"/>
  <c r="K346" i="7" s="1"/>
  <c r="F346" i="7"/>
  <c r="I345" i="7"/>
  <c r="H345" i="7"/>
  <c r="G345" i="7"/>
  <c r="F345" i="7"/>
  <c r="H344" i="7"/>
  <c r="G344" i="7"/>
  <c r="F344" i="7"/>
  <c r="H343" i="7"/>
  <c r="G343" i="7"/>
  <c r="F343" i="7"/>
  <c r="H342" i="7"/>
  <c r="G342" i="7"/>
  <c r="F342" i="7"/>
  <c r="H341" i="7"/>
  <c r="G341" i="7"/>
  <c r="F341" i="7"/>
  <c r="H340" i="7"/>
  <c r="G340" i="7"/>
  <c r="F340" i="7"/>
  <c r="H339" i="7"/>
  <c r="G339" i="7"/>
  <c r="F339" i="7"/>
  <c r="H338" i="7"/>
  <c r="G338" i="7"/>
  <c r="F338" i="7"/>
  <c r="H337" i="7"/>
  <c r="G337" i="7"/>
  <c r="F337" i="7"/>
  <c r="H336" i="7"/>
  <c r="G336" i="7"/>
  <c r="F336" i="7"/>
  <c r="H335" i="7"/>
  <c r="G335" i="7"/>
  <c r="I335" i="7" s="1"/>
  <c r="J335" i="7" s="1"/>
  <c r="K335" i="7" s="1"/>
  <c r="F335" i="7"/>
  <c r="H334" i="7"/>
  <c r="G334" i="7"/>
  <c r="F334" i="7"/>
  <c r="H333" i="7"/>
  <c r="J333" i="7" s="1"/>
  <c r="K333" i="7" s="1"/>
  <c r="G333" i="7"/>
  <c r="I333" i="7" s="1"/>
  <c r="F333" i="7"/>
  <c r="H332" i="7"/>
  <c r="G332" i="7"/>
  <c r="F332" i="7"/>
  <c r="H331" i="7"/>
  <c r="G331" i="7"/>
  <c r="I331" i="7" s="1"/>
  <c r="F331" i="7"/>
  <c r="H330" i="7"/>
  <c r="G330" i="7"/>
  <c r="F330" i="7"/>
  <c r="H329" i="7"/>
  <c r="G329" i="7"/>
  <c r="I329" i="7" s="1"/>
  <c r="F329" i="7"/>
  <c r="H328" i="7"/>
  <c r="G328" i="7"/>
  <c r="F328" i="7"/>
  <c r="H327" i="7"/>
  <c r="G327" i="7"/>
  <c r="I327" i="7" s="1"/>
  <c r="F327" i="7"/>
  <c r="H326" i="7"/>
  <c r="G326" i="7"/>
  <c r="F326" i="7"/>
  <c r="H325" i="7"/>
  <c r="G325" i="7"/>
  <c r="F325" i="7"/>
  <c r="I325" i="7" s="1"/>
  <c r="H324" i="7"/>
  <c r="G324" i="7"/>
  <c r="I324" i="7" s="1"/>
  <c r="F324" i="7"/>
  <c r="H323" i="7"/>
  <c r="G323" i="7"/>
  <c r="F323" i="7"/>
  <c r="H322" i="7"/>
  <c r="G322" i="7"/>
  <c r="F322" i="7"/>
  <c r="H321" i="7"/>
  <c r="G321" i="7"/>
  <c r="F321" i="7"/>
  <c r="H320" i="7"/>
  <c r="G320" i="7"/>
  <c r="F320" i="7"/>
  <c r="H319" i="7"/>
  <c r="G319" i="7"/>
  <c r="F319" i="7"/>
  <c r="H318" i="7"/>
  <c r="G318" i="7"/>
  <c r="F318" i="7"/>
  <c r="H317" i="7"/>
  <c r="G317" i="7"/>
  <c r="F317" i="7"/>
  <c r="H316" i="7"/>
  <c r="G316" i="7"/>
  <c r="I316" i="7" s="1"/>
  <c r="F316" i="7"/>
  <c r="H315" i="7"/>
  <c r="G315" i="7"/>
  <c r="F315" i="7"/>
  <c r="H314" i="7"/>
  <c r="G314" i="7"/>
  <c r="I314" i="7" s="1"/>
  <c r="F314" i="7"/>
  <c r="H313" i="7"/>
  <c r="G313" i="7"/>
  <c r="F313" i="7"/>
  <c r="H312" i="7"/>
  <c r="G312" i="7"/>
  <c r="F312" i="7"/>
  <c r="H311" i="7"/>
  <c r="G311" i="7"/>
  <c r="F311" i="7"/>
  <c r="H310" i="7"/>
  <c r="G310" i="7"/>
  <c r="F310" i="7"/>
  <c r="H309" i="7"/>
  <c r="G309" i="7"/>
  <c r="F309" i="7"/>
  <c r="H308" i="7"/>
  <c r="G308" i="7"/>
  <c r="I308" i="7" s="1"/>
  <c r="F308" i="7"/>
  <c r="H307" i="7"/>
  <c r="G307" i="7"/>
  <c r="F307" i="7"/>
  <c r="H306" i="7"/>
  <c r="G306" i="7"/>
  <c r="F306" i="7"/>
  <c r="H305" i="7"/>
  <c r="G305" i="7"/>
  <c r="F305" i="7"/>
  <c r="H304" i="7"/>
  <c r="G304" i="7"/>
  <c r="F304" i="7"/>
  <c r="I303" i="7"/>
  <c r="H303" i="7"/>
  <c r="G303" i="7"/>
  <c r="F303" i="7"/>
  <c r="H302" i="7"/>
  <c r="G302" i="7"/>
  <c r="F302" i="7"/>
  <c r="H301" i="7"/>
  <c r="G301" i="7"/>
  <c r="I301" i="7" s="1"/>
  <c r="F301" i="7"/>
  <c r="H300" i="7"/>
  <c r="G300" i="7"/>
  <c r="I300" i="7" s="1"/>
  <c r="F300" i="7"/>
  <c r="H299" i="7"/>
  <c r="G299" i="7"/>
  <c r="F299" i="7"/>
  <c r="I299" i="7" s="1"/>
  <c r="H298" i="7"/>
  <c r="G298" i="7"/>
  <c r="F298" i="7"/>
  <c r="I297" i="7"/>
  <c r="H297" i="7"/>
  <c r="G297" i="7"/>
  <c r="F297" i="7"/>
  <c r="H296" i="7"/>
  <c r="G296" i="7"/>
  <c r="F296" i="7"/>
  <c r="H295" i="7"/>
  <c r="G295" i="7"/>
  <c r="I295" i="7" s="1"/>
  <c r="F295" i="7"/>
  <c r="H294" i="7"/>
  <c r="G294" i="7"/>
  <c r="F294" i="7"/>
  <c r="H293" i="7"/>
  <c r="G293" i="7"/>
  <c r="I293" i="7" s="1"/>
  <c r="F293" i="7"/>
  <c r="H292" i="7"/>
  <c r="G292" i="7"/>
  <c r="F292" i="7"/>
  <c r="H291" i="7"/>
  <c r="G291" i="7"/>
  <c r="I291" i="7" s="1"/>
  <c r="F291" i="7"/>
  <c r="H290" i="7"/>
  <c r="G290" i="7"/>
  <c r="F290" i="7"/>
  <c r="H289" i="7"/>
  <c r="G289" i="7"/>
  <c r="I289" i="7" s="1"/>
  <c r="F289" i="7"/>
  <c r="H288" i="7"/>
  <c r="G288" i="7"/>
  <c r="F288" i="7"/>
  <c r="H287" i="7"/>
  <c r="G287" i="7"/>
  <c r="I287" i="7" s="1"/>
  <c r="F287" i="7"/>
  <c r="H286" i="7"/>
  <c r="G286" i="7"/>
  <c r="F286" i="7"/>
  <c r="H285" i="7"/>
  <c r="G285" i="7"/>
  <c r="F285" i="7"/>
  <c r="H284" i="7"/>
  <c r="G284" i="7"/>
  <c r="F284" i="7"/>
  <c r="H283" i="7"/>
  <c r="G283" i="7"/>
  <c r="F283" i="7"/>
  <c r="H282" i="7"/>
  <c r="G282" i="7"/>
  <c r="F282" i="7"/>
  <c r="I282" i="7" s="1"/>
  <c r="H281" i="7"/>
  <c r="G281" i="7"/>
  <c r="I281" i="7" s="1"/>
  <c r="F281" i="7"/>
  <c r="H280" i="7"/>
  <c r="G280" i="7"/>
  <c r="F280" i="7"/>
  <c r="H279" i="7"/>
  <c r="G279" i="7"/>
  <c r="I279" i="7" s="1"/>
  <c r="F279" i="7"/>
  <c r="H278" i="7"/>
  <c r="G278" i="7"/>
  <c r="F278" i="7"/>
  <c r="H277" i="7"/>
  <c r="G277" i="7"/>
  <c r="F277" i="7"/>
  <c r="I277" i="7" s="1"/>
  <c r="H276" i="7"/>
  <c r="G276" i="7"/>
  <c r="F276" i="7"/>
  <c r="H275" i="7"/>
  <c r="G275" i="7"/>
  <c r="I275" i="7" s="1"/>
  <c r="F275" i="7"/>
  <c r="H274" i="7"/>
  <c r="G274" i="7"/>
  <c r="F274" i="7"/>
  <c r="H273" i="7"/>
  <c r="G273" i="7"/>
  <c r="F273" i="7"/>
  <c r="H272" i="7"/>
  <c r="G272" i="7"/>
  <c r="F272" i="7"/>
  <c r="H271" i="7"/>
  <c r="G271" i="7"/>
  <c r="I271" i="7" s="1"/>
  <c r="F271" i="7"/>
  <c r="H270" i="7"/>
  <c r="G270" i="7"/>
  <c r="F270" i="7"/>
  <c r="H269" i="7"/>
  <c r="G269" i="7"/>
  <c r="F269" i="7"/>
  <c r="H268" i="7"/>
  <c r="G268" i="7"/>
  <c r="I268" i="7" s="1"/>
  <c r="F268" i="7"/>
  <c r="H267" i="7"/>
  <c r="J267" i="7" s="1"/>
  <c r="K267" i="7" s="1"/>
  <c r="G267" i="7"/>
  <c r="I267" i="7" s="1"/>
  <c r="F267" i="7"/>
  <c r="H266" i="7"/>
  <c r="G266" i="7"/>
  <c r="F266" i="7"/>
  <c r="H265" i="7"/>
  <c r="G265" i="7"/>
  <c r="I265" i="7" s="1"/>
  <c r="F265" i="7"/>
  <c r="H264" i="7"/>
  <c r="G264" i="7"/>
  <c r="F264" i="7"/>
  <c r="H263" i="7"/>
  <c r="G263" i="7"/>
  <c r="F263" i="7"/>
  <c r="H262" i="7"/>
  <c r="G262" i="7"/>
  <c r="F262" i="7"/>
  <c r="H261" i="7"/>
  <c r="G261" i="7"/>
  <c r="I261" i="7" s="1"/>
  <c r="F261" i="7"/>
  <c r="H260" i="7"/>
  <c r="G260" i="7"/>
  <c r="F260" i="7"/>
  <c r="H259" i="7"/>
  <c r="J259" i="7" s="1"/>
  <c r="K259" i="7" s="1"/>
  <c r="G259" i="7"/>
  <c r="I259" i="7" s="1"/>
  <c r="F259" i="7"/>
  <c r="H258" i="7"/>
  <c r="G258" i="7"/>
  <c r="F258" i="7"/>
  <c r="H257" i="7"/>
  <c r="G257" i="7"/>
  <c r="F257" i="7"/>
  <c r="H256" i="7"/>
  <c r="G256" i="7"/>
  <c r="F256" i="7"/>
  <c r="H255" i="7"/>
  <c r="G255" i="7"/>
  <c r="I255" i="7" s="1"/>
  <c r="F255" i="7"/>
  <c r="H254" i="7"/>
  <c r="G254" i="7"/>
  <c r="F254" i="7"/>
  <c r="H253" i="7"/>
  <c r="G253" i="7"/>
  <c r="F253" i="7"/>
  <c r="H252" i="7"/>
  <c r="G252" i="7"/>
  <c r="F252" i="7"/>
  <c r="H251" i="7"/>
  <c r="G251" i="7"/>
  <c r="F251" i="7"/>
  <c r="I251" i="7" s="1"/>
  <c r="J251" i="7" s="1"/>
  <c r="K251" i="7" s="1"/>
  <c r="H250" i="7"/>
  <c r="G250" i="7"/>
  <c r="I250" i="7" s="1"/>
  <c r="F250" i="7"/>
  <c r="H249" i="7"/>
  <c r="G249" i="7"/>
  <c r="F249" i="7"/>
  <c r="I249" i="7" s="1"/>
  <c r="H248" i="7"/>
  <c r="G248" i="7"/>
  <c r="F248" i="7"/>
  <c r="H247" i="7"/>
  <c r="G247" i="7"/>
  <c r="I247" i="7" s="1"/>
  <c r="F247" i="7"/>
  <c r="H246" i="7"/>
  <c r="G246" i="7"/>
  <c r="F246" i="7"/>
  <c r="H245" i="7"/>
  <c r="G245" i="7"/>
  <c r="F245" i="7"/>
  <c r="H244" i="7"/>
  <c r="G244" i="7"/>
  <c r="F244" i="7"/>
  <c r="I244" i="7" s="1"/>
  <c r="J244" i="7" s="1"/>
  <c r="K244" i="7" s="1"/>
  <c r="H243" i="7"/>
  <c r="G243" i="7"/>
  <c r="F243" i="7"/>
  <c r="H242" i="7"/>
  <c r="G242" i="7"/>
  <c r="F242" i="7"/>
  <c r="H241" i="7"/>
  <c r="G241" i="7"/>
  <c r="I241" i="7" s="1"/>
  <c r="F241" i="7"/>
  <c r="H240" i="7"/>
  <c r="G240" i="7"/>
  <c r="F240" i="7"/>
  <c r="H239" i="7"/>
  <c r="G239" i="7"/>
  <c r="I239" i="7" s="1"/>
  <c r="F239" i="7"/>
  <c r="H238" i="7"/>
  <c r="G238" i="7"/>
  <c r="F238" i="7"/>
  <c r="I238" i="7" s="1"/>
  <c r="H237" i="7"/>
  <c r="G237" i="7"/>
  <c r="F237" i="7"/>
  <c r="H236" i="7"/>
  <c r="G236" i="7"/>
  <c r="F236" i="7"/>
  <c r="H235" i="7"/>
  <c r="G235" i="7"/>
  <c r="I235" i="7" s="1"/>
  <c r="J235" i="7" s="1"/>
  <c r="K235" i="7" s="1"/>
  <c r="F235" i="7"/>
  <c r="H234" i="7"/>
  <c r="G234" i="7"/>
  <c r="F234" i="7"/>
  <c r="H233" i="7"/>
  <c r="G233" i="7"/>
  <c r="I233" i="7" s="1"/>
  <c r="F233" i="7"/>
  <c r="H232" i="7"/>
  <c r="G232" i="7"/>
  <c r="F232" i="7"/>
  <c r="H231" i="7"/>
  <c r="G231" i="7"/>
  <c r="F231" i="7"/>
  <c r="H230" i="7"/>
  <c r="G230" i="7"/>
  <c r="F230" i="7"/>
  <c r="H229" i="7"/>
  <c r="G229" i="7"/>
  <c r="F229" i="7"/>
  <c r="H228" i="7"/>
  <c r="G228" i="7"/>
  <c r="F228" i="7"/>
  <c r="H227" i="7"/>
  <c r="G227" i="7"/>
  <c r="F227" i="7"/>
  <c r="H226" i="7"/>
  <c r="G226" i="7"/>
  <c r="F226" i="7"/>
  <c r="H225" i="7"/>
  <c r="G225" i="7"/>
  <c r="F225" i="7"/>
  <c r="H224" i="7"/>
  <c r="G224" i="7"/>
  <c r="F224" i="7"/>
  <c r="H223" i="7"/>
  <c r="G223" i="7"/>
  <c r="I223" i="7" s="1"/>
  <c r="F223" i="7"/>
  <c r="H222" i="7"/>
  <c r="G222" i="7"/>
  <c r="F222" i="7"/>
  <c r="H221" i="7"/>
  <c r="G221" i="7"/>
  <c r="I221" i="7" s="1"/>
  <c r="F221" i="7"/>
  <c r="H220" i="7"/>
  <c r="G220" i="7"/>
  <c r="F220" i="7"/>
  <c r="H219" i="7"/>
  <c r="G219" i="7"/>
  <c r="F219" i="7"/>
  <c r="H218" i="7"/>
  <c r="G218" i="7"/>
  <c r="F218" i="7"/>
  <c r="H217" i="7"/>
  <c r="G217" i="7"/>
  <c r="F217" i="7"/>
  <c r="H216" i="7"/>
  <c r="G216" i="7"/>
  <c r="I216" i="7" s="1"/>
  <c r="J216" i="7" s="1"/>
  <c r="K216" i="7" s="1"/>
  <c r="F216" i="7"/>
  <c r="H215" i="7"/>
  <c r="G215" i="7"/>
  <c r="F215" i="7"/>
  <c r="H214" i="7"/>
  <c r="G214" i="7"/>
  <c r="I214" i="7" s="1"/>
  <c r="J214" i="7" s="1"/>
  <c r="K214" i="7" s="1"/>
  <c r="F214" i="7"/>
  <c r="H213" i="7"/>
  <c r="G213" i="7"/>
  <c r="F213" i="7"/>
  <c r="H212" i="7"/>
  <c r="G212" i="7"/>
  <c r="I212" i="7" s="1"/>
  <c r="F212" i="7"/>
  <c r="H211" i="7"/>
  <c r="G211" i="7"/>
  <c r="F211" i="7"/>
  <c r="H210" i="7"/>
  <c r="G210" i="7"/>
  <c r="I210" i="7" s="1"/>
  <c r="J210" i="7" s="1"/>
  <c r="K210" i="7" s="1"/>
  <c r="F210" i="7"/>
  <c r="H209" i="7"/>
  <c r="G209" i="7"/>
  <c r="I209" i="7" s="1"/>
  <c r="F209" i="7"/>
  <c r="H208" i="7"/>
  <c r="G208" i="7"/>
  <c r="F208" i="7"/>
  <c r="H207" i="7"/>
  <c r="G207" i="7"/>
  <c r="I207" i="7" s="1"/>
  <c r="F207" i="7"/>
  <c r="H206" i="7"/>
  <c r="G206" i="7"/>
  <c r="F206" i="7"/>
  <c r="H205" i="7"/>
  <c r="G205" i="7"/>
  <c r="F205" i="7"/>
  <c r="I204" i="7"/>
  <c r="J204" i="7" s="1"/>
  <c r="K204" i="7" s="1"/>
  <c r="H204" i="7"/>
  <c r="G204" i="7"/>
  <c r="F204" i="7"/>
  <c r="H203" i="7"/>
  <c r="G203" i="7"/>
  <c r="F203" i="7"/>
  <c r="H202" i="7"/>
  <c r="G202" i="7"/>
  <c r="F202" i="7"/>
  <c r="H201" i="7"/>
  <c r="G201" i="7"/>
  <c r="I201" i="7" s="1"/>
  <c r="F201" i="7"/>
  <c r="H200" i="7"/>
  <c r="G200" i="7"/>
  <c r="F200" i="7"/>
  <c r="H199" i="7"/>
  <c r="G199" i="7"/>
  <c r="F199" i="7"/>
  <c r="I198" i="7"/>
  <c r="J198" i="7" s="1"/>
  <c r="K198" i="7" s="1"/>
  <c r="H198" i="7"/>
  <c r="G198" i="7"/>
  <c r="F198" i="7"/>
  <c r="H197" i="7"/>
  <c r="G197" i="7"/>
  <c r="F197" i="7"/>
  <c r="H196" i="7"/>
  <c r="G196" i="7"/>
  <c r="F196" i="7"/>
  <c r="H195" i="7"/>
  <c r="G195" i="7"/>
  <c r="F195" i="7"/>
  <c r="H194" i="7"/>
  <c r="G194" i="7"/>
  <c r="F194" i="7"/>
  <c r="I194" i="7" s="1"/>
  <c r="J194" i="7" s="1"/>
  <c r="K194" i="7" s="1"/>
  <c r="H193" i="7"/>
  <c r="G193" i="7"/>
  <c r="F193" i="7"/>
  <c r="H192" i="7"/>
  <c r="G192" i="7"/>
  <c r="F192" i="7"/>
  <c r="H191" i="7"/>
  <c r="G191" i="7"/>
  <c r="I191" i="7" s="1"/>
  <c r="F191" i="7"/>
  <c r="H190" i="7"/>
  <c r="G190" i="7"/>
  <c r="F190" i="7"/>
  <c r="H189" i="7"/>
  <c r="G189" i="7"/>
  <c r="I189" i="7" s="1"/>
  <c r="F189" i="7"/>
  <c r="H188" i="7"/>
  <c r="G188" i="7"/>
  <c r="F188" i="7"/>
  <c r="H187" i="7"/>
  <c r="G187" i="7"/>
  <c r="F187" i="7"/>
  <c r="H186" i="7"/>
  <c r="G186" i="7"/>
  <c r="F186" i="7"/>
  <c r="H185" i="7"/>
  <c r="G185" i="7"/>
  <c r="F185" i="7"/>
  <c r="H184" i="7"/>
  <c r="G184" i="7"/>
  <c r="F184" i="7"/>
  <c r="H183" i="7"/>
  <c r="G183" i="7"/>
  <c r="I183" i="7" s="1"/>
  <c r="F183" i="7"/>
  <c r="H182" i="7"/>
  <c r="G182" i="7"/>
  <c r="F182" i="7"/>
  <c r="H181" i="7"/>
  <c r="G181" i="7"/>
  <c r="I181" i="7" s="1"/>
  <c r="F181" i="7"/>
  <c r="H180" i="7"/>
  <c r="G180" i="7"/>
  <c r="F180" i="7"/>
  <c r="H179" i="7"/>
  <c r="G179" i="7"/>
  <c r="F179" i="7"/>
  <c r="H178" i="7"/>
  <c r="G178" i="7"/>
  <c r="F178" i="7"/>
  <c r="H177" i="7"/>
  <c r="G177" i="7"/>
  <c r="I177" i="7" s="1"/>
  <c r="F177" i="7"/>
  <c r="H176" i="7"/>
  <c r="G176" i="7"/>
  <c r="I176" i="7" s="1"/>
  <c r="J176" i="7" s="1"/>
  <c r="K176" i="7" s="1"/>
  <c r="F176" i="7"/>
  <c r="H175" i="7"/>
  <c r="G175" i="7"/>
  <c r="I175" i="7" s="1"/>
  <c r="F175" i="7"/>
  <c r="H174" i="7"/>
  <c r="G174" i="7"/>
  <c r="F174" i="7"/>
  <c r="H173" i="7"/>
  <c r="G173" i="7"/>
  <c r="F173" i="7"/>
  <c r="H172" i="7"/>
  <c r="G172" i="7"/>
  <c r="I172" i="7" s="1"/>
  <c r="F172" i="7"/>
  <c r="H171" i="7"/>
  <c r="G171" i="7"/>
  <c r="F171" i="7"/>
  <c r="H170" i="7"/>
  <c r="G170" i="7"/>
  <c r="F170" i="7"/>
  <c r="H169" i="7"/>
  <c r="G169" i="7"/>
  <c r="F169" i="7"/>
  <c r="H168" i="7"/>
  <c r="G168" i="7"/>
  <c r="I168" i="7" s="1"/>
  <c r="J168" i="7" s="1"/>
  <c r="K168" i="7" s="1"/>
  <c r="F168" i="7"/>
  <c r="H167" i="7"/>
  <c r="G167" i="7"/>
  <c r="F167" i="7"/>
  <c r="H166" i="7"/>
  <c r="G166" i="7"/>
  <c r="F166" i="7"/>
  <c r="H165" i="7"/>
  <c r="G165" i="7"/>
  <c r="F165" i="7"/>
  <c r="H164" i="7"/>
  <c r="G164" i="7"/>
  <c r="I164" i="7" s="1"/>
  <c r="J164" i="7" s="1"/>
  <c r="K164" i="7" s="1"/>
  <c r="F164" i="7"/>
  <c r="H163" i="7"/>
  <c r="G163" i="7"/>
  <c r="F163" i="7"/>
  <c r="H162" i="7"/>
  <c r="G162" i="7"/>
  <c r="I162" i="7" s="1"/>
  <c r="J162" i="7" s="1"/>
  <c r="K162" i="7" s="1"/>
  <c r="F162" i="7"/>
  <c r="H161" i="7"/>
  <c r="G161" i="7"/>
  <c r="F161" i="7"/>
  <c r="H160" i="7"/>
  <c r="G160" i="7"/>
  <c r="I160" i="7" s="1"/>
  <c r="F160" i="7"/>
  <c r="I159" i="7"/>
  <c r="H159" i="7"/>
  <c r="G159" i="7"/>
  <c r="F159" i="7"/>
  <c r="H158" i="7"/>
  <c r="G158" i="7"/>
  <c r="F158" i="7"/>
  <c r="H157" i="7"/>
  <c r="G157" i="7"/>
  <c r="I157" i="7" s="1"/>
  <c r="F157" i="7"/>
  <c r="H156" i="7"/>
  <c r="G156" i="7"/>
  <c r="F156" i="7"/>
  <c r="H155" i="7"/>
  <c r="G155" i="7"/>
  <c r="F155" i="7"/>
  <c r="H154" i="7"/>
  <c r="G154" i="7"/>
  <c r="F154" i="7"/>
  <c r="H153" i="7"/>
  <c r="G153" i="7"/>
  <c r="F153" i="7"/>
  <c r="I153" i="7" s="1"/>
  <c r="H152" i="7"/>
  <c r="G152" i="7"/>
  <c r="F152" i="7"/>
  <c r="H151" i="7"/>
  <c r="G151" i="7"/>
  <c r="F151" i="7"/>
  <c r="H150" i="7"/>
  <c r="G150" i="7"/>
  <c r="F150" i="7"/>
  <c r="H149" i="7"/>
  <c r="G149" i="7"/>
  <c r="F149" i="7"/>
  <c r="H148" i="7"/>
  <c r="G148" i="7"/>
  <c r="F148" i="7"/>
  <c r="H147" i="7"/>
  <c r="G147" i="7"/>
  <c r="F147" i="7"/>
  <c r="H146" i="7"/>
  <c r="G146" i="7"/>
  <c r="F146" i="7"/>
  <c r="H145" i="7"/>
  <c r="G145" i="7"/>
  <c r="F145" i="7"/>
  <c r="I145" i="7" s="1"/>
  <c r="H144" i="7"/>
  <c r="G144" i="7"/>
  <c r="F144" i="7"/>
  <c r="H143" i="7"/>
  <c r="G143" i="7"/>
  <c r="F143" i="7"/>
  <c r="H142" i="7"/>
  <c r="G142" i="7"/>
  <c r="F142" i="7"/>
  <c r="I141" i="7"/>
  <c r="H141" i="7"/>
  <c r="G141" i="7"/>
  <c r="F141" i="7"/>
  <c r="H140" i="7"/>
  <c r="G140" i="7"/>
  <c r="F140" i="7"/>
  <c r="H139" i="7"/>
  <c r="G139" i="7"/>
  <c r="I139" i="7" s="1"/>
  <c r="F139" i="7"/>
  <c r="H138" i="7"/>
  <c r="G138" i="7"/>
  <c r="F138" i="7"/>
  <c r="H137" i="7"/>
  <c r="G137" i="7"/>
  <c r="F137" i="7"/>
  <c r="H136" i="7"/>
  <c r="G136" i="7"/>
  <c r="F136" i="7"/>
  <c r="H135" i="7"/>
  <c r="G135" i="7"/>
  <c r="F135" i="7"/>
  <c r="H134" i="7"/>
  <c r="G134" i="7"/>
  <c r="F134" i="7"/>
  <c r="H133" i="7"/>
  <c r="G133" i="7"/>
  <c r="F133" i="7"/>
  <c r="H132" i="7"/>
  <c r="G132" i="7"/>
  <c r="F132" i="7"/>
  <c r="H131" i="7"/>
  <c r="G131" i="7"/>
  <c r="F131" i="7"/>
  <c r="H130" i="7"/>
  <c r="G130" i="7"/>
  <c r="F130" i="7"/>
  <c r="H129" i="7"/>
  <c r="G129" i="7"/>
  <c r="F129" i="7"/>
  <c r="H128" i="7"/>
  <c r="G128" i="7"/>
  <c r="I128" i="7" s="1"/>
  <c r="F128" i="7"/>
  <c r="H127" i="7"/>
  <c r="G127" i="7"/>
  <c r="I127" i="7" s="1"/>
  <c r="F127" i="7"/>
  <c r="H126" i="7"/>
  <c r="G126" i="7"/>
  <c r="F126" i="7"/>
  <c r="H125" i="7"/>
  <c r="G125" i="7"/>
  <c r="F125" i="7"/>
  <c r="I124" i="7"/>
  <c r="H124" i="7"/>
  <c r="G124" i="7"/>
  <c r="F124" i="7"/>
  <c r="H123" i="7"/>
  <c r="G123" i="7"/>
  <c r="F123" i="7"/>
  <c r="H122" i="7"/>
  <c r="G122" i="7"/>
  <c r="F122" i="7"/>
  <c r="H121" i="7"/>
  <c r="G121" i="7"/>
  <c r="F121" i="7"/>
  <c r="H120" i="7"/>
  <c r="G120" i="7"/>
  <c r="F120" i="7"/>
  <c r="H119" i="7"/>
  <c r="G119" i="7"/>
  <c r="F119" i="7"/>
  <c r="H118" i="7"/>
  <c r="G118" i="7"/>
  <c r="I118" i="7" s="1"/>
  <c r="J118" i="7" s="1"/>
  <c r="K118" i="7" s="1"/>
  <c r="F118" i="7"/>
  <c r="H117" i="7"/>
  <c r="G117" i="7"/>
  <c r="F117" i="7"/>
  <c r="H116" i="7"/>
  <c r="G116" i="7"/>
  <c r="I116" i="7" s="1"/>
  <c r="F116" i="7"/>
  <c r="H115" i="7"/>
  <c r="G115" i="7"/>
  <c r="F115" i="7"/>
  <c r="H114" i="7"/>
  <c r="G114" i="7"/>
  <c r="F114" i="7"/>
  <c r="H113" i="7"/>
  <c r="G113" i="7"/>
  <c r="F113" i="7"/>
  <c r="H112" i="7"/>
  <c r="G112" i="7"/>
  <c r="I112" i="7" s="1"/>
  <c r="F112" i="7"/>
  <c r="H111" i="7"/>
  <c r="G111" i="7"/>
  <c r="F111" i="7"/>
  <c r="H110" i="7"/>
  <c r="G110" i="7"/>
  <c r="F110" i="7"/>
  <c r="H109" i="7"/>
  <c r="G109" i="7"/>
  <c r="F109" i="7"/>
  <c r="H108" i="7"/>
  <c r="G108" i="7"/>
  <c r="I108" i="7" s="1"/>
  <c r="F108" i="7"/>
  <c r="H107" i="7"/>
  <c r="G107" i="7"/>
  <c r="F107" i="7"/>
  <c r="H106" i="7"/>
  <c r="G106" i="7"/>
  <c r="I106" i="7" s="1"/>
  <c r="J106" i="7" s="1"/>
  <c r="K106" i="7" s="1"/>
  <c r="F106" i="7"/>
  <c r="H105" i="7"/>
  <c r="G105" i="7"/>
  <c r="F105" i="7"/>
  <c r="H104" i="7"/>
  <c r="G104" i="7"/>
  <c r="I104" i="7" s="1"/>
  <c r="F104" i="7"/>
  <c r="H103" i="7"/>
  <c r="G103" i="7"/>
  <c r="F103" i="7"/>
  <c r="H102" i="7"/>
  <c r="G102" i="7"/>
  <c r="I102" i="7" s="1"/>
  <c r="F102" i="7"/>
  <c r="H101" i="7"/>
  <c r="G101" i="7"/>
  <c r="F101" i="7"/>
  <c r="H100" i="7"/>
  <c r="G100" i="7"/>
  <c r="I100" i="7" s="1"/>
  <c r="F100" i="7"/>
  <c r="H99" i="7"/>
  <c r="G99" i="7"/>
  <c r="F99" i="7"/>
  <c r="H98" i="7"/>
  <c r="G98" i="7"/>
  <c r="F98" i="7"/>
  <c r="H97" i="7"/>
  <c r="G97" i="7"/>
  <c r="F97" i="7"/>
  <c r="H96" i="7"/>
  <c r="G96" i="7"/>
  <c r="F96" i="7"/>
  <c r="H95" i="7"/>
  <c r="G95" i="7"/>
  <c r="F95" i="7"/>
  <c r="H94" i="7"/>
  <c r="G94" i="7"/>
  <c r="F94" i="7"/>
  <c r="I94" i="7" s="1"/>
  <c r="J94" i="7" s="1"/>
  <c r="K94" i="7" s="1"/>
  <c r="H93" i="7"/>
  <c r="G93" i="7"/>
  <c r="F93" i="7"/>
  <c r="H92" i="7"/>
  <c r="G92" i="7"/>
  <c r="F92" i="7"/>
  <c r="H91" i="7"/>
  <c r="G91" i="7"/>
  <c r="I91" i="7" s="1"/>
  <c r="F91" i="7"/>
  <c r="H90" i="7"/>
  <c r="G90" i="7"/>
  <c r="F90" i="7"/>
  <c r="H89" i="7"/>
  <c r="G89" i="7"/>
  <c r="F89" i="7"/>
  <c r="H88" i="7"/>
  <c r="G88" i="7"/>
  <c r="F88" i="7"/>
  <c r="I88" i="7" s="1"/>
  <c r="J88" i="7" s="1"/>
  <c r="K88" i="7" s="1"/>
  <c r="H87" i="7"/>
  <c r="G87" i="7"/>
  <c r="F87" i="7"/>
  <c r="H86" i="7"/>
  <c r="G86" i="7"/>
  <c r="F86" i="7"/>
  <c r="H85" i="7"/>
  <c r="G85" i="7"/>
  <c r="F85" i="7"/>
  <c r="H84" i="7"/>
  <c r="G84" i="7"/>
  <c r="F84" i="7"/>
  <c r="H83" i="7"/>
  <c r="G83" i="7"/>
  <c r="F83" i="7"/>
  <c r="I82" i="7"/>
  <c r="J82" i="7" s="1"/>
  <c r="K82" i="7" s="1"/>
  <c r="H82" i="7"/>
  <c r="G82" i="7"/>
  <c r="F82" i="7"/>
  <c r="H81" i="7"/>
  <c r="G81" i="7"/>
  <c r="I81" i="7" s="1"/>
  <c r="J81" i="7" s="1"/>
  <c r="K81" i="7" s="1"/>
  <c r="F81" i="7"/>
  <c r="H80" i="7"/>
  <c r="G80" i="7"/>
  <c r="I80" i="7" s="1"/>
  <c r="F80" i="7"/>
  <c r="H79" i="7"/>
  <c r="G79" i="7"/>
  <c r="I79" i="7" s="1"/>
  <c r="F79" i="7"/>
  <c r="H78" i="7"/>
  <c r="G78" i="7"/>
  <c r="F78" i="7"/>
  <c r="H77" i="7"/>
  <c r="G77" i="7"/>
  <c r="F77" i="7"/>
  <c r="I76" i="7"/>
  <c r="J76" i="7" s="1"/>
  <c r="K76" i="7" s="1"/>
  <c r="H76" i="7"/>
  <c r="G76" i="7"/>
  <c r="F76" i="7"/>
  <c r="H75" i="7"/>
  <c r="G75" i="7"/>
  <c r="F75" i="7"/>
  <c r="H74" i="7"/>
  <c r="G74" i="7"/>
  <c r="F74" i="7"/>
  <c r="H73" i="7"/>
  <c r="G73" i="7"/>
  <c r="F73" i="7"/>
  <c r="I73" i="7" s="1"/>
  <c r="H72" i="7"/>
  <c r="G72" i="7"/>
  <c r="F72" i="7"/>
  <c r="H71" i="7"/>
  <c r="G71" i="7"/>
  <c r="F71" i="7"/>
  <c r="H70" i="7"/>
  <c r="G70" i="7"/>
  <c r="F70" i="7"/>
  <c r="H69" i="7"/>
  <c r="G69" i="7"/>
  <c r="F69" i="7"/>
  <c r="H68" i="7"/>
  <c r="G68" i="7"/>
  <c r="F68" i="7"/>
  <c r="I68" i="7" s="1"/>
  <c r="J68" i="7" s="1"/>
  <c r="K68" i="7" s="1"/>
  <c r="H67" i="7"/>
  <c r="G67" i="7"/>
  <c r="F67" i="7"/>
  <c r="H66" i="7"/>
  <c r="G66" i="7"/>
  <c r="I66" i="7" s="1"/>
  <c r="F66" i="7"/>
  <c r="H65" i="7"/>
  <c r="G65" i="7"/>
  <c r="F65" i="7"/>
  <c r="H64" i="7"/>
  <c r="G64" i="7"/>
  <c r="F64" i="7"/>
  <c r="H63" i="7"/>
  <c r="G63" i="7"/>
  <c r="F63" i="7"/>
  <c r="H62" i="7"/>
  <c r="G62" i="7"/>
  <c r="F62" i="7"/>
  <c r="H61" i="7"/>
  <c r="G61" i="7"/>
  <c r="I61" i="7" s="1"/>
  <c r="F61" i="7"/>
  <c r="H60" i="7"/>
  <c r="G60" i="7"/>
  <c r="I60" i="7" s="1"/>
  <c r="F60" i="7"/>
  <c r="H59" i="7"/>
  <c r="G59" i="7"/>
  <c r="F59" i="7"/>
  <c r="H58" i="7"/>
  <c r="G58" i="7"/>
  <c r="I58" i="7" s="1"/>
  <c r="F58" i="7"/>
  <c r="H57" i="7"/>
  <c r="G57" i="7"/>
  <c r="F57" i="7"/>
  <c r="H56" i="7"/>
  <c r="G56" i="7"/>
  <c r="F56" i="7"/>
  <c r="H55" i="7"/>
  <c r="G55" i="7"/>
  <c r="F55" i="7"/>
  <c r="I55" i="7" s="1"/>
  <c r="H54" i="7"/>
  <c r="G54" i="7"/>
  <c r="F54" i="7"/>
  <c r="I54" i="7" s="1"/>
  <c r="J54" i="7" s="1"/>
  <c r="K54" i="7" s="1"/>
  <c r="H53" i="7"/>
  <c r="G53" i="7"/>
  <c r="F53" i="7"/>
  <c r="H52" i="7"/>
  <c r="G52" i="7"/>
  <c r="F52" i="7"/>
  <c r="H51" i="7"/>
  <c r="G51" i="7"/>
  <c r="F51" i="7"/>
  <c r="H50" i="7"/>
  <c r="G50" i="7"/>
  <c r="F50" i="7"/>
  <c r="H49" i="7"/>
  <c r="G49" i="7"/>
  <c r="F49" i="7"/>
  <c r="H48" i="7"/>
  <c r="G48" i="7"/>
  <c r="F48" i="7"/>
  <c r="H47" i="7"/>
  <c r="G47" i="7"/>
  <c r="F47" i="7"/>
  <c r="H46" i="7"/>
  <c r="G46" i="7"/>
  <c r="F46" i="7"/>
  <c r="H45" i="7"/>
  <c r="G45" i="7"/>
  <c r="F45" i="7"/>
  <c r="H44" i="7"/>
  <c r="G44" i="7"/>
  <c r="F44" i="7"/>
  <c r="I44" i="7" s="1"/>
  <c r="H43" i="7"/>
  <c r="G43" i="7"/>
  <c r="F43" i="7"/>
  <c r="H42" i="7"/>
  <c r="G42" i="7"/>
  <c r="I42" i="7" s="1"/>
  <c r="F42" i="7"/>
  <c r="H41" i="7"/>
  <c r="G41" i="7"/>
  <c r="F41" i="7"/>
  <c r="H40" i="7"/>
  <c r="G40" i="7"/>
  <c r="I40" i="7" s="1"/>
  <c r="J40" i="7" s="1"/>
  <c r="K40" i="7" s="1"/>
  <c r="F40" i="7"/>
  <c r="H39" i="7"/>
  <c r="G39" i="7"/>
  <c r="F39" i="7"/>
  <c r="H38" i="7"/>
  <c r="G38" i="7"/>
  <c r="I38" i="7" s="1"/>
  <c r="J38" i="7" s="1"/>
  <c r="K38" i="7" s="1"/>
  <c r="F38" i="7"/>
  <c r="H37" i="7"/>
  <c r="G37" i="7"/>
  <c r="F37" i="7"/>
  <c r="H36" i="7"/>
  <c r="G36" i="7"/>
  <c r="I36" i="7" s="1"/>
  <c r="F36" i="7"/>
  <c r="H35" i="7"/>
  <c r="G35" i="7"/>
  <c r="I35" i="7" s="1"/>
  <c r="F35" i="7"/>
  <c r="H34" i="7"/>
  <c r="G34" i="7"/>
  <c r="F34" i="7"/>
  <c r="H33" i="7"/>
  <c r="G33" i="7"/>
  <c r="I33" i="7" s="1"/>
  <c r="J33" i="7" s="1"/>
  <c r="K33" i="7" s="1"/>
  <c r="F33" i="7"/>
  <c r="H32" i="7"/>
  <c r="G32" i="7"/>
  <c r="F32" i="7"/>
  <c r="H31" i="7"/>
  <c r="G31" i="7"/>
  <c r="I31" i="7" s="1"/>
  <c r="F31" i="7"/>
  <c r="H30" i="7"/>
  <c r="G30" i="7"/>
  <c r="F30" i="7"/>
  <c r="H29" i="7"/>
  <c r="G29" i="7"/>
  <c r="F29" i="7"/>
  <c r="I29" i="7" s="1"/>
  <c r="J29" i="7" s="1"/>
  <c r="K29" i="7" s="1"/>
  <c r="H28" i="7"/>
  <c r="G28" i="7"/>
  <c r="F28" i="7"/>
  <c r="H27" i="7"/>
  <c r="G27" i="7"/>
  <c r="F27" i="7"/>
  <c r="H26" i="7"/>
  <c r="G26" i="7"/>
  <c r="I26" i="7" s="1"/>
  <c r="J26" i="7" s="1"/>
  <c r="K26" i="7" s="1"/>
  <c r="F26" i="7"/>
  <c r="H25" i="7"/>
  <c r="G25" i="7"/>
  <c r="F25" i="7"/>
  <c r="H24" i="7"/>
  <c r="G24" i="7"/>
  <c r="F24" i="7"/>
  <c r="H23" i="7"/>
  <c r="G23" i="7"/>
  <c r="F23" i="7"/>
  <c r="I23" i="7" s="1"/>
  <c r="J23" i="7" s="1"/>
  <c r="K23" i="7" s="1"/>
  <c r="H22" i="7"/>
  <c r="G22" i="7"/>
  <c r="F22" i="7"/>
  <c r="I21" i="7"/>
  <c r="J21" i="7" s="1"/>
  <c r="K21" i="7" s="1"/>
  <c r="H21" i="7"/>
  <c r="G21" i="7"/>
  <c r="F21" i="7"/>
  <c r="H20" i="7"/>
  <c r="G20" i="7"/>
  <c r="I20" i="7" s="1"/>
  <c r="J20" i="7" s="1"/>
  <c r="K20" i="7" s="1"/>
  <c r="F20" i="7"/>
  <c r="H19" i="7"/>
  <c r="G19" i="7"/>
  <c r="I19" i="7" s="1"/>
  <c r="F19" i="7"/>
  <c r="H18" i="7"/>
  <c r="G18" i="7"/>
  <c r="I18" i="7" s="1"/>
  <c r="J18" i="7" s="1"/>
  <c r="K18" i="7" s="1"/>
  <c r="F18" i="7"/>
  <c r="H17" i="7"/>
  <c r="G17" i="7"/>
  <c r="F17" i="7"/>
  <c r="H16" i="7"/>
  <c r="G16" i="7"/>
  <c r="F16" i="7"/>
  <c r="I15" i="7"/>
  <c r="J15" i="7" s="1"/>
  <c r="K15" i="7" s="1"/>
  <c r="H15" i="7"/>
  <c r="G15" i="7"/>
  <c r="F15" i="7"/>
  <c r="H14" i="7"/>
  <c r="G14" i="7"/>
  <c r="F14" i="7"/>
  <c r="H13" i="7"/>
  <c r="G13" i="7"/>
  <c r="F13" i="7"/>
  <c r="H12" i="7"/>
  <c r="G12" i="7"/>
  <c r="F12" i="7"/>
  <c r="H11" i="7"/>
  <c r="G11" i="7"/>
  <c r="I11" i="7" s="1"/>
  <c r="J11" i="7" s="1"/>
  <c r="K11" i="7" s="1"/>
  <c r="F11" i="7"/>
  <c r="H10" i="7"/>
  <c r="G10" i="7"/>
  <c r="F10" i="7"/>
  <c r="H9" i="7"/>
  <c r="G9" i="7"/>
  <c r="F9" i="7"/>
  <c r="H8" i="7"/>
  <c r="G8" i="7"/>
  <c r="F8" i="7"/>
  <c r="H7" i="7"/>
  <c r="G7" i="7"/>
  <c r="I7" i="7" s="1"/>
  <c r="J7" i="7" s="1"/>
  <c r="K7" i="7" s="1"/>
  <c r="F7" i="7"/>
  <c r="H6" i="7"/>
  <c r="G6" i="7"/>
  <c r="F6" i="7"/>
  <c r="H5" i="7"/>
  <c r="G5" i="7"/>
  <c r="I5" i="7" s="1"/>
  <c r="J5" i="7" s="1"/>
  <c r="K5" i="7" s="1"/>
  <c r="F5" i="7"/>
  <c r="H4" i="7"/>
  <c r="G4" i="7"/>
  <c r="I4" i="7" s="1"/>
  <c r="F4" i="7"/>
  <c r="H3" i="7"/>
  <c r="G3" i="7"/>
  <c r="F3" i="7"/>
  <c r="H2" i="7"/>
  <c r="G2" i="7"/>
  <c r="I2" i="7" s="1"/>
  <c r="F2" i="7"/>
  <c r="M2" i="5"/>
  <c r="L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2" i="5"/>
  <c r="G501" i="5"/>
  <c r="F501" i="5"/>
  <c r="G500" i="5"/>
  <c r="F500" i="5"/>
  <c r="G499" i="5"/>
  <c r="F499" i="5"/>
  <c r="G498" i="5"/>
  <c r="F498" i="5"/>
  <c r="G497" i="5"/>
  <c r="F497" i="5"/>
  <c r="G496" i="5"/>
  <c r="F496" i="5"/>
  <c r="G495" i="5"/>
  <c r="F495" i="5"/>
  <c r="G494" i="5"/>
  <c r="F494" i="5"/>
  <c r="G493" i="5"/>
  <c r="F493" i="5"/>
  <c r="G492" i="5"/>
  <c r="F492" i="5"/>
  <c r="G491" i="5"/>
  <c r="F491" i="5"/>
  <c r="G490" i="5"/>
  <c r="F490" i="5"/>
  <c r="G489" i="5"/>
  <c r="F489" i="5"/>
  <c r="G488" i="5"/>
  <c r="F488" i="5"/>
  <c r="G487" i="5"/>
  <c r="F487" i="5"/>
  <c r="G486" i="5"/>
  <c r="F486" i="5"/>
  <c r="G485" i="5"/>
  <c r="F485" i="5"/>
  <c r="G484" i="5"/>
  <c r="F484" i="5"/>
  <c r="G483" i="5"/>
  <c r="F483" i="5"/>
  <c r="G482" i="5"/>
  <c r="F482" i="5"/>
  <c r="G481" i="5"/>
  <c r="F481" i="5"/>
  <c r="G480" i="5"/>
  <c r="F480" i="5"/>
  <c r="G479" i="5"/>
  <c r="F479" i="5"/>
  <c r="G478" i="5"/>
  <c r="F478" i="5"/>
  <c r="G477" i="5"/>
  <c r="F477" i="5"/>
  <c r="G476" i="5"/>
  <c r="F476" i="5"/>
  <c r="G475" i="5"/>
  <c r="F475" i="5"/>
  <c r="G474" i="5"/>
  <c r="F474" i="5"/>
  <c r="G473" i="5"/>
  <c r="F473" i="5"/>
  <c r="G472" i="5"/>
  <c r="F472" i="5"/>
  <c r="G471" i="5"/>
  <c r="F471" i="5"/>
  <c r="G470" i="5"/>
  <c r="F470" i="5"/>
  <c r="G469" i="5"/>
  <c r="F469" i="5"/>
  <c r="G468" i="5"/>
  <c r="F468" i="5"/>
  <c r="G467" i="5"/>
  <c r="F467" i="5"/>
  <c r="G466" i="5"/>
  <c r="F466" i="5"/>
  <c r="G465" i="5"/>
  <c r="F465" i="5"/>
  <c r="G464" i="5"/>
  <c r="F464" i="5"/>
  <c r="G463" i="5"/>
  <c r="F463" i="5"/>
  <c r="G462" i="5"/>
  <c r="F462" i="5"/>
  <c r="G461" i="5"/>
  <c r="F461" i="5"/>
  <c r="G460" i="5"/>
  <c r="F460" i="5"/>
  <c r="G459" i="5"/>
  <c r="F459" i="5"/>
  <c r="G458" i="5"/>
  <c r="F458" i="5"/>
  <c r="G457" i="5"/>
  <c r="F457" i="5"/>
  <c r="G456" i="5"/>
  <c r="F456" i="5"/>
  <c r="G455" i="5"/>
  <c r="F455" i="5"/>
  <c r="G454" i="5"/>
  <c r="F454" i="5"/>
  <c r="G453" i="5"/>
  <c r="F453" i="5"/>
  <c r="G452" i="5"/>
  <c r="F452" i="5"/>
  <c r="G451" i="5"/>
  <c r="F451" i="5"/>
  <c r="G450" i="5"/>
  <c r="F450" i="5"/>
  <c r="G449" i="5"/>
  <c r="F449" i="5"/>
  <c r="G448" i="5"/>
  <c r="F448" i="5"/>
  <c r="G447" i="5"/>
  <c r="F447" i="5"/>
  <c r="G446" i="5"/>
  <c r="F446" i="5"/>
  <c r="G445" i="5"/>
  <c r="F445" i="5"/>
  <c r="G444" i="5"/>
  <c r="F444" i="5"/>
  <c r="G443" i="5"/>
  <c r="F443" i="5"/>
  <c r="G442" i="5"/>
  <c r="F442" i="5"/>
  <c r="G441" i="5"/>
  <c r="F441" i="5"/>
  <c r="G440" i="5"/>
  <c r="F440" i="5"/>
  <c r="G439" i="5"/>
  <c r="F439" i="5"/>
  <c r="G438" i="5"/>
  <c r="F438" i="5"/>
  <c r="G437" i="5"/>
  <c r="F437" i="5"/>
  <c r="G436" i="5"/>
  <c r="F436" i="5"/>
  <c r="G435" i="5"/>
  <c r="F435" i="5"/>
  <c r="G434" i="5"/>
  <c r="F434" i="5"/>
  <c r="G433" i="5"/>
  <c r="F433" i="5"/>
  <c r="G432" i="5"/>
  <c r="F432" i="5"/>
  <c r="G431" i="5"/>
  <c r="F431" i="5"/>
  <c r="G430" i="5"/>
  <c r="F430" i="5"/>
  <c r="G429" i="5"/>
  <c r="F429" i="5"/>
  <c r="G428" i="5"/>
  <c r="F428" i="5"/>
  <c r="G427" i="5"/>
  <c r="F427" i="5"/>
  <c r="G426" i="5"/>
  <c r="F426" i="5"/>
  <c r="G425" i="5"/>
  <c r="F425" i="5"/>
  <c r="G424" i="5"/>
  <c r="F424" i="5"/>
  <c r="G423" i="5"/>
  <c r="F423" i="5"/>
  <c r="G422" i="5"/>
  <c r="F422" i="5"/>
  <c r="G421" i="5"/>
  <c r="F421" i="5"/>
  <c r="G420" i="5"/>
  <c r="F420" i="5"/>
  <c r="G419" i="5"/>
  <c r="F419" i="5"/>
  <c r="G418" i="5"/>
  <c r="F418" i="5"/>
  <c r="G417" i="5"/>
  <c r="F417" i="5"/>
  <c r="G416" i="5"/>
  <c r="F416" i="5"/>
  <c r="G415" i="5"/>
  <c r="F415" i="5"/>
  <c r="G414" i="5"/>
  <c r="F414" i="5"/>
  <c r="G413" i="5"/>
  <c r="F413" i="5"/>
  <c r="G412" i="5"/>
  <c r="F412" i="5"/>
  <c r="G411" i="5"/>
  <c r="F411" i="5"/>
  <c r="G410" i="5"/>
  <c r="F410" i="5"/>
  <c r="G409" i="5"/>
  <c r="F409" i="5"/>
  <c r="G408" i="5"/>
  <c r="F408" i="5"/>
  <c r="G407" i="5"/>
  <c r="F407" i="5"/>
  <c r="G406" i="5"/>
  <c r="F406" i="5"/>
  <c r="G405" i="5"/>
  <c r="F405" i="5"/>
  <c r="G404" i="5"/>
  <c r="F404" i="5"/>
  <c r="G403" i="5"/>
  <c r="F403" i="5"/>
  <c r="G402" i="5"/>
  <c r="F402" i="5"/>
  <c r="G401" i="5"/>
  <c r="F401" i="5"/>
  <c r="G400" i="5"/>
  <c r="F400" i="5"/>
  <c r="G399" i="5"/>
  <c r="F399" i="5"/>
  <c r="G398" i="5"/>
  <c r="F398" i="5"/>
  <c r="G397" i="5"/>
  <c r="F397" i="5"/>
  <c r="G396" i="5"/>
  <c r="F396" i="5"/>
  <c r="G395" i="5"/>
  <c r="F395" i="5"/>
  <c r="G394" i="5"/>
  <c r="F394" i="5"/>
  <c r="G393" i="5"/>
  <c r="F393" i="5"/>
  <c r="G392" i="5"/>
  <c r="F392" i="5"/>
  <c r="G391" i="5"/>
  <c r="F391" i="5"/>
  <c r="G390" i="5"/>
  <c r="F390" i="5"/>
  <c r="G389" i="5"/>
  <c r="F389" i="5"/>
  <c r="G388" i="5"/>
  <c r="F388" i="5"/>
  <c r="G387" i="5"/>
  <c r="F387" i="5"/>
  <c r="G386" i="5"/>
  <c r="F386" i="5"/>
  <c r="G385" i="5"/>
  <c r="F385" i="5"/>
  <c r="G384" i="5"/>
  <c r="F384" i="5"/>
  <c r="G383" i="5"/>
  <c r="F383" i="5"/>
  <c r="G382" i="5"/>
  <c r="F382" i="5"/>
  <c r="G381" i="5"/>
  <c r="F381" i="5"/>
  <c r="G380" i="5"/>
  <c r="F380" i="5"/>
  <c r="G379" i="5"/>
  <c r="F379" i="5"/>
  <c r="G378" i="5"/>
  <c r="F378" i="5"/>
  <c r="G377" i="5"/>
  <c r="F377" i="5"/>
  <c r="G376" i="5"/>
  <c r="F376" i="5"/>
  <c r="G375" i="5"/>
  <c r="F375" i="5"/>
  <c r="G374" i="5"/>
  <c r="F374" i="5"/>
  <c r="G373" i="5"/>
  <c r="F373" i="5"/>
  <c r="G372" i="5"/>
  <c r="F372" i="5"/>
  <c r="G371" i="5"/>
  <c r="F371" i="5"/>
  <c r="G370" i="5"/>
  <c r="F370" i="5"/>
  <c r="G369" i="5"/>
  <c r="F369" i="5"/>
  <c r="G368" i="5"/>
  <c r="F368" i="5"/>
  <c r="G367" i="5"/>
  <c r="F367" i="5"/>
  <c r="G366" i="5"/>
  <c r="F366" i="5"/>
  <c r="G365" i="5"/>
  <c r="F365" i="5"/>
  <c r="G364" i="5"/>
  <c r="F364" i="5"/>
  <c r="G363" i="5"/>
  <c r="F363" i="5"/>
  <c r="G362" i="5"/>
  <c r="F362" i="5"/>
  <c r="G361" i="5"/>
  <c r="F361" i="5"/>
  <c r="G360" i="5"/>
  <c r="F360" i="5"/>
  <c r="G359" i="5"/>
  <c r="F359" i="5"/>
  <c r="G358" i="5"/>
  <c r="F358" i="5"/>
  <c r="G357" i="5"/>
  <c r="F357" i="5"/>
  <c r="G356" i="5"/>
  <c r="F356" i="5"/>
  <c r="G355" i="5"/>
  <c r="F355" i="5"/>
  <c r="G354" i="5"/>
  <c r="F354" i="5"/>
  <c r="G353" i="5"/>
  <c r="F353" i="5"/>
  <c r="G352" i="5"/>
  <c r="F352" i="5"/>
  <c r="G351" i="5"/>
  <c r="F351" i="5"/>
  <c r="G350" i="5"/>
  <c r="F350" i="5"/>
  <c r="G349" i="5"/>
  <c r="F349" i="5"/>
  <c r="G348" i="5"/>
  <c r="F348" i="5"/>
  <c r="G347" i="5"/>
  <c r="F347" i="5"/>
  <c r="G346" i="5"/>
  <c r="F346" i="5"/>
  <c r="G345" i="5"/>
  <c r="F345" i="5"/>
  <c r="G344" i="5"/>
  <c r="F344" i="5"/>
  <c r="G343" i="5"/>
  <c r="F343" i="5"/>
  <c r="G342" i="5"/>
  <c r="F342" i="5"/>
  <c r="G341" i="5"/>
  <c r="F341" i="5"/>
  <c r="G340" i="5"/>
  <c r="F340" i="5"/>
  <c r="G339" i="5"/>
  <c r="F339" i="5"/>
  <c r="G338" i="5"/>
  <c r="F338" i="5"/>
  <c r="G337" i="5"/>
  <c r="F337" i="5"/>
  <c r="G336" i="5"/>
  <c r="F336" i="5"/>
  <c r="G335" i="5"/>
  <c r="F335" i="5"/>
  <c r="G334" i="5"/>
  <c r="F334" i="5"/>
  <c r="G333" i="5"/>
  <c r="F333" i="5"/>
  <c r="G332" i="5"/>
  <c r="F332" i="5"/>
  <c r="G331" i="5"/>
  <c r="F331" i="5"/>
  <c r="G330" i="5"/>
  <c r="F330" i="5"/>
  <c r="G329" i="5"/>
  <c r="F329" i="5"/>
  <c r="G328" i="5"/>
  <c r="F328" i="5"/>
  <c r="G327" i="5"/>
  <c r="F327" i="5"/>
  <c r="G326" i="5"/>
  <c r="F326" i="5"/>
  <c r="G325" i="5"/>
  <c r="F325" i="5"/>
  <c r="G324" i="5"/>
  <c r="F324" i="5"/>
  <c r="G323" i="5"/>
  <c r="F323" i="5"/>
  <c r="G322" i="5"/>
  <c r="F322" i="5"/>
  <c r="G321" i="5"/>
  <c r="F321" i="5"/>
  <c r="G320" i="5"/>
  <c r="F320" i="5"/>
  <c r="G319" i="5"/>
  <c r="F319" i="5"/>
  <c r="G318" i="5"/>
  <c r="F318" i="5"/>
  <c r="G317" i="5"/>
  <c r="F317" i="5"/>
  <c r="G316" i="5"/>
  <c r="F316" i="5"/>
  <c r="G315" i="5"/>
  <c r="F315" i="5"/>
  <c r="G314" i="5"/>
  <c r="F314" i="5"/>
  <c r="G313" i="5"/>
  <c r="F313" i="5"/>
  <c r="G312" i="5"/>
  <c r="F312" i="5"/>
  <c r="G311" i="5"/>
  <c r="F311" i="5"/>
  <c r="G310" i="5"/>
  <c r="F310" i="5"/>
  <c r="G309" i="5"/>
  <c r="F309" i="5"/>
  <c r="G308" i="5"/>
  <c r="F308" i="5"/>
  <c r="G307" i="5"/>
  <c r="F307" i="5"/>
  <c r="G306" i="5"/>
  <c r="F306" i="5"/>
  <c r="G305" i="5"/>
  <c r="F305" i="5"/>
  <c r="G304" i="5"/>
  <c r="F304" i="5"/>
  <c r="G303" i="5"/>
  <c r="F303" i="5"/>
  <c r="G302" i="5"/>
  <c r="F302" i="5"/>
  <c r="G301" i="5"/>
  <c r="F301" i="5"/>
  <c r="G300" i="5"/>
  <c r="F300" i="5"/>
  <c r="G299" i="5"/>
  <c r="F299" i="5"/>
  <c r="G298" i="5"/>
  <c r="F298" i="5"/>
  <c r="G297" i="5"/>
  <c r="F297" i="5"/>
  <c r="G296" i="5"/>
  <c r="F296" i="5"/>
  <c r="G295" i="5"/>
  <c r="F295" i="5"/>
  <c r="G294" i="5"/>
  <c r="F294" i="5"/>
  <c r="G293" i="5"/>
  <c r="F293" i="5"/>
  <c r="G292" i="5"/>
  <c r="F292" i="5"/>
  <c r="G291" i="5"/>
  <c r="F291" i="5"/>
  <c r="G290" i="5"/>
  <c r="F290" i="5"/>
  <c r="G289" i="5"/>
  <c r="F289" i="5"/>
  <c r="G288" i="5"/>
  <c r="F288" i="5"/>
  <c r="G287" i="5"/>
  <c r="F287" i="5"/>
  <c r="G286" i="5"/>
  <c r="F286" i="5"/>
  <c r="G285" i="5"/>
  <c r="F285" i="5"/>
  <c r="G284" i="5"/>
  <c r="F284" i="5"/>
  <c r="G283" i="5"/>
  <c r="F283" i="5"/>
  <c r="G282" i="5"/>
  <c r="F282" i="5"/>
  <c r="G281" i="5"/>
  <c r="F281" i="5"/>
  <c r="G280" i="5"/>
  <c r="F280" i="5"/>
  <c r="G279" i="5"/>
  <c r="F279" i="5"/>
  <c r="G278" i="5"/>
  <c r="F278" i="5"/>
  <c r="G277" i="5"/>
  <c r="F277" i="5"/>
  <c r="G276" i="5"/>
  <c r="F276" i="5"/>
  <c r="G275" i="5"/>
  <c r="F275" i="5"/>
  <c r="G274" i="5"/>
  <c r="F274" i="5"/>
  <c r="G273" i="5"/>
  <c r="F273" i="5"/>
  <c r="G272" i="5"/>
  <c r="F272" i="5"/>
  <c r="G271" i="5"/>
  <c r="F271" i="5"/>
  <c r="G270" i="5"/>
  <c r="F270" i="5"/>
  <c r="G269" i="5"/>
  <c r="F269" i="5"/>
  <c r="G268" i="5"/>
  <c r="F268" i="5"/>
  <c r="G267" i="5"/>
  <c r="F267" i="5"/>
  <c r="G266" i="5"/>
  <c r="F266" i="5"/>
  <c r="G265" i="5"/>
  <c r="F265" i="5"/>
  <c r="G264" i="5"/>
  <c r="F264" i="5"/>
  <c r="G263" i="5"/>
  <c r="F263" i="5"/>
  <c r="G262" i="5"/>
  <c r="F262" i="5"/>
  <c r="G261" i="5"/>
  <c r="F261" i="5"/>
  <c r="G260" i="5"/>
  <c r="F260" i="5"/>
  <c r="G259" i="5"/>
  <c r="F259" i="5"/>
  <c r="G258" i="5"/>
  <c r="F258" i="5"/>
  <c r="G257" i="5"/>
  <c r="F257" i="5"/>
  <c r="G256" i="5"/>
  <c r="F256" i="5"/>
  <c r="G255" i="5"/>
  <c r="F255" i="5"/>
  <c r="G254" i="5"/>
  <c r="F254" i="5"/>
  <c r="G253" i="5"/>
  <c r="F253" i="5"/>
  <c r="G252" i="5"/>
  <c r="F252" i="5"/>
  <c r="G251" i="5"/>
  <c r="F251" i="5"/>
  <c r="G250" i="5"/>
  <c r="F250" i="5"/>
  <c r="G249" i="5"/>
  <c r="F249" i="5"/>
  <c r="G248" i="5"/>
  <c r="F248" i="5"/>
  <c r="G247" i="5"/>
  <c r="F247" i="5"/>
  <c r="G246" i="5"/>
  <c r="F246" i="5"/>
  <c r="G245" i="5"/>
  <c r="F245" i="5"/>
  <c r="G244" i="5"/>
  <c r="F244" i="5"/>
  <c r="G243" i="5"/>
  <c r="F243" i="5"/>
  <c r="G242" i="5"/>
  <c r="F242" i="5"/>
  <c r="G241" i="5"/>
  <c r="F241" i="5"/>
  <c r="G240" i="5"/>
  <c r="F240" i="5"/>
  <c r="G239" i="5"/>
  <c r="F239" i="5"/>
  <c r="G238" i="5"/>
  <c r="F238" i="5"/>
  <c r="G237" i="5"/>
  <c r="F237" i="5"/>
  <c r="G236" i="5"/>
  <c r="F236" i="5"/>
  <c r="G235" i="5"/>
  <c r="F235" i="5"/>
  <c r="G234" i="5"/>
  <c r="F234" i="5"/>
  <c r="G233" i="5"/>
  <c r="F233" i="5"/>
  <c r="G232" i="5"/>
  <c r="F232" i="5"/>
  <c r="G231" i="5"/>
  <c r="F231" i="5"/>
  <c r="G230" i="5"/>
  <c r="F230" i="5"/>
  <c r="G229" i="5"/>
  <c r="F229" i="5"/>
  <c r="G228" i="5"/>
  <c r="F228" i="5"/>
  <c r="G227" i="5"/>
  <c r="F227" i="5"/>
  <c r="G226" i="5"/>
  <c r="F226" i="5"/>
  <c r="G225" i="5"/>
  <c r="F225" i="5"/>
  <c r="G224" i="5"/>
  <c r="F224" i="5"/>
  <c r="G223" i="5"/>
  <c r="F223" i="5"/>
  <c r="G222" i="5"/>
  <c r="F222" i="5"/>
  <c r="G221" i="5"/>
  <c r="F221" i="5"/>
  <c r="G220" i="5"/>
  <c r="F220" i="5"/>
  <c r="G219" i="5"/>
  <c r="F219" i="5"/>
  <c r="G218" i="5"/>
  <c r="F218" i="5"/>
  <c r="G217" i="5"/>
  <c r="F217" i="5"/>
  <c r="G216" i="5"/>
  <c r="F216" i="5"/>
  <c r="G215" i="5"/>
  <c r="F215" i="5"/>
  <c r="G214" i="5"/>
  <c r="F214" i="5"/>
  <c r="G213" i="5"/>
  <c r="F213" i="5"/>
  <c r="G212" i="5"/>
  <c r="F212" i="5"/>
  <c r="G211" i="5"/>
  <c r="F211" i="5"/>
  <c r="G210" i="5"/>
  <c r="F210" i="5"/>
  <c r="G209" i="5"/>
  <c r="F209" i="5"/>
  <c r="G208" i="5"/>
  <c r="F208" i="5"/>
  <c r="G207" i="5"/>
  <c r="F207" i="5"/>
  <c r="G206" i="5"/>
  <c r="F206" i="5"/>
  <c r="G205" i="5"/>
  <c r="F205" i="5"/>
  <c r="G204" i="5"/>
  <c r="F204" i="5"/>
  <c r="G203" i="5"/>
  <c r="F203" i="5"/>
  <c r="G202" i="5"/>
  <c r="F202" i="5"/>
  <c r="G201" i="5"/>
  <c r="F201" i="5"/>
  <c r="G200" i="5"/>
  <c r="F200" i="5"/>
  <c r="G199" i="5"/>
  <c r="F199" i="5"/>
  <c r="G198" i="5"/>
  <c r="F198" i="5"/>
  <c r="G197" i="5"/>
  <c r="F197" i="5"/>
  <c r="G196" i="5"/>
  <c r="F196" i="5"/>
  <c r="G195" i="5"/>
  <c r="F195" i="5"/>
  <c r="G194" i="5"/>
  <c r="F194" i="5"/>
  <c r="G193" i="5"/>
  <c r="F193" i="5"/>
  <c r="G192" i="5"/>
  <c r="F192" i="5"/>
  <c r="G191" i="5"/>
  <c r="F191" i="5"/>
  <c r="G190" i="5"/>
  <c r="F190" i="5"/>
  <c r="G189" i="5"/>
  <c r="F189" i="5"/>
  <c r="G188" i="5"/>
  <c r="F188" i="5"/>
  <c r="G187" i="5"/>
  <c r="F187" i="5"/>
  <c r="G186" i="5"/>
  <c r="F186" i="5"/>
  <c r="G185" i="5"/>
  <c r="F185" i="5"/>
  <c r="G184" i="5"/>
  <c r="F184" i="5"/>
  <c r="G183" i="5"/>
  <c r="F183" i="5"/>
  <c r="G182" i="5"/>
  <c r="F182" i="5"/>
  <c r="G181" i="5"/>
  <c r="F181" i="5"/>
  <c r="G180" i="5"/>
  <c r="F180" i="5"/>
  <c r="G179" i="5"/>
  <c r="F179" i="5"/>
  <c r="G178" i="5"/>
  <c r="F178" i="5"/>
  <c r="G177" i="5"/>
  <c r="F177" i="5"/>
  <c r="G176" i="5"/>
  <c r="F176" i="5"/>
  <c r="G175" i="5"/>
  <c r="F175" i="5"/>
  <c r="G174" i="5"/>
  <c r="F174" i="5"/>
  <c r="G173" i="5"/>
  <c r="F173" i="5"/>
  <c r="G172" i="5"/>
  <c r="F172" i="5"/>
  <c r="G171" i="5"/>
  <c r="F171" i="5"/>
  <c r="G170" i="5"/>
  <c r="F170" i="5"/>
  <c r="G169" i="5"/>
  <c r="F169" i="5"/>
  <c r="G168" i="5"/>
  <c r="F168" i="5"/>
  <c r="G167" i="5"/>
  <c r="F167" i="5"/>
  <c r="G166" i="5"/>
  <c r="F166" i="5"/>
  <c r="G165" i="5"/>
  <c r="F165" i="5"/>
  <c r="G164" i="5"/>
  <c r="F164" i="5"/>
  <c r="G163" i="5"/>
  <c r="F163" i="5"/>
  <c r="G162" i="5"/>
  <c r="F162" i="5"/>
  <c r="G161" i="5"/>
  <c r="F161" i="5"/>
  <c r="G160" i="5"/>
  <c r="F160" i="5"/>
  <c r="G159" i="5"/>
  <c r="F159" i="5"/>
  <c r="G158" i="5"/>
  <c r="F158" i="5"/>
  <c r="G157" i="5"/>
  <c r="F157" i="5"/>
  <c r="G156" i="5"/>
  <c r="F156" i="5"/>
  <c r="G155" i="5"/>
  <c r="F155" i="5"/>
  <c r="G154" i="5"/>
  <c r="F154" i="5"/>
  <c r="G153" i="5"/>
  <c r="F153" i="5"/>
  <c r="G152" i="5"/>
  <c r="F152" i="5"/>
  <c r="G151" i="5"/>
  <c r="F151" i="5"/>
  <c r="G150" i="5"/>
  <c r="F150" i="5"/>
  <c r="G149" i="5"/>
  <c r="F149" i="5"/>
  <c r="G148" i="5"/>
  <c r="F148" i="5"/>
  <c r="G147" i="5"/>
  <c r="F147" i="5"/>
  <c r="G146" i="5"/>
  <c r="F146" i="5"/>
  <c r="G145" i="5"/>
  <c r="F145" i="5"/>
  <c r="G144" i="5"/>
  <c r="F144" i="5"/>
  <c r="G143" i="5"/>
  <c r="F143" i="5"/>
  <c r="G142" i="5"/>
  <c r="F142" i="5"/>
  <c r="G141" i="5"/>
  <c r="F141" i="5"/>
  <c r="G140" i="5"/>
  <c r="F140" i="5"/>
  <c r="G139" i="5"/>
  <c r="F139" i="5"/>
  <c r="G138" i="5"/>
  <c r="F138" i="5"/>
  <c r="G137" i="5"/>
  <c r="F137" i="5"/>
  <c r="G136" i="5"/>
  <c r="F136" i="5"/>
  <c r="G135" i="5"/>
  <c r="F135" i="5"/>
  <c r="G134" i="5"/>
  <c r="F134" i="5"/>
  <c r="G133" i="5"/>
  <c r="F133" i="5"/>
  <c r="G132" i="5"/>
  <c r="F132" i="5"/>
  <c r="G131" i="5"/>
  <c r="F131" i="5"/>
  <c r="G130" i="5"/>
  <c r="F130" i="5"/>
  <c r="G129" i="5"/>
  <c r="F129" i="5"/>
  <c r="G128" i="5"/>
  <c r="F128" i="5"/>
  <c r="G127" i="5"/>
  <c r="F127" i="5"/>
  <c r="G126" i="5"/>
  <c r="F126" i="5"/>
  <c r="G125" i="5"/>
  <c r="F125" i="5"/>
  <c r="G124" i="5"/>
  <c r="F124" i="5"/>
  <c r="G123" i="5"/>
  <c r="F123" i="5"/>
  <c r="G122" i="5"/>
  <c r="F122" i="5"/>
  <c r="G121" i="5"/>
  <c r="F121" i="5"/>
  <c r="G120" i="5"/>
  <c r="F120" i="5"/>
  <c r="G119" i="5"/>
  <c r="F119" i="5"/>
  <c r="G118" i="5"/>
  <c r="F118" i="5"/>
  <c r="G117" i="5"/>
  <c r="F117" i="5"/>
  <c r="G116" i="5"/>
  <c r="F116" i="5"/>
  <c r="G115" i="5"/>
  <c r="F115" i="5"/>
  <c r="G114" i="5"/>
  <c r="F114" i="5"/>
  <c r="G113" i="5"/>
  <c r="F113" i="5"/>
  <c r="G112" i="5"/>
  <c r="F112" i="5"/>
  <c r="G111" i="5"/>
  <c r="F111" i="5"/>
  <c r="G110" i="5"/>
  <c r="F110" i="5"/>
  <c r="G109" i="5"/>
  <c r="F109" i="5"/>
  <c r="G108" i="5"/>
  <c r="F108" i="5"/>
  <c r="G107" i="5"/>
  <c r="F107" i="5"/>
  <c r="G106" i="5"/>
  <c r="F106" i="5"/>
  <c r="G105" i="5"/>
  <c r="F105" i="5"/>
  <c r="G104" i="5"/>
  <c r="F104" i="5"/>
  <c r="G103" i="5"/>
  <c r="F103" i="5"/>
  <c r="G102" i="5"/>
  <c r="F102" i="5"/>
  <c r="G101" i="5"/>
  <c r="F101" i="5"/>
  <c r="G100" i="5"/>
  <c r="F100" i="5"/>
  <c r="G99" i="5"/>
  <c r="F99" i="5"/>
  <c r="G98" i="5"/>
  <c r="F98" i="5"/>
  <c r="G97" i="5"/>
  <c r="F97" i="5"/>
  <c r="G96" i="5"/>
  <c r="F96" i="5"/>
  <c r="G95" i="5"/>
  <c r="F95" i="5"/>
  <c r="G94" i="5"/>
  <c r="F94" i="5"/>
  <c r="G93" i="5"/>
  <c r="F93" i="5"/>
  <c r="G92" i="5"/>
  <c r="F92" i="5"/>
  <c r="G91" i="5"/>
  <c r="F91" i="5"/>
  <c r="G90" i="5"/>
  <c r="F90" i="5"/>
  <c r="G89" i="5"/>
  <c r="F89" i="5"/>
  <c r="G88" i="5"/>
  <c r="F88" i="5"/>
  <c r="G87" i="5"/>
  <c r="F87" i="5"/>
  <c r="G86" i="5"/>
  <c r="F86" i="5"/>
  <c r="G85" i="5"/>
  <c r="F85" i="5"/>
  <c r="G84" i="5"/>
  <c r="F84" i="5"/>
  <c r="G83" i="5"/>
  <c r="F83" i="5"/>
  <c r="G82" i="5"/>
  <c r="F82" i="5"/>
  <c r="G81" i="5"/>
  <c r="F81" i="5"/>
  <c r="G80" i="5"/>
  <c r="F80" i="5"/>
  <c r="G79" i="5"/>
  <c r="F79" i="5"/>
  <c r="G78" i="5"/>
  <c r="F78" i="5"/>
  <c r="G77" i="5"/>
  <c r="F77" i="5"/>
  <c r="G76" i="5"/>
  <c r="F76" i="5"/>
  <c r="G75" i="5"/>
  <c r="F75" i="5"/>
  <c r="G74" i="5"/>
  <c r="F74" i="5"/>
  <c r="G73" i="5"/>
  <c r="F73" i="5"/>
  <c r="G72" i="5"/>
  <c r="F72" i="5"/>
  <c r="G71" i="5"/>
  <c r="F71" i="5"/>
  <c r="G70" i="5"/>
  <c r="F70" i="5"/>
  <c r="G69" i="5"/>
  <c r="F69" i="5"/>
  <c r="G68" i="5"/>
  <c r="F68" i="5"/>
  <c r="G67" i="5"/>
  <c r="F67" i="5"/>
  <c r="G66" i="5"/>
  <c r="F66" i="5"/>
  <c r="G65" i="5"/>
  <c r="F65" i="5"/>
  <c r="G64" i="5"/>
  <c r="F64" i="5"/>
  <c r="G63" i="5"/>
  <c r="F63" i="5"/>
  <c r="G62" i="5"/>
  <c r="F62" i="5"/>
  <c r="G61" i="5"/>
  <c r="F61" i="5"/>
  <c r="G60" i="5"/>
  <c r="F60" i="5"/>
  <c r="G59" i="5"/>
  <c r="F59" i="5"/>
  <c r="G58" i="5"/>
  <c r="F58" i="5"/>
  <c r="G57" i="5"/>
  <c r="F57" i="5"/>
  <c r="G56" i="5"/>
  <c r="F56" i="5"/>
  <c r="G55" i="5"/>
  <c r="F55" i="5"/>
  <c r="G54" i="5"/>
  <c r="F54" i="5"/>
  <c r="G53" i="5"/>
  <c r="F53" i="5"/>
  <c r="G52" i="5"/>
  <c r="F52" i="5"/>
  <c r="G51" i="5"/>
  <c r="F51" i="5"/>
  <c r="G50" i="5"/>
  <c r="F50" i="5"/>
  <c r="G49" i="5"/>
  <c r="F49" i="5"/>
  <c r="G48" i="5"/>
  <c r="F48" i="5"/>
  <c r="G47" i="5"/>
  <c r="F47" i="5"/>
  <c r="G46" i="5"/>
  <c r="F46" i="5"/>
  <c r="G45" i="5"/>
  <c r="F45" i="5"/>
  <c r="G44" i="5"/>
  <c r="F44" i="5"/>
  <c r="G43" i="5"/>
  <c r="F43" i="5"/>
  <c r="G42" i="5"/>
  <c r="F42" i="5"/>
  <c r="G41" i="5"/>
  <c r="F41" i="5"/>
  <c r="G40" i="5"/>
  <c r="F40" i="5"/>
  <c r="G39" i="5"/>
  <c r="F39" i="5"/>
  <c r="G38" i="5"/>
  <c r="F38" i="5"/>
  <c r="G37" i="5"/>
  <c r="F37" i="5"/>
  <c r="G36" i="5"/>
  <c r="F36" i="5"/>
  <c r="G35" i="5"/>
  <c r="F35" i="5"/>
  <c r="G34" i="5"/>
  <c r="F34" i="5"/>
  <c r="G33" i="5"/>
  <c r="F33" i="5"/>
  <c r="G32" i="5"/>
  <c r="F32" i="5"/>
  <c r="G31" i="5"/>
  <c r="F31" i="5"/>
  <c r="G30" i="5"/>
  <c r="F30" i="5"/>
  <c r="G29" i="5"/>
  <c r="F29" i="5"/>
  <c r="G28" i="5"/>
  <c r="F28" i="5"/>
  <c r="G27" i="5"/>
  <c r="F27" i="5"/>
  <c r="G26" i="5"/>
  <c r="F26" i="5"/>
  <c r="G25" i="5"/>
  <c r="F25" i="5"/>
  <c r="G24" i="5"/>
  <c r="F24" i="5"/>
  <c r="G23" i="5"/>
  <c r="F23" i="5"/>
  <c r="G22" i="5"/>
  <c r="F22" i="5"/>
  <c r="G21" i="5"/>
  <c r="F21" i="5"/>
  <c r="G20" i="5"/>
  <c r="F20" i="5"/>
  <c r="G19" i="5"/>
  <c r="F19" i="5"/>
  <c r="G18" i="5"/>
  <c r="F18" i="5"/>
  <c r="G17" i="5"/>
  <c r="F17" i="5"/>
  <c r="G16" i="5"/>
  <c r="F16" i="5"/>
  <c r="G15" i="5"/>
  <c r="F15" i="5"/>
  <c r="G14" i="5"/>
  <c r="F14" i="5"/>
  <c r="G13" i="5"/>
  <c r="F13" i="5"/>
  <c r="G12" i="5"/>
  <c r="F12" i="5"/>
  <c r="G11" i="5"/>
  <c r="F11" i="5"/>
  <c r="G10" i="5"/>
  <c r="F10" i="5"/>
  <c r="G9" i="5"/>
  <c r="F9" i="5"/>
  <c r="G8" i="5"/>
  <c r="F8" i="5"/>
  <c r="G7" i="5"/>
  <c r="F7" i="5"/>
  <c r="G6" i="5"/>
  <c r="F6" i="5"/>
  <c r="G5" i="5"/>
  <c r="F5" i="5"/>
  <c r="G4" i="5"/>
  <c r="F4" i="5"/>
  <c r="G3" i="5"/>
  <c r="F3" i="5"/>
  <c r="G2" i="5"/>
  <c r="F2" i="5"/>
  <c r="I2" i="4"/>
  <c r="H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2" i="4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2" i="3"/>
  <c r="B3" i="1"/>
  <c r="B4" i="1"/>
  <c r="B5" i="1"/>
  <c r="B6" i="1"/>
  <c r="B7" i="1"/>
  <c r="B8" i="1"/>
  <c r="B9" i="1"/>
  <c r="B10" i="1"/>
  <c r="B11" i="1"/>
  <c r="B12" i="1"/>
  <c r="B13" i="1"/>
  <c r="B2" i="1"/>
  <c r="J242" i="8" l="1"/>
  <c r="K242" i="8" s="1"/>
  <c r="L242" i="8"/>
  <c r="L356" i="8"/>
  <c r="J356" i="8"/>
  <c r="K356" i="8" s="1"/>
  <c r="J380" i="8"/>
  <c r="K380" i="8" s="1"/>
  <c r="L380" i="8" s="1"/>
  <c r="J294" i="8"/>
  <c r="K294" i="8" s="1"/>
  <c r="L294" i="8" s="1"/>
  <c r="L318" i="8"/>
  <c r="L150" i="8"/>
  <c r="J31" i="8"/>
  <c r="K31" i="8" s="1"/>
  <c r="L31" i="8" s="1"/>
  <c r="L198" i="8"/>
  <c r="J260" i="8"/>
  <c r="K260" i="8" s="1"/>
  <c r="J99" i="8"/>
  <c r="K99" i="8" s="1"/>
  <c r="L343" i="8"/>
  <c r="J366" i="8"/>
  <c r="K366" i="8" s="1"/>
  <c r="L17" i="8"/>
  <c r="J296" i="8"/>
  <c r="K296" i="8" s="1"/>
  <c r="L367" i="8"/>
  <c r="J18" i="8"/>
  <c r="K18" i="8" s="1"/>
  <c r="I39" i="8"/>
  <c r="I43" i="8"/>
  <c r="I47" i="8"/>
  <c r="I59" i="8"/>
  <c r="J59" i="8" s="1"/>
  <c r="K59" i="8" s="1"/>
  <c r="L59" i="8" s="1"/>
  <c r="J62" i="8"/>
  <c r="K62" i="8" s="1"/>
  <c r="L62" i="8" s="1"/>
  <c r="I66" i="8"/>
  <c r="J66" i="8" s="1"/>
  <c r="K66" i="8" s="1"/>
  <c r="L66" i="8" s="1"/>
  <c r="J81" i="8"/>
  <c r="K81" i="8" s="1"/>
  <c r="L81" i="8" s="1"/>
  <c r="I95" i="8"/>
  <c r="J105" i="8"/>
  <c r="K105" i="8" s="1"/>
  <c r="J129" i="8"/>
  <c r="K129" i="8" s="1"/>
  <c r="I160" i="8"/>
  <c r="J174" i="8"/>
  <c r="K174" i="8" s="1"/>
  <c r="L174" i="8" s="1"/>
  <c r="I193" i="8"/>
  <c r="J193" i="8" s="1"/>
  <c r="K193" i="8" s="1"/>
  <c r="L193" i="8" s="1"/>
  <c r="I204" i="8"/>
  <c r="I215" i="8"/>
  <c r="I263" i="8"/>
  <c r="I266" i="8"/>
  <c r="J266" i="8" s="1"/>
  <c r="K266" i="8" s="1"/>
  <c r="J272" i="8"/>
  <c r="K272" i="8" s="1"/>
  <c r="L272" i="8" s="1"/>
  <c r="I279" i="8"/>
  <c r="I286" i="8"/>
  <c r="I300" i="8"/>
  <c r="J303" i="8"/>
  <c r="K303" i="8" s="1"/>
  <c r="I327" i="8"/>
  <c r="I334" i="8"/>
  <c r="J355" i="8"/>
  <c r="K355" i="8" s="1"/>
  <c r="L355" i="8" s="1"/>
  <c r="I362" i="8"/>
  <c r="J362" i="8" s="1"/>
  <c r="K362" i="8" s="1"/>
  <c r="L362" i="8" s="1"/>
  <c r="I366" i="8"/>
  <c r="I369" i="8"/>
  <c r="J387" i="8"/>
  <c r="K387" i="8" s="1"/>
  <c r="L387" i="8" s="1"/>
  <c r="I395" i="8"/>
  <c r="J395" i="8" s="1"/>
  <c r="K395" i="8" s="1"/>
  <c r="L395" i="8" s="1"/>
  <c r="I413" i="8"/>
  <c r="J424" i="8"/>
  <c r="K424" i="8" s="1"/>
  <c r="L424" i="8" s="1"/>
  <c r="J428" i="8"/>
  <c r="K428" i="8" s="1"/>
  <c r="I432" i="8"/>
  <c r="I451" i="8"/>
  <c r="I458" i="8"/>
  <c r="I462" i="8"/>
  <c r="I466" i="8"/>
  <c r="I480" i="8"/>
  <c r="J269" i="8"/>
  <c r="K269" i="8" s="1"/>
  <c r="J85" i="8"/>
  <c r="K85" i="8" s="1"/>
  <c r="L85" i="8" s="1"/>
  <c r="J109" i="8"/>
  <c r="K109" i="8" s="1"/>
  <c r="L109" i="8" s="1"/>
  <c r="J178" i="8"/>
  <c r="K178" i="8" s="1"/>
  <c r="J413" i="8"/>
  <c r="K413" i="8" s="1"/>
  <c r="I12" i="8"/>
  <c r="I71" i="8"/>
  <c r="J74" i="8"/>
  <c r="K74" i="8" s="1"/>
  <c r="I78" i="8"/>
  <c r="I157" i="8"/>
  <c r="I179" i="8"/>
  <c r="I190" i="8"/>
  <c r="I208" i="8"/>
  <c r="J222" i="8"/>
  <c r="K222" i="8" s="1"/>
  <c r="L222" i="8" s="1"/>
  <c r="I247" i="8"/>
  <c r="J247" i="8" s="1"/>
  <c r="K247" i="8" s="1"/>
  <c r="L247" i="8" s="1"/>
  <c r="I251" i="8"/>
  <c r="I257" i="8"/>
  <c r="I276" i="8"/>
  <c r="J286" i="8"/>
  <c r="K286" i="8" s="1"/>
  <c r="L286" i="8" s="1"/>
  <c r="I290" i="8"/>
  <c r="I311" i="8"/>
  <c r="J311" i="8" s="1"/>
  <c r="K311" i="8" s="1"/>
  <c r="J331" i="8"/>
  <c r="K331" i="8" s="1"/>
  <c r="L331" i="8" s="1"/>
  <c r="I342" i="8"/>
  <c r="J342" i="8" s="1"/>
  <c r="K342" i="8" s="1"/>
  <c r="I345" i="8"/>
  <c r="I359" i="8"/>
  <c r="I377" i="8"/>
  <c r="I388" i="8"/>
  <c r="J388" i="8" s="1"/>
  <c r="K388" i="8" s="1"/>
  <c r="L388" i="8" s="1"/>
  <c r="I425" i="8"/>
  <c r="J436" i="8"/>
  <c r="K436" i="8" s="1"/>
  <c r="L436" i="8" s="1"/>
  <c r="J440" i="8"/>
  <c r="K440" i="8" s="1"/>
  <c r="I455" i="8"/>
  <c r="I463" i="8"/>
  <c r="I470" i="8"/>
  <c r="J470" i="8" s="1"/>
  <c r="K470" i="8" s="1"/>
  <c r="L470" i="8" s="1"/>
  <c r="J484" i="8"/>
  <c r="K484" i="8" s="1"/>
  <c r="L484" i="8" s="1"/>
  <c r="J488" i="8"/>
  <c r="K488" i="8" s="1"/>
  <c r="L488" i="8" s="1"/>
  <c r="J19" i="8"/>
  <c r="K19" i="8" s="1"/>
  <c r="J82" i="8"/>
  <c r="K82" i="8" s="1"/>
  <c r="L102" i="8"/>
  <c r="J106" i="8"/>
  <c r="K106" i="8" s="1"/>
  <c r="L126" i="8"/>
  <c r="J130" i="8"/>
  <c r="K130" i="8" s="1"/>
  <c r="L130" i="8" s="1"/>
  <c r="J137" i="8"/>
  <c r="K137" i="8" s="1"/>
  <c r="L137" i="8" s="1"/>
  <c r="J186" i="8"/>
  <c r="K186" i="8" s="1"/>
  <c r="L186" i="8" s="1"/>
  <c r="J345" i="8"/>
  <c r="K345" i="8" s="1"/>
  <c r="J359" i="8"/>
  <c r="K359" i="8" s="1"/>
  <c r="L359" i="8" s="1"/>
  <c r="J377" i="8"/>
  <c r="K377" i="8" s="1"/>
  <c r="L377" i="8" s="1"/>
  <c r="J392" i="8"/>
  <c r="K392" i="8" s="1"/>
  <c r="L18" i="8"/>
  <c r="I9" i="8"/>
  <c r="L9" i="8" s="1"/>
  <c r="I16" i="8"/>
  <c r="J23" i="8"/>
  <c r="K23" i="8" s="1"/>
  <c r="I30" i="8"/>
  <c r="J44" i="8"/>
  <c r="K44" i="8" s="1"/>
  <c r="L44" i="8" s="1"/>
  <c r="I56" i="8"/>
  <c r="I60" i="8"/>
  <c r="J60" i="8" s="1"/>
  <c r="K60" i="8" s="1"/>
  <c r="L60" i="8" s="1"/>
  <c r="J113" i="8"/>
  <c r="K113" i="8" s="1"/>
  <c r="I117" i="8"/>
  <c r="I154" i="8"/>
  <c r="I158" i="8"/>
  <c r="I165" i="8"/>
  <c r="I172" i="8"/>
  <c r="J190" i="8"/>
  <c r="K190" i="8" s="1"/>
  <c r="I205" i="8"/>
  <c r="I227" i="8"/>
  <c r="J227" i="8" s="1"/>
  <c r="K227" i="8" s="1"/>
  <c r="L227" i="8" s="1"/>
  <c r="I244" i="8"/>
  <c r="J244" i="8" s="1"/>
  <c r="K244" i="8" s="1"/>
  <c r="I297" i="8"/>
  <c r="J297" i="8" s="1"/>
  <c r="K297" i="8" s="1"/>
  <c r="L297" i="8" s="1"/>
  <c r="I315" i="8"/>
  <c r="J315" i="8" s="1"/>
  <c r="K315" i="8" s="1"/>
  <c r="L315" i="8" s="1"/>
  <c r="I353" i="8"/>
  <c r="I374" i="8"/>
  <c r="I381" i="8"/>
  <c r="I437" i="8"/>
  <c r="I448" i="8"/>
  <c r="I467" i="8"/>
  <c r="I474" i="8"/>
  <c r="J474" i="8" s="1"/>
  <c r="K474" i="8" s="1"/>
  <c r="L474" i="8" s="1"/>
  <c r="I485" i="8"/>
  <c r="I496" i="8"/>
  <c r="J9" i="8"/>
  <c r="K9" i="8" s="1"/>
  <c r="J30" i="8"/>
  <c r="K30" i="8" s="1"/>
  <c r="I83" i="8"/>
  <c r="J89" i="8"/>
  <c r="K89" i="8" s="1"/>
  <c r="L89" i="8" s="1"/>
  <c r="I107" i="8"/>
  <c r="J110" i="8"/>
  <c r="K110" i="8" s="1"/>
  <c r="J117" i="8"/>
  <c r="K117" i="8" s="1"/>
  <c r="J150" i="8"/>
  <c r="K150" i="8" s="1"/>
  <c r="I180" i="8"/>
  <c r="I191" i="8"/>
  <c r="J237" i="8"/>
  <c r="K237" i="8" s="1"/>
  <c r="L237" i="8" s="1"/>
  <c r="J291" i="8"/>
  <c r="K291" i="8" s="1"/>
  <c r="L291" i="8" s="1"/>
  <c r="I312" i="8"/>
  <c r="I336" i="8"/>
  <c r="J336" i="8" s="1"/>
  <c r="K336" i="8" s="1"/>
  <c r="L336" i="8" s="1"/>
  <c r="J367" i="8"/>
  <c r="K367" i="8" s="1"/>
  <c r="J374" i="8"/>
  <c r="K374" i="8" s="1"/>
  <c r="J378" i="8"/>
  <c r="K378" i="8" s="1"/>
  <c r="L378" i="8" s="1"/>
  <c r="I415" i="8"/>
  <c r="J426" i="8"/>
  <c r="K426" i="8" s="1"/>
  <c r="L426" i="8" s="1"/>
  <c r="J452" i="8"/>
  <c r="K452" i="8" s="1"/>
  <c r="J467" i="8"/>
  <c r="K467" i="8" s="1"/>
  <c r="I478" i="8"/>
  <c r="J485" i="8"/>
  <c r="K485" i="8" s="1"/>
  <c r="J154" i="8"/>
  <c r="K154" i="8" s="1"/>
  <c r="L154" i="8" s="1"/>
  <c r="J231" i="8"/>
  <c r="K231" i="8" s="1"/>
  <c r="L231" i="8" s="1"/>
  <c r="J308" i="8"/>
  <c r="K308" i="8" s="1"/>
  <c r="L308" i="8" s="1"/>
  <c r="J332" i="8"/>
  <c r="K332" i="8" s="1"/>
  <c r="J343" i="8"/>
  <c r="K343" i="8" s="1"/>
  <c r="J404" i="8"/>
  <c r="K404" i="8" s="1"/>
  <c r="J500" i="8"/>
  <c r="K500" i="8" s="1"/>
  <c r="J54" i="8"/>
  <c r="K54" i="8" s="1"/>
  <c r="I24" i="8"/>
  <c r="J24" i="8" s="1"/>
  <c r="K24" i="8" s="1"/>
  <c r="L24" i="8" s="1"/>
  <c r="I49" i="8"/>
  <c r="I53" i="8"/>
  <c r="I57" i="8"/>
  <c r="J107" i="8"/>
  <c r="K107" i="8" s="1"/>
  <c r="I114" i="8"/>
  <c r="J114" i="8" s="1"/>
  <c r="K114" i="8" s="1"/>
  <c r="J121" i="8"/>
  <c r="K121" i="8" s="1"/>
  <c r="L121" i="8" s="1"/>
  <c r="I184" i="8"/>
  <c r="J198" i="8"/>
  <c r="K198" i="8" s="1"/>
  <c r="I217" i="8"/>
  <c r="I245" i="8"/>
  <c r="J245" i="8" s="1"/>
  <c r="K245" i="8" s="1"/>
  <c r="J284" i="8"/>
  <c r="K284" i="8" s="1"/>
  <c r="I316" i="8"/>
  <c r="J350" i="8"/>
  <c r="K350" i="8" s="1"/>
  <c r="I354" i="8"/>
  <c r="I375" i="8"/>
  <c r="J375" i="8" s="1"/>
  <c r="K375" i="8" s="1"/>
  <c r="L375" i="8" s="1"/>
  <c r="J415" i="8"/>
  <c r="K415" i="8" s="1"/>
  <c r="I419" i="8"/>
  <c r="J419" i="8" s="1"/>
  <c r="K419" i="8" s="1"/>
  <c r="L419" i="8" s="1"/>
  <c r="I434" i="8"/>
  <c r="J434" i="8" s="1"/>
  <c r="K434" i="8" s="1"/>
  <c r="L434" i="8" s="1"/>
  <c r="I438" i="8"/>
  <c r="I449" i="8"/>
  <c r="J460" i="8"/>
  <c r="K460" i="8" s="1"/>
  <c r="L460" i="8" s="1"/>
  <c r="J464" i="8"/>
  <c r="K464" i="8" s="1"/>
  <c r="I482" i="8"/>
  <c r="I486" i="8"/>
  <c r="I497" i="8"/>
  <c r="I3" i="8"/>
  <c r="L3" i="8" s="1"/>
  <c r="J17" i="8"/>
  <c r="K17" i="8" s="1"/>
  <c r="J57" i="8"/>
  <c r="K57" i="8" s="1"/>
  <c r="L57" i="8" s="1"/>
  <c r="I80" i="8"/>
  <c r="J80" i="8" s="1"/>
  <c r="K80" i="8" s="1"/>
  <c r="L80" i="8" s="1"/>
  <c r="J97" i="8"/>
  <c r="K97" i="8" s="1"/>
  <c r="L97" i="8" s="1"/>
  <c r="I104" i="8"/>
  <c r="I128" i="8"/>
  <c r="I151" i="8"/>
  <c r="J162" i="8"/>
  <c r="K162" i="8" s="1"/>
  <c r="J202" i="8"/>
  <c r="K202" i="8" s="1"/>
  <c r="J217" i="8"/>
  <c r="K217" i="8" s="1"/>
  <c r="I255" i="8"/>
  <c r="J255" i="8" s="1"/>
  <c r="K255" i="8" s="1"/>
  <c r="L255" i="8" s="1"/>
  <c r="J271" i="8"/>
  <c r="K271" i="8" s="1"/>
  <c r="J295" i="8"/>
  <c r="K295" i="8" s="1"/>
  <c r="I302" i="8"/>
  <c r="I322" i="8"/>
  <c r="I340" i="8"/>
  <c r="J340" i="8" s="1"/>
  <c r="K340" i="8" s="1"/>
  <c r="L340" i="8" s="1"/>
  <c r="I347" i="8"/>
  <c r="I357" i="8"/>
  <c r="I386" i="8"/>
  <c r="I390" i="8"/>
  <c r="I401" i="8"/>
  <c r="I412" i="8"/>
  <c r="I423" i="8"/>
  <c r="I442" i="8"/>
  <c r="I453" i="8"/>
  <c r="I28" i="8"/>
  <c r="J28" i="8" s="1"/>
  <c r="K28" i="8" s="1"/>
  <c r="L28" i="8" s="1"/>
  <c r="I42" i="8"/>
  <c r="J42" i="8" s="1"/>
  <c r="K42" i="8" s="1"/>
  <c r="L42" i="8" s="1"/>
  <c r="I69" i="8"/>
  <c r="J69" i="8" s="1"/>
  <c r="K69" i="8" s="1"/>
  <c r="I90" i="8"/>
  <c r="J90" i="8" s="1"/>
  <c r="K90" i="8" s="1"/>
  <c r="I148" i="8"/>
  <c r="J148" i="8" s="1"/>
  <c r="K148" i="8" s="1"/>
  <c r="L148" i="8" s="1"/>
  <c r="J151" i="8"/>
  <c r="K151" i="8" s="1"/>
  <c r="J166" i="8"/>
  <c r="K166" i="8" s="1"/>
  <c r="L232" i="8"/>
  <c r="J275" i="8"/>
  <c r="K275" i="8" s="1"/>
  <c r="L275" i="8" s="1"/>
  <c r="J319" i="8"/>
  <c r="K319" i="8" s="1"/>
  <c r="J347" i="8"/>
  <c r="K347" i="8" s="1"/>
  <c r="J368" i="8"/>
  <c r="K368" i="8" s="1"/>
  <c r="L368" i="8" s="1"/>
  <c r="J379" i="8"/>
  <c r="K379" i="8" s="1"/>
  <c r="L379" i="8" s="1"/>
  <c r="I394" i="8"/>
  <c r="I405" i="8"/>
  <c r="J405" i="8" s="1"/>
  <c r="K405" i="8" s="1"/>
  <c r="L405" i="8" s="1"/>
  <c r="J427" i="8"/>
  <c r="K427" i="8" s="1"/>
  <c r="I431" i="8"/>
  <c r="I439" i="8"/>
  <c r="I446" i="8"/>
  <c r="I461" i="8"/>
  <c r="I472" i="8"/>
  <c r="I479" i="8"/>
  <c r="J479" i="8" s="1"/>
  <c r="K479" i="8" s="1"/>
  <c r="L479" i="8" s="1"/>
  <c r="I494" i="8"/>
  <c r="J494" i="8" s="1"/>
  <c r="K494" i="8" s="1"/>
  <c r="I501" i="8"/>
  <c r="J501" i="8" s="1"/>
  <c r="K501" i="8" s="1"/>
  <c r="L501" i="8" s="1"/>
  <c r="J7" i="8"/>
  <c r="K7" i="8" s="1"/>
  <c r="L7" i="8" s="1"/>
  <c r="J21" i="8"/>
  <c r="K21" i="8" s="1"/>
  <c r="L21" i="8" s="1"/>
  <c r="I35" i="8"/>
  <c r="I54" i="8"/>
  <c r="J84" i="8"/>
  <c r="K84" i="8" s="1"/>
  <c r="J94" i="8"/>
  <c r="K94" i="8" s="1"/>
  <c r="L94" i="8" s="1"/>
  <c r="I98" i="8"/>
  <c r="J98" i="8" s="1"/>
  <c r="K98" i="8" s="1"/>
  <c r="L98" i="8" s="1"/>
  <c r="I139" i="8"/>
  <c r="I156" i="8"/>
  <c r="J156" i="8" s="1"/>
  <c r="K156" i="8" s="1"/>
  <c r="L156" i="8" s="1"/>
  <c r="I167" i="8"/>
  <c r="J167" i="8" s="1"/>
  <c r="K167" i="8" s="1"/>
  <c r="L167" i="8" s="1"/>
  <c r="J181" i="8"/>
  <c r="K181" i="8" s="1"/>
  <c r="L181" i="8" s="1"/>
  <c r="I199" i="8"/>
  <c r="J210" i="8"/>
  <c r="K210" i="8" s="1"/>
  <c r="L210" i="8" s="1"/>
  <c r="I218" i="8"/>
  <c r="I225" i="8"/>
  <c r="I239" i="8"/>
  <c r="I269" i="8"/>
  <c r="J333" i="8"/>
  <c r="K333" i="8" s="1"/>
  <c r="J351" i="8"/>
  <c r="K351" i="8" s="1"/>
  <c r="I376" i="8"/>
  <c r="I383" i="8"/>
  <c r="I391" i="8"/>
  <c r="J416" i="8"/>
  <c r="K416" i="8" s="1"/>
  <c r="I450" i="8"/>
  <c r="J450" i="8" s="1"/>
  <c r="K450" i="8" s="1"/>
  <c r="L450" i="8" s="1"/>
  <c r="J461" i="8"/>
  <c r="K461" i="8" s="1"/>
  <c r="L461" i="8" s="1"/>
  <c r="I465" i="8"/>
  <c r="I483" i="8"/>
  <c r="I498" i="8"/>
  <c r="J370" i="7"/>
  <c r="K370" i="7" s="1"/>
  <c r="I3" i="7"/>
  <c r="J3" i="7" s="1"/>
  <c r="K3" i="7" s="1"/>
  <c r="I49" i="7"/>
  <c r="I64" i="7"/>
  <c r="J64" i="7" s="1"/>
  <c r="K64" i="7" s="1"/>
  <c r="I134" i="7"/>
  <c r="I138" i="7"/>
  <c r="J138" i="7" s="1"/>
  <c r="K138" i="7" s="1"/>
  <c r="I146" i="7"/>
  <c r="I150" i="7"/>
  <c r="I165" i="7"/>
  <c r="I200" i="7"/>
  <c r="J200" i="7" s="1"/>
  <c r="K200" i="7" s="1"/>
  <c r="I211" i="7"/>
  <c r="I227" i="7"/>
  <c r="J227" i="7" s="1"/>
  <c r="K227" i="7" s="1"/>
  <c r="I246" i="7"/>
  <c r="J246" i="7" s="1"/>
  <c r="K246" i="7" s="1"/>
  <c r="I269" i="7"/>
  <c r="I273" i="7"/>
  <c r="J273" i="7" s="1"/>
  <c r="K273" i="7" s="1"/>
  <c r="I285" i="7"/>
  <c r="J285" i="7" s="1"/>
  <c r="K285" i="7" s="1"/>
  <c r="I405" i="7"/>
  <c r="I417" i="7"/>
  <c r="I433" i="7"/>
  <c r="I441" i="7"/>
  <c r="I445" i="7"/>
  <c r="J445" i="7" s="1"/>
  <c r="K445" i="7" s="1"/>
  <c r="J456" i="7"/>
  <c r="K456" i="7" s="1"/>
  <c r="J351" i="7"/>
  <c r="K351" i="7" s="1"/>
  <c r="J397" i="7"/>
  <c r="K397" i="7" s="1"/>
  <c r="I57" i="7"/>
  <c r="J57" i="7" s="1"/>
  <c r="K57" i="7" s="1"/>
  <c r="J91" i="7"/>
  <c r="K91" i="7" s="1"/>
  <c r="I170" i="7"/>
  <c r="J170" i="7" s="1"/>
  <c r="K170" i="7" s="1"/>
  <c r="I174" i="7"/>
  <c r="I208" i="7"/>
  <c r="J208" i="7" s="1"/>
  <c r="K208" i="7" s="1"/>
  <c r="I258" i="7"/>
  <c r="I262" i="7"/>
  <c r="J262" i="7" s="1"/>
  <c r="K262" i="7" s="1"/>
  <c r="I266" i="7"/>
  <c r="I270" i="7"/>
  <c r="J270" i="7" s="1"/>
  <c r="K270" i="7" s="1"/>
  <c r="J297" i="7"/>
  <c r="K297" i="7" s="1"/>
  <c r="I332" i="7"/>
  <c r="I344" i="7"/>
  <c r="J433" i="7"/>
  <c r="K433" i="7" s="1"/>
  <c r="I457" i="7"/>
  <c r="I12" i="7"/>
  <c r="I27" i="7"/>
  <c r="J27" i="7" s="1"/>
  <c r="K27" i="7" s="1"/>
  <c r="I46" i="7"/>
  <c r="J46" i="7" s="1"/>
  <c r="K46" i="7" s="1"/>
  <c r="I50" i="7"/>
  <c r="I92" i="7"/>
  <c r="J92" i="7" s="1"/>
  <c r="K92" i="7" s="1"/>
  <c r="I151" i="7"/>
  <c r="I182" i="7"/>
  <c r="I186" i="7"/>
  <c r="J186" i="7" s="1"/>
  <c r="K186" i="7" s="1"/>
  <c r="I190" i="7"/>
  <c r="J190" i="7" s="1"/>
  <c r="K190" i="7" s="1"/>
  <c r="J212" i="7"/>
  <c r="K212" i="7" s="1"/>
  <c r="I220" i="7"/>
  <c r="J220" i="7" s="1"/>
  <c r="K220" i="7" s="1"/>
  <c r="I290" i="7"/>
  <c r="I294" i="7"/>
  <c r="I305" i="7"/>
  <c r="I309" i="7"/>
  <c r="J309" i="7" s="1"/>
  <c r="K309" i="7" s="1"/>
  <c r="I313" i="7"/>
  <c r="I317" i="7"/>
  <c r="I321" i="7"/>
  <c r="I360" i="7"/>
  <c r="I383" i="7"/>
  <c r="J383" i="7" s="1"/>
  <c r="K383" i="7" s="1"/>
  <c r="J406" i="7"/>
  <c r="K406" i="7" s="1"/>
  <c r="I418" i="7"/>
  <c r="J418" i="7" s="1"/>
  <c r="K418" i="7" s="1"/>
  <c r="I434" i="7"/>
  <c r="I442" i="7"/>
  <c r="J442" i="7" s="1"/>
  <c r="K442" i="7" s="1"/>
  <c r="I450" i="7"/>
  <c r="J31" i="7"/>
  <c r="K31" i="7" s="1"/>
  <c r="I62" i="7"/>
  <c r="J62" i="7" s="1"/>
  <c r="K62" i="7" s="1"/>
  <c r="J100" i="7"/>
  <c r="K100" i="7" s="1"/>
  <c r="J104" i="7"/>
  <c r="K104" i="7" s="1"/>
  <c r="J112" i="7"/>
  <c r="K112" i="7" s="1"/>
  <c r="J116" i="7"/>
  <c r="K116" i="7" s="1"/>
  <c r="J329" i="7"/>
  <c r="K329" i="7" s="1"/>
  <c r="I478" i="7"/>
  <c r="J478" i="7" s="1"/>
  <c r="K478" i="7" s="1"/>
  <c r="I187" i="7"/>
  <c r="I202" i="7"/>
  <c r="I217" i="7"/>
  <c r="I225" i="7"/>
  <c r="I283" i="7"/>
  <c r="I9" i="7"/>
  <c r="J9" i="7" s="1"/>
  <c r="K9" i="7" s="1"/>
  <c r="I13" i="7"/>
  <c r="J13" i="7" s="1"/>
  <c r="K13" i="7" s="1"/>
  <c r="I28" i="7"/>
  <c r="I47" i="7"/>
  <c r="J47" i="7" s="1"/>
  <c r="K47" i="7" s="1"/>
  <c r="J124" i="7"/>
  <c r="K124" i="7" s="1"/>
  <c r="J128" i="7"/>
  <c r="K128" i="7" s="1"/>
  <c r="I17" i="7"/>
  <c r="J17" i="7" s="1"/>
  <c r="K17" i="7" s="1"/>
  <c r="I59" i="7"/>
  <c r="J59" i="7" s="1"/>
  <c r="K59" i="7" s="1"/>
  <c r="I67" i="7"/>
  <c r="J67" i="7" s="1"/>
  <c r="K67" i="7" s="1"/>
  <c r="I97" i="7"/>
  <c r="I117" i="7"/>
  <c r="J117" i="7" s="1"/>
  <c r="K117" i="7" s="1"/>
  <c r="I156" i="7"/>
  <c r="J156" i="7" s="1"/>
  <c r="K156" i="7" s="1"/>
  <c r="I199" i="7"/>
  <c r="I206" i="7"/>
  <c r="I256" i="7"/>
  <c r="I330" i="7"/>
  <c r="I338" i="7"/>
  <c r="J338" i="7" s="1"/>
  <c r="K338" i="7" s="1"/>
  <c r="I342" i="7"/>
  <c r="J342" i="7" s="1"/>
  <c r="K342" i="7" s="1"/>
  <c r="I404" i="7"/>
  <c r="I479" i="7"/>
  <c r="I495" i="7"/>
  <c r="J2" i="7"/>
  <c r="J44" i="7"/>
  <c r="K44" i="7" s="1"/>
  <c r="J97" i="7"/>
  <c r="K97" i="7" s="1"/>
  <c r="J206" i="7"/>
  <c r="K206" i="7" s="1"/>
  <c r="J268" i="7"/>
  <c r="K268" i="7" s="1"/>
  <c r="I25" i="7"/>
  <c r="J25" i="7" s="1"/>
  <c r="K25" i="7" s="1"/>
  <c r="I52" i="7"/>
  <c r="J52" i="7" s="1"/>
  <c r="K52" i="7" s="1"/>
  <c r="I71" i="7"/>
  <c r="I86" i="7"/>
  <c r="J86" i="7" s="1"/>
  <c r="K86" i="7" s="1"/>
  <c r="I90" i="7"/>
  <c r="J90" i="7" s="1"/>
  <c r="K90" i="7" s="1"/>
  <c r="J172" i="7"/>
  <c r="K172" i="7" s="1"/>
  <c r="I180" i="7"/>
  <c r="J180" i="7" s="1"/>
  <c r="K180" i="7" s="1"/>
  <c r="I188" i="7"/>
  <c r="I192" i="7"/>
  <c r="J192" i="7" s="1"/>
  <c r="K192" i="7" s="1"/>
  <c r="I196" i="7"/>
  <c r="I218" i="7"/>
  <c r="J218" i="7" s="1"/>
  <c r="K218" i="7" s="1"/>
  <c r="I222" i="7"/>
  <c r="J222" i="7" s="1"/>
  <c r="K222" i="7" s="1"/>
  <c r="I234" i="7"/>
  <c r="I242" i="7"/>
  <c r="I257" i="7"/>
  <c r="J257" i="7" s="1"/>
  <c r="K257" i="7" s="1"/>
  <c r="I292" i="7"/>
  <c r="J292" i="7" s="1"/>
  <c r="K292" i="7" s="1"/>
  <c r="I307" i="7"/>
  <c r="I311" i="7"/>
  <c r="I315" i="7"/>
  <c r="I319" i="7"/>
  <c r="I323" i="7"/>
  <c r="I381" i="7"/>
  <c r="I385" i="7"/>
  <c r="J385" i="7" s="1"/>
  <c r="K385" i="7" s="1"/>
  <c r="I389" i="7"/>
  <c r="J396" i="7"/>
  <c r="K396" i="7" s="1"/>
  <c r="I416" i="7"/>
  <c r="J416" i="7" s="1"/>
  <c r="K416" i="7" s="1"/>
  <c r="I436" i="7"/>
  <c r="I440" i="7"/>
  <c r="J440" i="7" s="1"/>
  <c r="K440" i="7" s="1"/>
  <c r="I472" i="7"/>
  <c r="J4" i="8"/>
  <c r="K4" i="8" s="1"/>
  <c r="L4" i="8" s="1"/>
  <c r="J39" i="8"/>
  <c r="K39" i="8" s="1"/>
  <c r="L39" i="8" s="1"/>
  <c r="L43" i="8"/>
  <c r="J43" i="8"/>
  <c r="K43" i="8" s="1"/>
  <c r="L78" i="8"/>
  <c r="J12" i="8"/>
  <c r="K12" i="8" s="1"/>
  <c r="L12" i="8" s="1"/>
  <c r="J40" i="8"/>
  <c r="K40" i="8" s="1"/>
  <c r="L40" i="8" s="1"/>
  <c r="J63" i="8"/>
  <c r="K63" i="8" s="1"/>
  <c r="L63" i="8" s="1"/>
  <c r="J67" i="8"/>
  <c r="K67" i="8" s="1"/>
  <c r="L67" i="8" s="1"/>
  <c r="J91" i="8"/>
  <c r="K91" i="8" s="1"/>
  <c r="L91" i="8" s="1"/>
  <c r="J16" i="8"/>
  <c r="K16" i="8" s="1"/>
  <c r="L16" i="8" s="1"/>
  <c r="L19" i="8"/>
  <c r="L82" i="8"/>
  <c r="L106" i="8"/>
  <c r="L26" i="8"/>
  <c r="J55" i="8"/>
  <c r="K55" i="8" s="1"/>
  <c r="L55" i="8" s="1"/>
  <c r="L2" i="8"/>
  <c r="J75" i="8"/>
  <c r="K75" i="8" s="1"/>
  <c r="L75" i="8" s="1"/>
  <c r="J79" i="8"/>
  <c r="K79" i="8" s="1"/>
  <c r="L79" i="8" s="1"/>
  <c r="J103" i="8"/>
  <c r="K103" i="8" s="1"/>
  <c r="L103" i="8" s="1"/>
  <c r="J127" i="8"/>
  <c r="K127" i="8" s="1"/>
  <c r="L127" i="8" s="1"/>
  <c r="L46" i="8"/>
  <c r="J6" i="8"/>
  <c r="K6" i="8" s="1"/>
  <c r="L6" i="8" s="1"/>
  <c r="L13" i="8"/>
  <c r="L34" i="8"/>
  <c r="J3" i="8"/>
  <c r="K3" i="8" s="1"/>
  <c r="J10" i="8"/>
  <c r="K10" i="8" s="1"/>
  <c r="L10" i="8" s="1"/>
  <c r="J22" i="8"/>
  <c r="K22" i="8" s="1"/>
  <c r="L22" i="8" s="1"/>
  <c r="J51" i="8"/>
  <c r="K51" i="8" s="1"/>
  <c r="L51" i="8" s="1"/>
  <c r="J70" i="8"/>
  <c r="K70" i="8" s="1"/>
  <c r="L70" i="8" s="1"/>
  <c r="J34" i="8"/>
  <c r="K34" i="8" s="1"/>
  <c r="L50" i="8"/>
  <c r="L58" i="8"/>
  <c r="L61" i="8"/>
  <c r="J142" i="8"/>
  <c r="K142" i="8" s="1"/>
  <c r="L142" i="8" s="1"/>
  <c r="L38" i="8"/>
  <c r="L54" i="8"/>
  <c r="L101" i="8"/>
  <c r="J115" i="8"/>
  <c r="K115" i="8" s="1"/>
  <c r="L115" i="8" s="1"/>
  <c r="J300" i="8"/>
  <c r="K300" i="8" s="1"/>
  <c r="L300" i="8" s="1"/>
  <c r="J5" i="8"/>
  <c r="K5" i="8" s="1"/>
  <c r="L5" i="8" s="1"/>
  <c r="L11" i="8"/>
  <c r="J15" i="8"/>
  <c r="K15" i="8" s="1"/>
  <c r="L15" i="8" s="1"/>
  <c r="L23" i="8"/>
  <c r="J27" i="8"/>
  <c r="K27" i="8" s="1"/>
  <c r="L27" i="8" s="1"/>
  <c r="I36" i="8"/>
  <c r="J38" i="8"/>
  <c r="K38" i="8" s="1"/>
  <c r="J46" i="8"/>
  <c r="K46" i="8" s="1"/>
  <c r="L74" i="8"/>
  <c r="L105" i="8"/>
  <c r="I108" i="8"/>
  <c r="L113" i="8"/>
  <c r="I124" i="8"/>
  <c r="L162" i="8"/>
  <c r="J170" i="8"/>
  <c r="K170" i="8" s="1"/>
  <c r="L170" i="8" s="1"/>
  <c r="J194" i="8"/>
  <c r="K194" i="8" s="1"/>
  <c r="L194" i="8"/>
  <c r="J218" i="8"/>
  <c r="K218" i="8" s="1"/>
  <c r="L218" i="8" s="1"/>
  <c r="J480" i="8"/>
  <c r="K480" i="8" s="1"/>
  <c r="L480" i="8" s="1"/>
  <c r="J53" i="8"/>
  <c r="K53" i="8" s="1"/>
  <c r="L53" i="8" s="1"/>
  <c r="J77" i="8"/>
  <c r="K77" i="8" s="1"/>
  <c r="L77" i="8" s="1"/>
  <c r="J146" i="8"/>
  <c r="K146" i="8" s="1"/>
  <c r="L146" i="8" s="1"/>
  <c r="I32" i="8"/>
  <c r="J49" i="8"/>
  <c r="K49" i="8" s="1"/>
  <c r="L49" i="8" s="1"/>
  <c r="I100" i="8"/>
  <c r="I133" i="8"/>
  <c r="J149" i="8"/>
  <c r="K149" i="8" s="1"/>
  <c r="L149" i="8" s="1"/>
  <c r="J173" i="8"/>
  <c r="K173" i="8" s="1"/>
  <c r="L173" i="8"/>
  <c r="J191" i="8"/>
  <c r="K191" i="8" s="1"/>
  <c r="L191" i="8" s="1"/>
  <c r="J197" i="8"/>
  <c r="K197" i="8" s="1"/>
  <c r="L197" i="8" s="1"/>
  <c r="J221" i="8"/>
  <c r="K221" i="8" s="1"/>
  <c r="L221" i="8"/>
  <c r="J65" i="8"/>
  <c r="K65" i="8" s="1"/>
  <c r="L65" i="8" s="1"/>
  <c r="J116" i="8"/>
  <c r="K116" i="8" s="1"/>
  <c r="L116" i="8" s="1"/>
  <c r="J138" i="8"/>
  <c r="K138" i="8" s="1"/>
  <c r="L138" i="8" s="1"/>
  <c r="L87" i="8"/>
  <c r="J92" i="8"/>
  <c r="K92" i="8" s="1"/>
  <c r="L92" i="8" s="1"/>
  <c r="L111" i="8"/>
  <c r="J119" i="8"/>
  <c r="K119" i="8" s="1"/>
  <c r="L119" i="8" s="1"/>
  <c r="J160" i="8"/>
  <c r="K160" i="8" s="1"/>
  <c r="L160" i="8" s="1"/>
  <c r="J184" i="8"/>
  <c r="K184" i="8" s="1"/>
  <c r="L184" i="8" s="1"/>
  <c r="J208" i="8"/>
  <c r="K208" i="8" s="1"/>
  <c r="L208" i="8" s="1"/>
  <c r="L229" i="8"/>
  <c r="J349" i="8"/>
  <c r="K349" i="8" s="1"/>
  <c r="L349" i="8" s="1"/>
  <c r="J14" i="8"/>
  <c r="K14" i="8" s="1"/>
  <c r="L14" i="8" s="1"/>
  <c r="J26" i="8"/>
  <c r="K26" i="8" s="1"/>
  <c r="J47" i="8"/>
  <c r="K47" i="8" s="1"/>
  <c r="L47" i="8" s="1"/>
  <c r="J122" i="8"/>
  <c r="K122" i="8" s="1"/>
  <c r="L122" i="8" s="1"/>
  <c r="J125" i="8"/>
  <c r="K125" i="8" s="1"/>
  <c r="L125" i="8" s="1"/>
  <c r="J136" i="8"/>
  <c r="K136" i="8" s="1"/>
  <c r="L136" i="8" s="1"/>
  <c r="J205" i="8"/>
  <c r="K205" i="8" s="1"/>
  <c r="L205" i="8" s="1"/>
  <c r="J229" i="8"/>
  <c r="K229" i="8" s="1"/>
  <c r="J61" i="8"/>
  <c r="K61" i="8" s="1"/>
  <c r="J73" i="8"/>
  <c r="K73" i="8" s="1"/>
  <c r="L73" i="8" s="1"/>
  <c r="J95" i="8"/>
  <c r="K95" i="8" s="1"/>
  <c r="L95" i="8" s="1"/>
  <c r="L117" i="8"/>
  <c r="I120" i="8"/>
  <c r="J72" i="8"/>
  <c r="K72" i="8" s="1"/>
  <c r="L72" i="8" s="1"/>
  <c r="J8" i="8"/>
  <c r="K8" i="8" s="1"/>
  <c r="L8" i="8" s="1"/>
  <c r="J20" i="8"/>
  <c r="K20" i="8" s="1"/>
  <c r="L20" i="8" s="1"/>
  <c r="J37" i="8"/>
  <c r="K37" i="8" s="1"/>
  <c r="L37" i="8" s="1"/>
  <c r="J41" i="8"/>
  <c r="K41" i="8" s="1"/>
  <c r="L41" i="8" s="1"/>
  <c r="J45" i="8"/>
  <c r="K45" i="8" s="1"/>
  <c r="L45" i="8" s="1"/>
  <c r="J56" i="8"/>
  <c r="K56" i="8" s="1"/>
  <c r="L56" i="8" s="1"/>
  <c r="J68" i="8"/>
  <c r="K68" i="8" s="1"/>
  <c r="L68" i="8" s="1"/>
  <c r="L90" i="8"/>
  <c r="J101" i="8"/>
  <c r="K101" i="8" s="1"/>
  <c r="J128" i="8"/>
  <c r="K128" i="8" s="1"/>
  <c r="L128" i="8" s="1"/>
  <c r="J131" i="8"/>
  <c r="K131" i="8" s="1"/>
  <c r="L131" i="8" s="1"/>
  <c r="J158" i="8"/>
  <c r="K158" i="8" s="1"/>
  <c r="L158" i="8" s="1"/>
  <c r="J182" i="8"/>
  <c r="K182" i="8" s="1"/>
  <c r="L182" i="8"/>
  <c r="J206" i="8"/>
  <c r="K206" i="8" s="1"/>
  <c r="L206" i="8" s="1"/>
  <c r="J230" i="8"/>
  <c r="K230" i="8" s="1"/>
  <c r="L230" i="8" s="1"/>
  <c r="J239" i="8"/>
  <c r="K239" i="8" s="1"/>
  <c r="L239" i="8" s="1"/>
  <c r="I52" i="8"/>
  <c r="I88" i="8"/>
  <c r="I96" i="8"/>
  <c r="I112" i="8"/>
  <c r="J226" i="8"/>
  <c r="K226" i="8" s="1"/>
  <c r="J263" i="8"/>
  <c r="K263" i="8" s="1"/>
  <c r="L263" i="8" s="1"/>
  <c r="L33" i="8"/>
  <c r="J35" i="8"/>
  <c r="K35" i="8" s="1"/>
  <c r="L35" i="8" s="1"/>
  <c r="I48" i="8"/>
  <c r="J50" i="8"/>
  <c r="K50" i="8" s="1"/>
  <c r="I64" i="8"/>
  <c r="J71" i="8"/>
  <c r="K71" i="8" s="1"/>
  <c r="L71" i="8" s="1"/>
  <c r="I76" i="8"/>
  <c r="J78" i="8"/>
  <c r="K78" i="8" s="1"/>
  <c r="J83" i="8"/>
  <c r="K83" i="8" s="1"/>
  <c r="L83" i="8" s="1"/>
  <c r="J93" i="8"/>
  <c r="K93" i="8" s="1"/>
  <c r="L93" i="8" s="1"/>
  <c r="J104" i="8"/>
  <c r="K104" i="8" s="1"/>
  <c r="L104" i="8" s="1"/>
  <c r="L107" i="8"/>
  <c r="J134" i="8"/>
  <c r="K134" i="8" s="1"/>
  <c r="L134" i="8" s="1"/>
  <c r="I140" i="8"/>
  <c r="J155" i="8"/>
  <c r="K155" i="8" s="1"/>
  <c r="L155" i="8" s="1"/>
  <c r="J161" i="8"/>
  <c r="K161" i="8" s="1"/>
  <c r="L161" i="8" s="1"/>
  <c r="J185" i="8"/>
  <c r="K185" i="8" s="1"/>
  <c r="L185" i="8" s="1"/>
  <c r="J203" i="8"/>
  <c r="K203" i="8" s="1"/>
  <c r="L203" i="8" s="1"/>
  <c r="J209" i="8"/>
  <c r="K209" i="8" s="1"/>
  <c r="L209" i="8"/>
  <c r="L213" i="8"/>
  <c r="J438" i="8"/>
  <c r="K438" i="8" s="1"/>
  <c r="L438" i="8" s="1"/>
  <c r="L110" i="8"/>
  <c r="J123" i="8"/>
  <c r="K123" i="8" s="1"/>
  <c r="L123" i="8" s="1"/>
  <c r="L169" i="8"/>
  <c r="J172" i="8"/>
  <c r="K172" i="8" s="1"/>
  <c r="L172" i="8" s="1"/>
  <c r="J196" i="8"/>
  <c r="K196" i="8" s="1"/>
  <c r="L196" i="8" s="1"/>
  <c r="L217" i="8"/>
  <c r="J220" i="8"/>
  <c r="K220" i="8" s="1"/>
  <c r="L220" i="8" s="1"/>
  <c r="J240" i="8"/>
  <c r="K240" i="8" s="1"/>
  <c r="L240" i="8" s="1"/>
  <c r="J13" i="8"/>
  <c r="K13" i="8" s="1"/>
  <c r="J25" i="8"/>
  <c r="K25" i="8" s="1"/>
  <c r="L25" i="8" s="1"/>
  <c r="J29" i="8"/>
  <c r="K29" i="8" s="1"/>
  <c r="L29" i="8" s="1"/>
  <c r="L84" i="8"/>
  <c r="J86" i="8"/>
  <c r="K86" i="8" s="1"/>
  <c r="L86" i="8" s="1"/>
  <c r="L99" i="8"/>
  <c r="L129" i="8"/>
  <c r="J132" i="8"/>
  <c r="K132" i="8" s="1"/>
  <c r="L132" i="8" s="1"/>
  <c r="J135" i="8"/>
  <c r="K135" i="8" s="1"/>
  <c r="L135" i="8" s="1"/>
  <c r="J257" i="8"/>
  <c r="K257" i="8" s="1"/>
  <c r="L257" i="8" s="1"/>
  <c r="J409" i="8"/>
  <c r="K409" i="8" s="1"/>
  <c r="L409" i="8" s="1"/>
  <c r="I152" i="8"/>
  <c r="J152" i="8" s="1"/>
  <c r="K152" i="8" s="1"/>
  <c r="J159" i="8"/>
  <c r="K159" i="8" s="1"/>
  <c r="L159" i="8" s="1"/>
  <c r="I164" i="8"/>
  <c r="J164" i="8" s="1"/>
  <c r="K164" i="8" s="1"/>
  <c r="J171" i="8"/>
  <c r="K171" i="8" s="1"/>
  <c r="L171" i="8" s="1"/>
  <c r="I176" i="8"/>
  <c r="J183" i="8"/>
  <c r="K183" i="8" s="1"/>
  <c r="L183" i="8" s="1"/>
  <c r="I188" i="8"/>
  <c r="J195" i="8"/>
  <c r="K195" i="8" s="1"/>
  <c r="L195" i="8" s="1"/>
  <c r="I200" i="8"/>
  <c r="J200" i="8" s="1"/>
  <c r="K200" i="8" s="1"/>
  <c r="J207" i="8"/>
  <c r="K207" i="8" s="1"/>
  <c r="L207" i="8" s="1"/>
  <c r="I212" i="8"/>
  <c r="J219" i="8"/>
  <c r="K219" i="8" s="1"/>
  <c r="L219" i="8" s="1"/>
  <c r="I224" i="8"/>
  <c r="L269" i="8"/>
  <c r="L303" i="8"/>
  <c r="I346" i="8"/>
  <c r="I384" i="8"/>
  <c r="L441" i="8"/>
  <c r="J473" i="8"/>
  <c r="K473" i="8" s="1"/>
  <c r="L473" i="8" s="1"/>
  <c r="J144" i="8"/>
  <c r="K144" i="8" s="1"/>
  <c r="L144" i="8" s="1"/>
  <c r="L234" i="8"/>
  <c r="L245" i="8"/>
  <c r="J248" i="8"/>
  <c r="K248" i="8" s="1"/>
  <c r="L248" i="8" s="1"/>
  <c r="L260" i="8"/>
  <c r="J317" i="8"/>
  <c r="K317" i="8" s="1"/>
  <c r="L317" i="8" s="1"/>
  <c r="L333" i="8"/>
  <c r="L374" i="8"/>
  <c r="L402" i="8"/>
  <c r="I406" i="8"/>
  <c r="L467" i="8"/>
  <c r="J495" i="8"/>
  <c r="K495" i="8" s="1"/>
  <c r="L495" i="8" s="1"/>
  <c r="J243" i="8"/>
  <c r="K243" i="8" s="1"/>
  <c r="L243" i="8" s="1"/>
  <c r="J264" i="8"/>
  <c r="K264" i="8" s="1"/>
  <c r="L264" i="8" s="1"/>
  <c r="J324" i="8"/>
  <c r="K324" i="8" s="1"/>
  <c r="L324" i="8" s="1"/>
  <c r="J327" i="8"/>
  <c r="K327" i="8" s="1"/>
  <c r="L327" i="8" s="1"/>
  <c r="L357" i="8"/>
  <c r="J435" i="8"/>
  <c r="K435" i="8" s="1"/>
  <c r="L435" i="8" s="1"/>
  <c r="L235" i="8"/>
  <c r="I238" i="8"/>
  <c r="I252" i="8"/>
  <c r="J288" i="8"/>
  <c r="K288" i="8" s="1"/>
  <c r="L288" i="8" s="1"/>
  <c r="L320" i="8"/>
  <c r="J371" i="8"/>
  <c r="K371" i="8" s="1"/>
  <c r="L371" i="8" s="1"/>
  <c r="L428" i="8"/>
  <c r="L489" i="8"/>
  <c r="J153" i="8"/>
  <c r="K153" i="8" s="1"/>
  <c r="L153" i="8" s="1"/>
  <c r="J165" i="8"/>
  <c r="K165" i="8" s="1"/>
  <c r="L165" i="8" s="1"/>
  <c r="J177" i="8"/>
  <c r="K177" i="8" s="1"/>
  <c r="L177" i="8" s="1"/>
  <c r="J189" i="8"/>
  <c r="K189" i="8" s="1"/>
  <c r="L189" i="8" s="1"/>
  <c r="J201" i="8"/>
  <c r="K201" i="8" s="1"/>
  <c r="L201" i="8" s="1"/>
  <c r="J213" i="8"/>
  <c r="K213" i="8" s="1"/>
  <c r="J225" i="8"/>
  <c r="K225" i="8" s="1"/>
  <c r="L225" i="8" s="1"/>
  <c r="J305" i="8"/>
  <c r="K305" i="8" s="1"/>
  <c r="L305" i="8" s="1"/>
  <c r="L348" i="8"/>
  <c r="J348" i="8"/>
  <c r="K348" i="8" s="1"/>
  <c r="J361" i="8"/>
  <c r="K361" i="8" s="1"/>
  <c r="L361" i="8" s="1"/>
  <c r="L400" i="8"/>
  <c r="J432" i="8"/>
  <c r="K432" i="8" s="1"/>
  <c r="L432" i="8" s="1"/>
  <c r="J457" i="8"/>
  <c r="K457" i="8" s="1"/>
  <c r="L457" i="8" s="1"/>
  <c r="L216" i="8"/>
  <c r="J241" i="8"/>
  <c r="K241" i="8" s="1"/>
  <c r="L241" i="8" s="1"/>
  <c r="J246" i="8"/>
  <c r="K246" i="8" s="1"/>
  <c r="L246" i="8" s="1"/>
  <c r="J267" i="8"/>
  <c r="K267" i="8" s="1"/>
  <c r="L267" i="8" s="1"/>
  <c r="J279" i="8"/>
  <c r="K279" i="8" s="1"/>
  <c r="L279" i="8" s="1"/>
  <c r="J393" i="8"/>
  <c r="K393" i="8" s="1"/>
  <c r="L393" i="8" s="1"/>
  <c r="J425" i="8"/>
  <c r="K425" i="8" s="1"/>
  <c r="L425" i="8" s="1"/>
  <c r="I454" i="8"/>
  <c r="J141" i="8"/>
  <c r="K141" i="8" s="1"/>
  <c r="L141" i="8" s="1"/>
  <c r="J145" i="8"/>
  <c r="K145" i="8" s="1"/>
  <c r="L145" i="8" s="1"/>
  <c r="L151" i="8"/>
  <c r="I250" i="8"/>
  <c r="J250" i="8" s="1"/>
  <c r="K250" i="8" s="1"/>
  <c r="I292" i="8"/>
  <c r="J358" i="8"/>
  <c r="K358" i="8" s="1"/>
  <c r="L358" i="8" s="1"/>
  <c r="J486" i="8"/>
  <c r="K486" i="8" s="1"/>
  <c r="L486" i="8" s="1"/>
  <c r="L143" i="8"/>
  <c r="L166" i="8"/>
  <c r="J168" i="8"/>
  <c r="K168" i="8" s="1"/>
  <c r="L168" i="8" s="1"/>
  <c r="L178" i="8"/>
  <c r="J180" i="8"/>
  <c r="K180" i="8" s="1"/>
  <c r="L180" i="8" s="1"/>
  <c r="L190" i="8"/>
  <c r="J192" i="8"/>
  <c r="K192" i="8" s="1"/>
  <c r="L192" i="8" s="1"/>
  <c r="L202" i="8"/>
  <c r="J204" i="8"/>
  <c r="K204" i="8" s="1"/>
  <c r="L204" i="8" s="1"/>
  <c r="L214" i="8"/>
  <c r="J216" i="8"/>
  <c r="K216" i="8" s="1"/>
  <c r="J228" i="8"/>
  <c r="K228" i="8" s="1"/>
  <c r="L228" i="8" s="1"/>
  <c r="I256" i="8"/>
  <c r="L259" i="8"/>
  <c r="J276" i="8"/>
  <c r="K276" i="8" s="1"/>
  <c r="L276" i="8" s="1"/>
  <c r="J390" i="8"/>
  <c r="K390" i="8" s="1"/>
  <c r="L390" i="8" s="1"/>
  <c r="J483" i="8"/>
  <c r="K483" i="8" s="1"/>
  <c r="L483" i="8" s="1"/>
  <c r="J143" i="8"/>
  <c r="K143" i="8" s="1"/>
  <c r="J163" i="8"/>
  <c r="K163" i="8" s="1"/>
  <c r="L163" i="8" s="1"/>
  <c r="J175" i="8"/>
  <c r="K175" i="8" s="1"/>
  <c r="L175" i="8" s="1"/>
  <c r="J187" i="8"/>
  <c r="K187" i="8" s="1"/>
  <c r="L187" i="8" s="1"/>
  <c r="J199" i="8"/>
  <c r="K199" i="8" s="1"/>
  <c r="L199" i="8" s="1"/>
  <c r="J211" i="8"/>
  <c r="K211" i="8" s="1"/>
  <c r="L211" i="8" s="1"/>
  <c r="J223" i="8"/>
  <c r="K223" i="8" s="1"/>
  <c r="L223" i="8" s="1"/>
  <c r="I226" i="8"/>
  <c r="L233" i="8"/>
  <c r="J236" i="8"/>
  <c r="K236" i="8" s="1"/>
  <c r="L236" i="8" s="1"/>
  <c r="J262" i="8"/>
  <c r="K262" i="8" s="1"/>
  <c r="L262" i="8" s="1"/>
  <c r="L352" i="8"/>
  <c r="J422" i="8"/>
  <c r="K422" i="8" s="1"/>
  <c r="L422" i="8" s="1"/>
  <c r="L462" i="8"/>
  <c r="L476" i="8"/>
  <c r="I254" i="8"/>
  <c r="J254" i="8" s="1"/>
  <c r="K254" i="8" s="1"/>
  <c r="J287" i="8"/>
  <c r="K287" i="8" s="1"/>
  <c r="L287" i="8" s="1"/>
  <c r="J289" i="8"/>
  <c r="K289" i="8" s="1"/>
  <c r="L289" i="8" s="1"/>
  <c r="L321" i="8"/>
  <c r="J346" i="8"/>
  <c r="K346" i="8" s="1"/>
  <c r="J365" i="8"/>
  <c r="K365" i="8" s="1"/>
  <c r="L365" i="8" s="1"/>
  <c r="J400" i="8"/>
  <c r="K400" i="8" s="1"/>
  <c r="J403" i="8"/>
  <c r="K403" i="8" s="1"/>
  <c r="L403" i="8" s="1"/>
  <c r="L413" i="8"/>
  <c r="J448" i="8"/>
  <c r="K448" i="8" s="1"/>
  <c r="L448" i="8" s="1"/>
  <c r="J451" i="8"/>
  <c r="K451" i="8" s="1"/>
  <c r="L451" i="8" s="1"/>
  <c r="J496" i="8"/>
  <c r="K496" i="8" s="1"/>
  <c r="L496" i="8" s="1"/>
  <c r="J499" i="8"/>
  <c r="K499" i="8" s="1"/>
  <c r="L499" i="8" s="1"/>
  <c r="L284" i="8"/>
  <c r="L309" i="8"/>
  <c r="J337" i="8"/>
  <c r="K337" i="8" s="1"/>
  <c r="L337" i="8" s="1"/>
  <c r="J397" i="8"/>
  <c r="K397" i="8" s="1"/>
  <c r="L397" i="8" s="1"/>
  <c r="L416" i="8"/>
  <c r="J445" i="8"/>
  <c r="K445" i="8" s="1"/>
  <c r="L445" i="8" s="1"/>
  <c r="L464" i="8"/>
  <c r="L477" i="8"/>
  <c r="L493" i="8"/>
  <c r="J493" i="8"/>
  <c r="K493" i="8" s="1"/>
  <c r="I261" i="8"/>
  <c r="I268" i="8"/>
  <c r="J277" i="8"/>
  <c r="K277" i="8" s="1"/>
  <c r="L277" i="8" s="1"/>
  <c r="I298" i="8"/>
  <c r="J298" i="8" s="1"/>
  <c r="K298" i="8" s="1"/>
  <c r="I304" i="8"/>
  <c r="J309" i="8"/>
  <c r="K309" i="8" s="1"/>
  <c r="J328" i="8"/>
  <c r="K328" i="8" s="1"/>
  <c r="L328" i="8" s="1"/>
  <c r="J334" i="8"/>
  <c r="K334" i="8" s="1"/>
  <c r="L334" i="8" s="1"/>
  <c r="L347" i="8"/>
  <c r="L350" i="8"/>
  <c r="J353" i="8"/>
  <c r="K353" i="8" s="1"/>
  <c r="L353" i="8" s="1"/>
  <c r="I372" i="8"/>
  <c r="J381" i="8"/>
  <c r="K381" i="8" s="1"/>
  <c r="L381" i="8" s="1"/>
  <c r="J407" i="8"/>
  <c r="K407" i="8" s="1"/>
  <c r="L407" i="8" s="1"/>
  <c r="J410" i="8"/>
  <c r="K410" i="8" s="1"/>
  <c r="L410" i="8" s="1"/>
  <c r="I420" i="8"/>
  <c r="J423" i="8"/>
  <c r="K423" i="8" s="1"/>
  <c r="L423" i="8" s="1"/>
  <c r="J429" i="8"/>
  <c r="K429" i="8" s="1"/>
  <c r="L429" i="8" s="1"/>
  <c r="J442" i="8"/>
  <c r="K442" i="8" s="1"/>
  <c r="L442" i="8" s="1"/>
  <c r="J455" i="8"/>
  <c r="K455" i="8" s="1"/>
  <c r="L455" i="8" s="1"/>
  <c r="J458" i="8"/>
  <c r="K458" i="8" s="1"/>
  <c r="L458" i="8" s="1"/>
  <c r="I468" i="8"/>
  <c r="J477" i="8"/>
  <c r="K477" i="8" s="1"/>
  <c r="J490" i="8"/>
  <c r="K490" i="8" s="1"/>
  <c r="L490" i="8" s="1"/>
  <c r="J261" i="8"/>
  <c r="K261" i="8" s="1"/>
  <c r="J325" i="8"/>
  <c r="K325" i="8" s="1"/>
  <c r="L325" i="8" s="1"/>
  <c r="J341" i="8"/>
  <c r="K341" i="8" s="1"/>
  <c r="L341" i="8" s="1"/>
  <c r="J391" i="8"/>
  <c r="K391" i="8" s="1"/>
  <c r="L391" i="8" s="1"/>
  <c r="J439" i="8"/>
  <c r="K439" i="8" s="1"/>
  <c r="L439" i="8" s="1"/>
  <c r="J471" i="8"/>
  <c r="K471" i="8" s="1"/>
  <c r="L471" i="8" s="1"/>
  <c r="J487" i="8"/>
  <c r="K487" i="8" s="1"/>
  <c r="L487" i="8" s="1"/>
  <c r="J259" i="8"/>
  <c r="K259" i="8" s="1"/>
  <c r="I273" i="8"/>
  <c r="J273" i="8" s="1"/>
  <c r="K273" i="8" s="1"/>
  <c r="J290" i="8"/>
  <c r="K290" i="8" s="1"/>
  <c r="L290" i="8" s="1"/>
  <c r="L295" i="8"/>
  <c r="J301" i="8"/>
  <c r="K301" i="8" s="1"/>
  <c r="L301" i="8" s="1"/>
  <c r="I310" i="8"/>
  <c r="J310" i="8" s="1"/>
  <c r="K310" i="8" s="1"/>
  <c r="J313" i="8"/>
  <c r="K313" i="8" s="1"/>
  <c r="L313" i="8" s="1"/>
  <c r="L338" i="8"/>
  <c r="I360" i="8"/>
  <c r="J363" i="8"/>
  <c r="K363" i="8" s="1"/>
  <c r="L363" i="8" s="1"/>
  <c r="L369" i="8"/>
  <c r="I382" i="8"/>
  <c r="J385" i="8"/>
  <c r="K385" i="8" s="1"/>
  <c r="L385" i="8" s="1"/>
  <c r="J401" i="8"/>
  <c r="K401" i="8" s="1"/>
  <c r="L401" i="8" s="1"/>
  <c r="L404" i="8"/>
  <c r="L427" i="8"/>
  <c r="I430" i="8"/>
  <c r="J430" i="8" s="1"/>
  <c r="K430" i="8" s="1"/>
  <c r="J433" i="8"/>
  <c r="K433" i="8" s="1"/>
  <c r="L433" i="8" s="1"/>
  <c r="J449" i="8"/>
  <c r="K449" i="8" s="1"/>
  <c r="L449" i="8" s="1"/>
  <c r="L452" i="8"/>
  <c r="L465" i="8"/>
  <c r="J481" i="8"/>
  <c r="K481" i="8" s="1"/>
  <c r="L481" i="8" s="1"/>
  <c r="J497" i="8"/>
  <c r="K497" i="8" s="1"/>
  <c r="L497" i="8" s="1"/>
  <c r="L500" i="8"/>
  <c r="I249" i="8"/>
  <c r="J249" i="8" s="1"/>
  <c r="K249" i="8" s="1"/>
  <c r="L280" i="8"/>
  <c r="I285" i="8"/>
  <c r="J285" i="8" s="1"/>
  <c r="K285" i="8" s="1"/>
  <c r="J293" i="8"/>
  <c r="K293" i="8" s="1"/>
  <c r="L293" i="8" s="1"/>
  <c r="J299" i="8"/>
  <c r="K299" i="8" s="1"/>
  <c r="L299" i="8"/>
  <c r="J307" i="8"/>
  <c r="K307" i="8" s="1"/>
  <c r="L307" i="8" s="1"/>
  <c r="L319" i="8"/>
  <c r="J329" i="8"/>
  <c r="K329" i="8" s="1"/>
  <c r="L329" i="8" s="1"/>
  <c r="J335" i="8"/>
  <c r="K335" i="8" s="1"/>
  <c r="L335" i="8" s="1"/>
  <c r="J338" i="8"/>
  <c r="K338" i="8" s="1"/>
  <c r="L344" i="8"/>
  <c r="J369" i="8"/>
  <c r="K369" i="8" s="1"/>
  <c r="J382" i="8"/>
  <c r="K382" i="8" s="1"/>
  <c r="J398" i="8"/>
  <c r="K398" i="8" s="1"/>
  <c r="L398" i="8" s="1"/>
  <c r="I408" i="8"/>
  <c r="J411" i="8"/>
  <c r="K411" i="8" s="1"/>
  <c r="L411" i="8" s="1"/>
  <c r="J417" i="8"/>
  <c r="K417" i="8" s="1"/>
  <c r="L417" i="8" s="1"/>
  <c r="J443" i="8"/>
  <c r="K443" i="8" s="1"/>
  <c r="L443" i="8" s="1"/>
  <c r="J446" i="8"/>
  <c r="K446" i="8" s="1"/>
  <c r="L446" i="8" s="1"/>
  <c r="I456" i="8"/>
  <c r="J459" i="8"/>
  <c r="K459" i="8" s="1"/>
  <c r="L459" i="8" s="1"/>
  <c r="J462" i="8"/>
  <c r="K462" i="8" s="1"/>
  <c r="J465" i="8"/>
  <c r="K465" i="8" s="1"/>
  <c r="J478" i="8"/>
  <c r="K478" i="8" s="1"/>
  <c r="L478" i="8" s="1"/>
  <c r="J491" i="8"/>
  <c r="K491" i="8" s="1"/>
  <c r="L491" i="8" s="1"/>
  <c r="J475" i="8"/>
  <c r="K475" i="8" s="1"/>
  <c r="L475" i="8" s="1"/>
  <c r="L485" i="8"/>
  <c r="J278" i="8"/>
  <c r="K278" i="8" s="1"/>
  <c r="L278" i="8" s="1"/>
  <c r="I281" i="8"/>
  <c r="J323" i="8"/>
  <c r="K323" i="8" s="1"/>
  <c r="L323" i="8" s="1"/>
  <c r="J326" i="8"/>
  <c r="K326" i="8" s="1"/>
  <c r="L326" i="8" s="1"/>
  <c r="L332" i="8"/>
  <c r="L351" i="8"/>
  <c r="J357" i="8"/>
  <c r="K357" i="8" s="1"/>
  <c r="I370" i="8"/>
  <c r="J373" i="8"/>
  <c r="K373" i="8" s="1"/>
  <c r="L373" i="8" s="1"/>
  <c r="J389" i="8"/>
  <c r="K389" i="8" s="1"/>
  <c r="L389" i="8" s="1"/>
  <c r="L392" i="8"/>
  <c r="L415" i="8"/>
  <c r="I418" i="8"/>
  <c r="J421" i="8"/>
  <c r="K421" i="8" s="1"/>
  <c r="L421" i="8" s="1"/>
  <c r="L431" i="8"/>
  <c r="J437" i="8"/>
  <c r="K437" i="8" s="1"/>
  <c r="L437" i="8" s="1"/>
  <c r="L440" i="8"/>
  <c r="J469" i="8"/>
  <c r="K469" i="8" s="1"/>
  <c r="L469" i="8" s="1"/>
  <c r="L271" i="8"/>
  <c r="J274" i="8"/>
  <c r="K274" i="8" s="1"/>
  <c r="L274" i="8" s="1"/>
  <c r="J283" i="8"/>
  <c r="K283" i="8" s="1"/>
  <c r="L283" i="8" s="1"/>
  <c r="L296" i="8"/>
  <c r="J302" i="8"/>
  <c r="K302" i="8" s="1"/>
  <c r="L302" i="8" s="1"/>
  <c r="J314" i="8"/>
  <c r="K314" i="8" s="1"/>
  <c r="L314" i="8" s="1"/>
  <c r="J339" i="8"/>
  <c r="K339" i="8" s="1"/>
  <c r="L339" i="8" s="1"/>
  <c r="L345" i="8"/>
  <c r="J364" i="8"/>
  <c r="K364" i="8" s="1"/>
  <c r="L364" i="8" s="1"/>
  <c r="J383" i="8"/>
  <c r="K383" i="8" s="1"/>
  <c r="L383" i="8" s="1"/>
  <c r="J386" i="8"/>
  <c r="K386" i="8" s="1"/>
  <c r="L386" i="8" s="1"/>
  <c r="I396" i="8"/>
  <c r="J399" i="8"/>
  <c r="K399" i="8" s="1"/>
  <c r="L399" i="8" s="1"/>
  <c r="J431" i="8"/>
  <c r="K431" i="8" s="1"/>
  <c r="I444" i="8"/>
  <c r="J447" i="8"/>
  <c r="K447" i="8" s="1"/>
  <c r="L447" i="8" s="1"/>
  <c r="J453" i="8"/>
  <c r="K453" i="8" s="1"/>
  <c r="L453" i="8" s="1"/>
  <c r="J466" i="8"/>
  <c r="K466" i="8" s="1"/>
  <c r="L466" i="8" s="1"/>
  <c r="J482" i="8"/>
  <c r="K482" i="8" s="1"/>
  <c r="L482" i="8" s="1"/>
  <c r="I492" i="8"/>
  <c r="J305" i="7"/>
  <c r="K305" i="7" s="1"/>
  <c r="J313" i="7"/>
  <c r="K313" i="7" s="1"/>
  <c r="J321" i="7"/>
  <c r="K321" i="7" s="1"/>
  <c r="J202" i="7"/>
  <c r="K202" i="7" s="1"/>
  <c r="J233" i="7"/>
  <c r="K233" i="7" s="1"/>
  <c r="J361" i="7"/>
  <c r="K361" i="7" s="1"/>
  <c r="J188" i="7"/>
  <c r="K188" i="7" s="1"/>
  <c r="J196" i="7"/>
  <c r="K196" i="7" s="1"/>
  <c r="J472" i="7"/>
  <c r="K472" i="7" s="1"/>
  <c r="J488" i="7"/>
  <c r="K488" i="7" s="1"/>
  <c r="J277" i="7"/>
  <c r="K277" i="7" s="1"/>
  <c r="J405" i="7"/>
  <c r="K405" i="7" s="1"/>
  <c r="J289" i="7"/>
  <c r="K289" i="7" s="1"/>
  <c r="I16" i="7"/>
  <c r="J16" i="7" s="1"/>
  <c r="K16" i="7" s="1"/>
  <c r="J19" i="7"/>
  <c r="K19" i="7" s="1"/>
  <c r="J58" i="7"/>
  <c r="K58" i="7" s="1"/>
  <c r="I69" i="7"/>
  <c r="J69" i="7" s="1"/>
  <c r="K69" i="7" s="1"/>
  <c r="J80" i="7"/>
  <c r="K80" i="7" s="1"/>
  <c r="I84" i="7"/>
  <c r="J84" i="7" s="1"/>
  <c r="K84" i="7" s="1"/>
  <c r="I110" i="7"/>
  <c r="J110" i="7" s="1"/>
  <c r="K110" i="7" s="1"/>
  <c r="I121" i="7"/>
  <c r="J121" i="7" s="1"/>
  <c r="K121" i="7" s="1"/>
  <c r="I132" i="7"/>
  <c r="J132" i="7" s="1"/>
  <c r="K132" i="7" s="1"/>
  <c r="I136" i="7"/>
  <c r="J136" i="7" s="1"/>
  <c r="K136" i="7" s="1"/>
  <c r="I143" i="7"/>
  <c r="I147" i="7"/>
  <c r="I154" i="7"/>
  <c r="J154" i="7" s="1"/>
  <c r="K154" i="7" s="1"/>
  <c r="I161" i="7"/>
  <c r="I179" i="7"/>
  <c r="J179" i="7" s="1"/>
  <c r="K179" i="7" s="1"/>
  <c r="I205" i="7"/>
  <c r="J205" i="7" s="1"/>
  <c r="K205" i="7" s="1"/>
  <c r="J211" i="7"/>
  <c r="K211" i="7" s="1"/>
  <c r="J223" i="7"/>
  <c r="K223" i="7" s="1"/>
  <c r="I231" i="7"/>
  <c r="J231" i="7" s="1"/>
  <c r="K231" i="7" s="1"/>
  <c r="J238" i="7"/>
  <c r="K238" i="7" s="1"/>
  <c r="I248" i="7"/>
  <c r="J248" i="7" s="1"/>
  <c r="K248" i="7" s="1"/>
  <c r="I272" i="7"/>
  <c r="J291" i="7"/>
  <c r="K291" i="7" s="1"/>
  <c r="J307" i="7"/>
  <c r="K307" i="7" s="1"/>
  <c r="I310" i="7"/>
  <c r="J332" i="7"/>
  <c r="K332" i="7" s="1"/>
  <c r="I468" i="7"/>
  <c r="J468" i="7" s="1"/>
  <c r="K468" i="7" s="1"/>
  <c r="I498" i="7"/>
  <c r="I6" i="7"/>
  <c r="J6" i="7" s="1"/>
  <c r="K6" i="7" s="1"/>
  <c r="I30" i="7"/>
  <c r="J30" i="7" s="1"/>
  <c r="K30" i="7" s="1"/>
  <c r="I37" i="7"/>
  <c r="I41" i="7"/>
  <c r="I48" i="7"/>
  <c r="J55" i="7"/>
  <c r="K55" i="7" s="1"/>
  <c r="I103" i="7"/>
  <c r="J103" i="7" s="1"/>
  <c r="K103" i="7" s="1"/>
  <c r="I114" i="7"/>
  <c r="J114" i="7" s="1"/>
  <c r="K114" i="7" s="1"/>
  <c r="I140" i="7"/>
  <c r="J140" i="7" s="1"/>
  <c r="K140" i="7" s="1"/>
  <c r="J143" i="7"/>
  <c r="K143" i="7" s="1"/>
  <c r="I169" i="7"/>
  <c r="J169" i="7" s="1"/>
  <c r="K169" i="7" s="1"/>
  <c r="I193" i="7"/>
  <c r="J193" i="7" s="1"/>
  <c r="K193" i="7" s="1"/>
  <c r="J199" i="7"/>
  <c r="K199" i="7" s="1"/>
  <c r="I252" i="7"/>
  <c r="J252" i="7" s="1"/>
  <c r="K252" i="7" s="1"/>
  <c r="J282" i="7"/>
  <c r="K282" i="7" s="1"/>
  <c r="I298" i="7"/>
  <c r="I326" i="7"/>
  <c r="I364" i="7"/>
  <c r="I371" i="7"/>
  <c r="I375" i="7"/>
  <c r="J375" i="7" s="1"/>
  <c r="K375" i="7" s="1"/>
  <c r="I379" i="7"/>
  <c r="J379" i="7" s="1"/>
  <c r="K379" i="7" s="1"/>
  <c r="I386" i="7"/>
  <c r="J386" i="7" s="1"/>
  <c r="K386" i="7" s="1"/>
  <c r="I400" i="7"/>
  <c r="J400" i="7" s="1"/>
  <c r="K400" i="7" s="1"/>
  <c r="I414" i="7"/>
  <c r="J414" i="7" s="1"/>
  <c r="K414" i="7" s="1"/>
  <c r="I421" i="7"/>
  <c r="J421" i="7" s="1"/>
  <c r="K421" i="7" s="1"/>
  <c r="I439" i="7"/>
  <c r="J439" i="7" s="1"/>
  <c r="K439" i="7" s="1"/>
  <c r="I446" i="7"/>
  <c r="J446" i="7" s="1"/>
  <c r="K446" i="7" s="1"/>
  <c r="J37" i="7"/>
  <c r="K37" i="7" s="1"/>
  <c r="J48" i="7"/>
  <c r="K48" i="7" s="1"/>
  <c r="J66" i="7"/>
  <c r="K66" i="7" s="1"/>
  <c r="J151" i="7"/>
  <c r="K151" i="7" s="1"/>
  <c r="J279" i="7"/>
  <c r="K279" i="7" s="1"/>
  <c r="J301" i="7"/>
  <c r="K301" i="7" s="1"/>
  <c r="J323" i="7"/>
  <c r="K323" i="7" s="1"/>
  <c r="J364" i="7"/>
  <c r="K364" i="7" s="1"/>
  <c r="J175" i="7"/>
  <c r="K175" i="7" s="1"/>
  <c r="I10" i="7"/>
  <c r="I34" i="7"/>
  <c r="I70" i="7"/>
  <c r="J70" i="7" s="1"/>
  <c r="K70" i="7" s="1"/>
  <c r="I74" i="7"/>
  <c r="I85" i="7"/>
  <c r="J85" i="7" s="1"/>
  <c r="K85" i="7" s="1"/>
  <c r="I96" i="7"/>
  <c r="J96" i="7" s="1"/>
  <c r="K96" i="7" s="1"/>
  <c r="I122" i="7"/>
  <c r="J122" i="7" s="1"/>
  <c r="K122" i="7" s="1"/>
  <c r="I133" i="7"/>
  <c r="J133" i="7" s="1"/>
  <c r="K133" i="7" s="1"/>
  <c r="I144" i="7"/>
  <c r="J144" i="7" s="1"/>
  <c r="K144" i="7" s="1"/>
  <c r="I148" i="7"/>
  <c r="J148" i="7" s="1"/>
  <c r="K148" i="7" s="1"/>
  <c r="I155" i="7"/>
  <c r="J155" i="7" s="1"/>
  <c r="K155" i="7" s="1"/>
  <c r="I173" i="7"/>
  <c r="J173" i="7" s="1"/>
  <c r="K173" i="7" s="1"/>
  <c r="I232" i="7"/>
  <c r="J269" i="7"/>
  <c r="K269" i="7" s="1"/>
  <c r="I336" i="7"/>
  <c r="J336" i="7" s="1"/>
  <c r="K336" i="7" s="1"/>
  <c r="I361" i="7"/>
  <c r="I443" i="7"/>
  <c r="J443" i="7" s="1"/>
  <c r="K443" i="7" s="1"/>
  <c r="I465" i="7"/>
  <c r="I484" i="7"/>
  <c r="J484" i="7" s="1"/>
  <c r="K484" i="7" s="1"/>
  <c r="I24" i="7"/>
  <c r="J24" i="7" s="1"/>
  <c r="K24" i="7" s="1"/>
  <c r="I45" i="7"/>
  <c r="J45" i="7" s="1"/>
  <c r="K45" i="7" s="1"/>
  <c r="I56" i="7"/>
  <c r="J56" i="7" s="1"/>
  <c r="K56" i="7" s="1"/>
  <c r="I63" i="7"/>
  <c r="J63" i="7" s="1"/>
  <c r="K63" i="7" s="1"/>
  <c r="I78" i="7"/>
  <c r="J78" i="7" s="1"/>
  <c r="K78" i="7" s="1"/>
  <c r="I115" i="7"/>
  <c r="J115" i="7" s="1"/>
  <c r="K115" i="7" s="1"/>
  <c r="I126" i="7"/>
  <c r="J126" i="7" s="1"/>
  <c r="K126" i="7" s="1"/>
  <c r="I137" i="7"/>
  <c r="J249" i="7"/>
  <c r="K249" i="7" s="1"/>
  <c r="J308" i="7"/>
  <c r="K308" i="7" s="1"/>
  <c r="J311" i="7"/>
  <c r="K311" i="7" s="1"/>
  <c r="J317" i="7"/>
  <c r="K317" i="7" s="1"/>
  <c r="J432" i="7"/>
  <c r="K432" i="7" s="1"/>
  <c r="I14" i="7"/>
  <c r="J14" i="7" s="1"/>
  <c r="K14" i="7" s="1"/>
  <c r="I53" i="7"/>
  <c r="J53" i="7" s="1"/>
  <c r="K53" i="7" s="1"/>
  <c r="I93" i="7"/>
  <c r="J93" i="7" s="1"/>
  <c r="K93" i="7" s="1"/>
  <c r="I130" i="7"/>
  <c r="J130" i="7" s="1"/>
  <c r="K130" i="7" s="1"/>
  <c r="I152" i="7"/>
  <c r="J152" i="7" s="1"/>
  <c r="K152" i="7" s="1"/>
  <c r="I166" i="7"/>
  <c r="J166" i="7" s="1"/>
  <c r="K166" i="7" s="1"/>
  <c r="J174" i="7"/>
  <c r="K174" i="7" s="1"/>
  <c r="I184" i="7"/>
  <c r="J184" i="7" s="1"/>
  <c r="K184" i="7" s="1"/>
  <c r="I197" i="7"/>
  <c r="I203" i="7"/>
  <c r="I215" i="7"/>
  <c r="J215" i="7" s="1"/>
  <c r="K215" i="7" s="1"/>
  <c r="J221" i="7"/>
  <c r="K221" i="7" s="1"/>
  <c r="I236" i="7"/>
  <c r="J236" i="7" s="1"/>
  <c r="K236" i="7" s="1"/>
  <c r="J239" i="7"/>
  <c r="K239" i="7" s="1"/>
  <c r="I243" i="7"/>
  <c r="J243" i="7" s="1"/>
  <c r="K243" i="7" s="1"/>
  <c r="I263" i="7"/>
  <c r="J263" i="7" s="1"/>
  <c r="K263" i="7" s="1"/>
  <c r="I302" i="7"/>
  <c r="J327" i="7"/>
  <c r="K327" i="7" s="1"/>
  <c r="I340" i="7"/>
  <c r="I347" i="7"/>
  <c r="I358" i="7"/>
  <c r="J358" i="7" s="1"/>
  <c r="K358" i="7" s="1"/>
  <c r="I369" i="7"/>
  <c r="J369" i="7" s="1"/>
  <c r="K369" i="7" s="1"/>
  <c r="I387" i="7"/>
  <c r="J387" i="7" s="1"/>
  <c r="K387" i="7" s="1"/>
  <c r="I391" i="7"/>
  <c r="J391" i="7" s="1"/>
  <c r="K391" i="7" s="1"/>
  <c r="J429" i="7"/>
  <c r="K429" i="7" s="1"/>
  <c r="J436" i="7"/>
  <c r="K436" i="7" s="1"/>
  <c r="I451" i="7"/>
  <c r="J451" i="7" s="1"/>
  <c r="K451" i="7" s="1"/>
  <c r="I462" i="7"/>
  <c r="J462" i="7" s="1"/>
  <c r="K462" i="7" s="1"/>
  <c r="I473" i="7"/>
  <c r="I492" i="7"/>
  <c r="J492" i="7" s="1"/>
  <c r="K492" i="7" s="1"/>
  <c r="J4" i="7"/>
  <c r="K4" i="7" s="1"/>
  <c r="J28" i="7"/>
  <c r="K28" i="7" s="1"/>
  <c r="J35" i="7"/>
  <c r="K35" i="7" s="1"/>
  <c r="J42" i="7"/>
  <c r="K42" i="7" s="1"/>
  <c r="J60" i="7"/>
  <c r="K60" i="7" s="1"/>
  <c r="J108" i="7"/>
  <c r="K108" i="7" s="1"/>
  <c r="J134" i="7"/>
  <c r="K134" i="7" s="1"/>
  <c r="I149" i="7"/>
  <c r="J149" i="7" s="1"/>
  <c r="K149" i="7" s="1"/>
  <c r="I163" i="7"/>
  <c r="I260" i="7"/>
  <c r="J260" i="7" s="1"/>
  <c r="K260" i="7" s="1"/>
  <c r="J283" i="7"/>
  <c r="K283" i="7" s="1"/>
  <c r="J299" i="7"/>
  <c r="K299" i="7" s="1"/>
  <c r="J324" i="7"/>
  <c r="K324" i="7" s="1"/>
  <c r="J344" i="7"/>
  <c r="K344" i="7" s="1"/>
  <c r="I355" i="7"/>
  <c r="I362" i="7"/>
  <c r="J362" i="7" s="1"/>
  <c r="K362" i="7" s="1"/>
  <c r="I373" i="7"/>
  <c r="J373" i="7" s="1"/>
  <c r="K373" i="7" s="1"/>
  <c r="I422" i="7"/>
  <c r="J422" i="7" s="1"/>
  <c r="K422" i="7" s="1"/>
  <c r="I426" i="7"/>
  <c r="J426" i="7" s="1"/>
  <c r="K426" i="7" s="1"/>
  <c r="I466" i="7"/>
  <c r="J466" i="7" s="1"/>
  <c r="K466" i="7" s="1"/>
  <c r="I481" i="7"/>
  <c r="I500" i="7"/>
  <c r="J500" i="7" s="1"/>
  <c r="K500" i="7" s="1"/>
  <c r="I318" i="7"/>
  <c r="I337" i="7"/>
  <c r="J337" i="7" s="1"/>
  <c r="K337" i="7" s="1"/>
  <c r="J384" i="7"/>
  <c r="K384" i="7" s="1"/>
  <c r="J408" i="7"/>
  <c r="K408" i="7" s="1"/>
  <c r="I412" i="7"/>
  <c r="J412" i="7" s="1"/>
  <c r="K412" i="7" s="1"/>
  <c r="I448" i="7"/>
  <c r="J448" i="7" s="1"/>
  <c r="K448" i="7" s="1"/>
  <c r="I8" i="7"/>
  <c r="J8" i="7" s="1"/>
  <c r="K8" i="7" s="1"/>
  <c r="I32" i="7"/>
  <c r="J32" i="7" s="1"/>
  <c r="K32" i="7" s="1"/>
  <c r="I39" i="7"/>
  <c r="J39" i="7" s="1"/>
  <c r="K39" i="7" s="1"/>
  <c r="I43" i="7"/>
  <c r="J43" i="7" s="1"/>
  <c r="K43" i="7" s="1"/>
  <c r="J79" i="7"/>
  <c r="K79" i="7" s="1"/>
  <c r="I105" i="7"/>
  <c r="J105" i="7" s="1"/>
  <c r="K105" i="7" s="1"/>
  <c r="J127" i="7"/>
  <c r="K127" i="7" s="1"/>
  <c r="J146" i="7"/>
  <c r="K146" i="7" s="1"/>
  <c r="J150" i="7"/>
  <c r="K150" i="7" s="1"/>
  <c r="I167" i="7"/>
  <c r="I185" i="7"/>
  <c r="I213" i="7"/>
  <c r="J213" i="7" s="1"/>
  <c r="K213" i="7" s="1"/>
  <c r="I219" i="7"/>
  <c r="J219" i="7" s="1"/>
  <c r="K219" i="7" s="1"/>
  <c r="J293" i="7"/>
  <c r="K293" i="7" s="1"/>
  <c r="I306" i="7"/>
  <c r="J315" i="7"/>
  <c r="K315" i="7" s="1"/>
  <c r="J331" i="7"/>
  <c r="K331" i="7" s="1"/>
  <c r="I334" i="7"/>
  <c r="J334" i="7" s="1"/>
  <c r="K334" i="7" s="1"/>
  <c r="I341" i="7"/>
  <c r="J341" i="7" s="1"/>
  <c r="K341" i="7" s="1"/>
  <c r="I348" i="7"/>
  <c r="J348" i="7" s="1"/>
  <c r="K348" i="7" s="1"/>
  <c r="J381" i="7"/>
  <c r="K381" i="7" s="1"/>
  <c r="I395" i="7"/>
  <c r="J395" i="7" s="1"/>
  <c r="K395" i="7" s="1"/>
  <c r="J402" i="7"/>
  <c r="K402" i="7" s="1"/>
  <c r="I430" i="7"/>
  <c r="J430" i="7" s="1"/>
  <c r="K430" i="7" s="1"/>
  <c r="J452" i="7"/>
  <c r="K452" i="7" s="1"/>
  <c r="I463" i="7"/>
  <c r="J463" i="7" s="1"/>
  <c r="K463" i="7" s="1"/>
  <c r="I489" i="7"/>
  <c r="I22" i="7"/>
  <c r="J22" i="7" s="1"/>
  <c r="K22" i="7" s="1"/>
  <c r="I51" i="7"/>
  <c r="J51" i="7" s="1"/>
  <c r="K51" i="7" s="1"/>
  <c r="I65" i="7"/>
  <c r="J65" i="7" s="1"/>
  <c r="K65" i="7" s="1"/>
  <c r="I72" i="7"/>
  <c r="J72" i="7" s="1"/>
  <c r="K72" i="7" s="1"/>
  <c r="I98" i="7"/>
  <c r="J98" i="7" s="1"/>
  <c r="K98" i="7" s="1"/>
  <c r="I109" i="7"/>
  <c r="J109" i="7" s="1"/>
  <c r="K109" i="7" s="1"/>
  <c r="I120" i="7"/>
  <c r="J120" i="7" s="1"/>
  <c r="K120" i="7" s="1"/>
  <c r="I131" i="7"/>
  <c r="I135" i="7"/>
  <c r="J135" i="7" s="1"/>
  <c r="K135" i="7" s="1"/>
  <c r="I142" i="7"/>
  <c r="J142" i="7" s="1"/>
  <c r="K142" i="7" s="1"/>
  <c r="J160" i="7"/>
  <c r="K160" i="7" s="1"/>
  <c r="I178" i="7"/>
  <c r="J178" i="7" s="1"/>
  <c r="K178" i="7" s="1"/>
  <c r="I226" i="7"/>
  <c r="I237" i="7"/>
  <c r="J237" i="7" s="1"/>
  <c r="K237" i="7" s="1"/>
  <c r="J247" i="7"/>
  <c r="K247" i="7" s="1"/>
  <c r="I278" i="7"/>
  <c r="J278" i="7" s="1"/>
  <c r="K278" i="7" s="1"/>
  <c r="J281" i="7"/>
  <c r="K281" i="7" s="1"/>
  <c r="I284" i="7"/>
  <c r="J303" i="7"/>
  <c r="K303" i="7" s="1"/>
  <c r="I322" i="7"/>
  <c r="I352" i="7"/>
  <c r="I409" i="7"/>
  <c r="J409" i="7" s="1"/>
  <c r="K409" i="7" s="1"/>
  <c r="I423" i="7"/>
  <c r="J423" i="7" s="1"/>
  <c r="K423" i="7" s="1"/>
  <c r="I427" i="7"/>
  <c r="J427" i="7" s="1"/>
  <c r="K427" i="7" s="1"/>
  <c r="I482" i="7"/>
  <c r="J482" i="7" s="1"/>
  <c r="K482" i="7" s="1"/>
  <c r="I497" i="7"/>
  <c r="J275" i="7"/>
  <c r="K275" i="7" s="1"/>
  <c r="J12" i="7"/>
  <c r="K12" i="7" s="1"/>
  <c r="J36" i="7"/>
  <c r="K36" i="7" s="1"/>
  <c r="J102" i="7"/>
  <c r="K102" i="7" s="1"/>
  <c r="J131" i="7"/>
  <c r="K131" i="7" s="1"/>
  <c r="J182" i="7"/>
  <c r="K182" i="7" s="1"/>
  <c r="J261" i="7"/>
  <c r="K261" i="7" s="1"/>
  <c r="J300" i="7"/>
  <c r="K300" i="7" s="1"/>
  <c r="J325" i="7"/>
  <c r="K325" i="7" s="1"/>
  <c r="I349" i="7"/>
  <c r="J349" i="7" s="1"/>
  <c r="K349" i="7" s="1"/>
  <c r="J399" i="7"/>
  <c r="K399" i="7" s="1"/>
  <c r="I420" i="7"/>
  <c r="J420" i="7" s="1"/>
  <c r="K420" i="7" s="1"/>
  <c r="J434" i="7"/>
  <c r="K434" i="7" s="1"/>
  <c r="I438" i="7"/>
  <c r="K2" i="7"/>
  <c r="J73" i="7"/>
  <c r="K73" i="7" s="1"/>
  <c r="J41" i="7"/>
  <c r="K41" i="7" s="1"/>
  <c r="J10" i="7"/>
  <c r="K10" i="7" s="1"/>
  <c r="J34" i="7"/>
  <c r="K34" i="7" s="1"/>
  <c r="J74" i="7"/>
  <c r="K74" i="7" s="1"/>
  <c r="J49" i="7"/>
  <c r="K49" i="7" s="1"/>
  <c r="J71" i="7"/>
  <c r="K71" i="7" s="1"/>
  <c r="J50" i="7"/>
  <c r="K50" i="7" s="1"/>
  <c r="J61" i="7"/>
  <c r="K61" i="7" s="1"/>
  <c r="I75" i="7"/>
  <c r="J75" i="7" s="1"/>
  <c r="K75" i="7" s="1"/>
  <c r="I87" i="7"/>
  <c r="J87" i="7" s="1"/>
  <c r="K87" i="7" s="1"/>
  <c r="I99" i="7"/>
  <c r="J99" i="7" s="1"/>
  <c r="K99" i="7" s="1"/>
  <c r="I111" i="7"/>
  <c r="J111" i="7" s="1"/>
  <c r="K111" i="7" s="1"/>
  <c r="I123" i="7"/>
  <c r="J123" i="7" s="1"/>
  <c r="K123" i="7" s="1"/>
  <c r="I171" i="7"/>
  <c r="J171" i="7" s="1"/>
  <c r="K171" i="7" s="1"/>
  <c r="I229" i="7"/>
  <c r="J229" i="7" s="1"/>
  <c r="K229" i="7" s="1"/>
  <c r="J225" i="7"/>
  <c r="K225" i="7" s="1"/>
  <c r="J139" i="7"/>
  <c r="K139" i="7" s="1"/>
  <c r="I83" i="7"/>
  <c r="J83" i="7" s="1"/>
  <c r="K83" i="7" s="1"/>
  <c r="I95" i="7"/>
  <c r="J95" i="7" s="1"/>
  <c r="K95" i="7" s="1"/>
  <c r="I107" i="7"/>
  <c r="J107" i="7" s="1"/>
  <c r="K107" i="7" s="1"/>
  <c r="I119" i="7"/>
  <c r="J119" i="7" s="1"/>
  <c r="K119" i="7" s="1"/>
  <c r="J163" i="7"/>
  <c r="K163" i="7" s="1"/>
  <c r="J181" i="7"/>
  <c r="K181" i="7" s="1"/>
  <c r="I129" i="7"/>
  <c r="J129" i="7" s="1"/>
  <c r="K129" i="7" s="1"/>
  <c r="J157" i="7"/>
  <c r="K157" i="7" s="1"/>
  <c r="I158" i="7"/>
  <c r="J158" i="7" s="1"/>
  <c r="K158" i="7" s="1"/>
  <c r="J197" i="7"/>
  <c r="K197" i="7" s="1"/>
  <c r="J287" i="7"/>
  <c r="K287" i="7" s="1"/>
  <c r="J167" i="7"/>
  <c r="K167" i="7" s="1"/>
  <c r="I77" i="7"/>
  <c r="J77" i="7" s="1"/>
  <c r="K77" i="7" s="1"/>
  <c r="I89" i="7"/>
  <c r="J89" i="7" s="1"/>
  <c r="K89" i="7" s="1"/>
  <c r="I101" i="7"/>
  <c r="J101" i="7" s="1"/>
  <c r="K101" i="7" s="1"/>
  <c r="I113" i="7"/>
  <c r="J113" i="7" s="1"/>
  <c r="K113" i="7" s="1"/>
  <c r="I125" i="7"/>
  <c r="J125" i="7" s="1"/>
  <c r="K125" i="7" s="1"/>
  <c r="I195" i="7"/>
  <c r="J232" i="7"/>
  <c r="K232" i="7" s="1"/>
  <c r="J147" i="7"/>
  <c r="K147" i="7" s="1"/>
  <c r="J195" i="7"/>
  <c r="K195" i="7" s="1"/>
  <c r="J226" i="7"/>
  <c r="K226" i="7" s="1"/>
  <c r="J382" i="7"/>
  <c r="K382" i="7" s="1"/>
  <c r="J145" i="7"/>
  <c r="K145" i="7" s="1"/>
  <c r="J217" i="7"/>
  <c r="K217" i="7" s="1"/>
  <c r="I224" i="7"/>
  <c r="J224" i="7" s="1"/>
  <c r="K224" i="7" s="1"/>
  <c r="J255" i="7"/>
  <c r="K255" i="7" s="1"/>
  <c r="J258" i="7"/>
  <c r="K258" i="7" s="1"/>
  <c r="I264" i="7"/>
  <c r="J264" i="7" s="1"/>
  <c r="K264" i="7" s="1"/>
  <c r="I276" i="7"/>
  <c r="J276" i="7" s="1"/>
  <c r="K276" i="7" s="1"/>
  <c r="I288" i="7"/>
  <c r="J288" i="7" s="1"/>
  <c r="K288" i="7" s="1"/>
  <c r="I312" i="7"/>
  <c r="J312" i="7" s="1"/>
  <c r="K312" i="7" s="1"/>
  <c r="J191" i="7"/>
  <c r="K191" i="7" s="1"/>
  <c r="J141" i="7"/>
  <c r="K141" i="7" s="1"/>
  <c r="J165" i="7"/>
  <c r="K165" i="7" s="1"/>
  <c r="J189" i="7"/>
  <c r="K189" i="7" s="1"/>
  <c r="I230" i="7"/>
  <c r="J230" i="7" s="1"/>
  <c r="K230" i="7" s="1"/>
  <c r="J241" i="7"/>
  <c r="K241" i="7" s="1"/>
  <c r="I343" i="7"/>
  <c r="J428" i="7"/>
  <c r="K428" i="7" s="1"/>
  <c r="J187" i="7"/>
  <c r="K187" i="7" s="1"/>
  <c r="J137" i="7"/>
  <c r="K137" i="7" s="1"/>
  <c r="J161" i="7"/>
  <c r="K161" i="7" s="1"/>
  <c r="J185" i="7"/>
  <c r="K185" i="7" s="1"/>
  <c r="J209" i="7"/>
  <c r="K209" i="7" s="1"/>
  <c r="I253" i="7"/>
  <c r="J253" i="7" s="1"/>
  <c r="K253" i="7" s="1"/>
  <c r="J256" i="7"/>
  <c r="K256" i="7" s="1"/>
  <c r="I280" i="7"/>
  <c r="J280" i="7" s="1"/>
  <c r="K280" i="7" s="1"/>
  <c r="I304" i="7"/>
  <c r="J304" i="7" s="1"/>
  <c r="K304" i="7" s="1"/>
  <c r="I328" i="7"/>
  <c r="J328" i="7" s="1"/>
  <c r="K328" i="7" s="1"/>
  <c r="J340" i="7"/>
  <c r="K340" i="7" s="1"/>
  <c r="I367" i="7"/>
  <c r="J367" i="7" s="1"/>
  <c r="K367" i="7" s="1"/>
  <c r="I425" i="7"/>
  <c r="J425" i="7" s="1"/>
  <c r="K425" i="7" s="1"/>
  <c r="J159" i="7"/>
  <c r="K159" i="7" s="1"/>
  <c r="J183" i="7"/>
  <c r="K183" i="7" s="1"/>
  <c r="J207" i="7"/>
  <c r="K207" i="7" s="1"/>
  <c r="J242" i="7"/>
  <c r="K242" i="7" s="1"/>
  <c r="I245" i="7"/>
  <c r="J245" i="7" s="1"/>
  <c r="K245" i="7" s="1"/>
  <c r="J250" i="7"/>
  <c r="K250" i="7" s="1"/>
  <c r="J265" i="7"/>
  <c r="K265" i="7" s="1"/>
  <c r="I274" i="7"/>
  <c r="J274" i="7" s="1"/>
  <c r="K274" i="7" s="1"/>
  <c r="I286" i="7"/>
  <c r="J286" i="7" s="1"/>
  <c r="K286" i="7" s="1"/>
  <c r="J295" i="7"/>
  <c r="K295" i="7" s="1"/>
  <c r="J316" i="7"/>
  <c r="K316" i="7" s="1"/>
  <c r="J319" i="7"/>
  <c r="K319" i="7" s="1"/>
  <c r="J360" i="7"/>
  <c r="K360" i="7" s="1"/>
  <c r="J234" i="7"/>
  <c r="K234" i="7" s="1"/>
  <c r="J271" i="7"/>
  <c r="K271" i="7" s="1"/>
  <c r="J203" i="7"/>
  <c r="K203" i="7" s="1"/>
  <c r="I228" i="7"/>
  <c r="J228" i="7" s="1"/>
  <c r="K228" i="7" s="1"/>
  <c r="J347" i="7"/>
  <c r="K347" i="7" s="1"/>
  <c r="J153" i="7"/>
  <c r="K153" i="7" s="1"/>
  <c r="J177" i="7"/>
  <c r="K177" i="7" s="1"/>
  <c r="J201" i="7"/>
  <c r="K201" i="7" s="1"/>
  <c r="I240" i="7"/>
  <c r="J240" i="7" s="1"/>
  <c r="K240" i="7" s="1"/>
  <c r="I254" i="7"/>
  <c r="J254" i="7" s="1"/>
  <c r="K254" i="7" s="1"/>
  <c r="J266" i="7"/>
  <c r="K266" i="7" s="1"/>
  <c r="I296" i="7"/>
  <c r="J296" i="7" s="1"/>
  <c r="K296" i="7" s="1"/>
  <c r="I320" i="7"/>
  <c r="J320" i="7" s="1"/>
  <c r="K320" i="7" s="1"/>
  <c r="J368" i="7"/>
  <c r="K368" i="7" s="1"/>
  <c r="J371" i="7"/>
  <c r="K371" i="7" s="1"/>
  <c r="I378" i="7"/>
  <c r="J498" i="7"/>
  <c r="K498" i="7" s="1"/>
  <c r="I454" i="7"/>
  <c r="J454" i="7" s="1"/>
  <c r="K454" i="7" s="1"/>
  <c r="I470" i="7"/>
  <c r="J470" i="7" s="1"/>
  <c r="K470" i="7" s="1"/>
  <c r="I486" i="7"/>
  <c r="J486" i="7" s="1"/>
  <c r="K486" i="7" s="1"/>
  <c r="J290" i="7"/>
  <c r="K290" i="7" s="1"/>
  <c r="J298" i="7"/>
  <c r="K298" i="7" s="1"/>
  <c r="J306" i="7"/>
  <c r="K306" i="7" s="1"/>
  <c r="J314" i="7"/>
  <c r="K314" i="7" s="1"/>
  <c r="J322" i="7"/>
  <c r="K322" i="7" s="1"/>
  <c r="J330" i="7"/>
  <c r="K330" i="7" s="1"/>
  <c r="J343" i="7"/>
  <c r="K343" i="7" s="1"/>
  <c r="I354" i="7"/>
  <c r="J354" i="7" s="1"/>
  <c r="K354" i="7" s="1"/>
  <c r="J378" i="7"/>
  <c r="K378" i="7" s="1"/>
  <c r="J403" i="7"/>
  <c r="K403" i="7" s="1"/>
  <c r="I411" i="7"/>
  <c r="J411" i="7" s="1"/>
  <c r="K411" i="7" s="1"/>
  <c r="J417" i="7"/>
  <c r="K417" i="7" s="1"/>
  <c r="I467" i="7"/>
  <c r="J467" i="7" s="1"/>
  <c r="K467" i="7" s="1"/>
  <c r="I483" i="7"/>
  <c r="J483" i="7" s="1"/>
  <c r="K483" i="7" s="1"/>
  <c r="I499" i="7"/>
  <c r="J499" i="7" s="1"/>
  <c r="K499" i="7" s="1"/>
  <c r="I365" i="7"/>
  <c r="J365" i="7" s="1"/>
  <c r="K365" i="7" s="1"/>
  <c r="J389" i="7"/>
  <c r="K389" i="7" s="1"/>
  <c r="J437" i="7"/>
  <c r="K437" i="7" s="1"/>
  <c r="I455" i="7"/>
  <c r="J455" i="7" s="1"/>
  <c r="K455" i="7" s="1"/>
  <c r="I458" i="7"/>
  <c r="J458" i="7" s="1"/>
  <c r="K458" i="7" s="1"/>
  <c r="I471" i="7"/>
  <c r="J471" i="7" s="1"/>
  <c r="K471" i="7" s="1"/>
  <c r="I474" i="7"/>
  <c r="J474" i="7" s="1"/>
  <c r="K474" i="7" s="1"/>
  <c r="I487" i="7"/>
  <c r="J487" i="7" s="1"/>
  <c r="K487" i="7" s="1"/>
  <c r="I490" i="7"/>
  <c r="J490" i="7" s="1"/>
  <c r="K490" i="7" s="1"/>
  <c r="J355" i="7"/>
  <c r="K355" i="7" s="1"/>
  <c r="I376" i="7"/>
  <c r="J376" i="7" s="1"/>
  <c r="K376" i="7" s="1"/>
  <c r="I401" i="7"/>
  <c r="J401" i="7" s="1"/>
  <c r="K401" i="7" s="1"/>
  <c r="J404" i="7"/>
  <c r="K404" i="7" s="1"/>
  <c r="J415" i="7"/>
  <c r="K415" i="7" s="1"/>
  <c r="I449" i="7"/>
  <c r="J449" i="7" s="1"/>
  <c r="K449" i="7" s="1"/>
  <c r="J390" i="7"/>
  <c r="K390" i="7" s="1"/>
  <c r="J438" i="7"/>
  <c r="K438" i="7" s="1"/>
  <c r="I494" i="7"/>
  <c r="J494" i="7" s="1"/>
  <c r="K494" i="7" s="1"/>
  <c r="J294" i="7"/>
  <c r="K294" i="7" s="1"/>
  <c r="J302" i="7"/>
  <c r="K302" i="7" s="1"/>
  <c r="J310" i="7"/>
  <c r="K310" i="7" s="1"/>
  <c r="J318" i="7"/>
  <c r="K318" i="7" s="1"/>
  <c r="J326" i="7"/>
  <c r="K326" i="7" s="1"/>
  <c r="J352" i="7"/>
  <c r="K352" i="7" s="1"/>
  <c r="I363" i="7"/>
  <c r="J363" i="7" s="1"/>
  <c r="K363" i="7" s="1"/>
  <c r="J366" i="7"/>
  <c r="K366" i="7" s="1"/>
  <c r="J393" i="7"/>
  <c r="K393" i="7" s="1"/>
  <c r="J398" i="7"/>
  <c r="K398" i="7" s="1"/>
  <c r="I435" i="7"/>
  <c r="J435" i="7" s="1"/>
  <c r="K435" i="7" s="1"/>
  <c r="J441" i="7"/>
  <c r="K441" i="7" s="1"/>
  <c r="I459" i="7"/>
  <c r="J459" i="7" s="1"/>
  <c r="K459" i="7" s="1"/>
  <c r="I475" i="7"/>
  <c r="J475" i="7" s="1"/>
  <c r="K475" i="7" s="1"/>
  <c r="I491" i="7"/>
  <c r="J491" i="7" s="1"/>
  <c r="K491" i="7" s="1"/>
  <c r="J272" i="7"/>
  <c r="K272" i="7" s="1"/>
  <c r="J284" i="7"/>
  <c r="K284" i="7" s="1"/>
  <c r="I339" i="7"/>
  <c r="I374" i="7"/>
  <c r="J374" i="7" s="1"/>
  <c r="K374" i="7" s="1"/>
  <c r="I377" i="7"/>
  <c r="J377" i="7" s="1"/>
  <c r="K377" i="7" s="1"/>
  <c r="J380" i="7"/>
  <c r="K380" i="7" s="1"/>
  <c r="I413" i="7"/>
  <c r="J413" i="7" s="1"/>
  <c r="K413" i="7" s="1"/>
  <c r="I424" i="7"/>
  <c r="J424" i="7" s="1"/>
  <c r="K424" i="7" s="1"/>
  <c r="J339" i="7"/>
  <c r="K339" i="7" s="1"/>
  <c r="J345" i="7"/>
  <c r="K345" i="7" s="1"/>
  <c r="I350" i="7"/>
  <c r="J350" i="7" s="1"/>
  <c r="K350" i="7" s="1"/>
  <c r="I353" i="7"/>
  <c r="J353" i="7" s="1"/>
  <c r="K353" i="7" s="1"/>
  <c r="J356" i="7"/>
  <c r="K356" i="7" s="1"/>
  <c r="I388" i="7"/>
  <c r="J388" i="7" s="1"/>
  <c r="K388" i="7" s="1"/>
  <c r="J450" i="7"/>
  <c r="K450" i="7" s="1"/>
  <c r="J457" i="7"/>
  <c r="K457" i="7" s="1"/>
  <c r="J465" i="7"/>
  <c r="K465" i="7" s="1"/>
  <c r="J473" i="7"/>
  <c r="K473" i="7" s="1"/>
  <c r="J481" i="7"/>
  <c r="K481" i="7" s="1"/>
  <c r="J489" i="7"/>
  <c r="K489" i="7" s="1"/>
  <c r="J497" i="7"/>
  <c r="K497" i="7" s="1"/>
  <c r="J479" i="7"/>
  <c r="K479" i="7" s="1"/>
  <c r="J495" i="7"/>
  <c r="K495" i="7" s="1"/>
  <c r="I453" i="7"/>
  <c r="J453" i="7" s="1"/>
  <c r="K453" i="7" s="1"/>
  <c r="I461" i="7"/>
  <c r="I469" i="7"/>
  <c r="J469" i="7" s="1"/>
  <c r="K469" i="7" s="1"/>
  <c r="I477" i="7"/>
  <c r="J477" i="7" s="1"/>
  <c r="K477" i="7" s="1"/>
  <c r="I485" i="7"/>
  <c r="J485" i="7" s="1"/>
  <c r="K485" i="7" s="1"/>
  <c r="I493" i="7"/>
  <c r="J493" i="7" s="1"/>
  <c r="K493" i="7" s="1"/>
  <c r="I501" i="7"/>
  <c r="J501" i="7" s="1"/>
  <c r="K501" i="7" s="1"/>
  <c r="J461" i="7"/>
  <c r="K461" i="7" s="1"/>
  <c r="L463" i="8" l="1"/>
  <c r="L30" i="8"/>
  <c r="L366" i="8"/>
  <c r="J322" i="8"/>
  <c r="K322" i="8" s="1"/>
  <c r="L322" i="8" s="1"/>
  <c r="J312" i="8"/>
  <c r="K312" i="8" s="1"/>
  <c r="L312" i="8" s="1"/>
  <c r="L69" i="8"/>
  <c r="J354" i="8"/>
  <c r="K354" i="8" s="1"/>
  <c r="L354" i="8" s="1"/>
  <c r="J157" i="8"/>
  <c r="K157" i="8" s="1"/>
  <c r="L157" i="8" s="1"/>
  <c r="L266" i="8"/>
  <c r="L342" i="8"/>
  <c r="J376" i="8"/>
  <c r="K376" i="8" s="1"/>
  <c r="L376" i="8"/>
  <c r="L139" i="8"/>
  <c r="J179" i="8"/>
  <c r="K179" i="8" s="1"/>
  <c r="L179" i="8" s="1"/>
  <c r="L412" i="8"/>
  <c r="J316" i="8"/>
  <c r="K316" i="8" s="1"/>
  <c r="L316" i="8" s="1"/>
  <c r="J463" i="8"/>
  <c r="K463" i="8" s="1"/>
  <c r="J251" i="8"/>
  <c r="K251" i="8" s="1"/>
  <c r="L251" i="8" s="1"/>
  <c r="L244" i="8"/>
  <c r="J215" i="8"/>
  <c r="K215" i="8" s="1"/>
  <c r="L215" i="8" s="1"/>
  <c r="J498" i="8"/>
  <c r="K498" i="8" s="1"/>
  <c r="L498" i="8"/>
  <c r="L494" i="8"/>
  <c r="J394" i="8"/>
  <c r="K394" i="8" s="1"/>
  <c r="L394" i="8" s="1"/>
  <c r="L311" i="8"/>
  <c r="J472" i="8"/>
  <c r="K472" i="8" s="1"/>
  <c r="L472" i="8" s="1"/>
  <c r="L114" i="8"/>
  <c r="J412" i="8"/>
  <c r="K412" i="8" s="1"/>
  <c r="J139" i="8"/>
  <c r="K139" i="8" s="1"/>
  <c r="J124" i="8"/>
  <c r="K124" i="8" s="1"/>
  <c r="L124" i="8" s="1"/>
  <c r="J112" i="8"/>
  <c r="K112" i="8" s="1"/>
  <c r="L112" i="8" s="1"/>
  <c r="J64" i="8"/>
  <c r="K64" i="8" s="1"/>
  <c r="L64" i="8"/>
  <c r="J188" i="8"/>
  <c r="K188" i="8" s="1"/>
  <c r="L188" i="8" s="1"/>
  <c r="L133" i="8"/>
  <c r="J108" i="8"/>
  <c r="K108" i="8" s="1"/>
  <c r="L108" i="8" s="1"/>
  <c r="J256" i="8"/>
  <c r="K256" i="8" s="1"/>
  <c r="L256" i="8" s="1"/>
  <c r="J140" i="8"/>
  <c r="K140" i="8" s="1"/>
  <c r="L140" i="8" s="1"/>
  <c r="L120" i="8"/>
  <c r="J292" i="8"/>
  <c r="K292" i="8" s="1"/>
  <c r="L292" i="8"/>
  <c r="J88" i="8"/>
  <c r="K88" i="8" s="1"/>
  <c r="L88" i="8" s="1"/>
  <c r="J100" i="8"/>
  <c r="K100" i="8" s="1"/>
  <c r="L100" i="8" s="1"/>
  <c r="J252" i="8"/>
  <c r="K252" i="8" s="1"/>
  <c r="L252" i="8" s="1"/>
  <c r="J133" i="8"/>
  <c r="K133" i="8" s="1"/>
  <c r="L176" i="8"/>
  <c r="J48" i="8"/>
  <c r="K48" i="8" s="1"/>
  <c r="L48" i="8" s="1"/>
  <c r="J52" i="8"/>
  <c r="K52" i="8" s="1"/>
  <c r="L52" i="8" s="1"/>
  <c r="J120" i="8"/>
  <c r="K120" i="8" s="1"/>
  <c r="J468" i="8"/>
  <c r="K468" i="8" s="1"/>
  <c r="L468" i="8" s="1"/>
  <c r="J444" i="8"/>
  <c r="K444" i="8" s="1"/>
  <c r="L444" i="8" s="1"/>
  <c r="J420" i="8"/>
  <c r="K420" i="8" s="1"/>
  <c r="L420" i="8" s="1"/>
  <c r="J304" i="8"/>
  <c r="K304" i="8" s="1"/>
  <c r="L304" i="8"/>
  <c r="L250" i="8"/>
  <c r="J32" i="8"/>
  <c r="K32" i="8" s="1"/>
  <c r="L32" i="8" s="1"/>
  <c r="J176" i="8"/>
  <c r="K176" i="8" s="1"/>
  <c r="J96" i="8"/>
  <c r="K96" i="8" s="1"/>
  <c r="L96" i="8" s="1"/>
  <c r="L285" i="8"/>
  <c r="L298" i="8"/>
  <c r="J238" i="8"/>
  <c r="K238" i="8" s="1"/>
  <c r="L238" i="8" s="1"/>
  <c r="J406" i="8"/>
  <c r="K406" i="8" s="1"/>
  <c r="L406" i="8" s="1"/>
  <c r="L430" i="8"/>
  <c r="J408" i="8"/>
  <c r="K408" i="8" s="1"/>
  <c r="L408" i="8" s="1"/>
  <c r="J384" i="8"/>
  <c r="K384" i="8" s="1"/>
  <c r="L384" i="8" s="1"/>
  <c r="L164" i="8"/>
  <c r="J492" i="8"/>
  <c r="K492" i="8" s="1"/>
  <c r="L492" i="8" s="1"/>
  <c r="J418" i="8"/>
  <c r="K418" i="8" s="1"/>
  <c r="L418" i="8" s="1"/>
  <c r="J456" i="8"/>
  <c r="K456" i="8" s="1"/>
  <c r="L456" i="8" s="1"/>
  <c r="L310" i="8"/>
  <c r="J268" i="8"/>
  <c r="K268" i="8" s="1"/>
  <c r="L268" i="8" s="1"/>
  <c r="J454" i="8"/>
  <c r="K454" i="8" s="1"/>
  <c r="L454" i="8" s="1"/>
  <c r="J396" i="8"/>
  <c r="K396" i="8" s="1"/>
  <c r="L396" i="8" s="1"/>
  <c r="L273" i="8"/>
  <c r="J370" i="8"/>
  <c r="K370" i="8" s="1"/>
  <c r="L370" i="8" s="1"/>
  <c r="J360" i="8"/>
  <c r="K360" i="8" s="1"/>
  <c r="L360" i="8" s="1"/>
  <c r="J281" i="8"/>
  <c r="K281" i="8" s="1"/>
  <c r="L281" i="8" s="1"/>
  <c r="L261" i="8"/>
  <c r="J224" i="8"/>
  <c r="K224" i="8" s="1"/>
  <c r="L224" i="8" s="1"/>
  <c r="J36" i="8"/>
  <c r="K36" i="8" s="1"/>
  <c r="L36" i="8" s="1"/>
  <c r="L254" i="8"/>
  <c r="L249" i="8"/>
  <c r="L382" i="8"/>
  <c r="J372" i="8"/>
  <c r="K372" i="8" s="1"/>
  <c r="L372" i="8" s="1"/>
  <c r="L226" i="8"/>
  <c r="L346" i="8"/>
  <c r="L200" i="8"/>
  <c r="L152" i="8"/>
  <c r="J76" i="8"/>
  <c r="K76" i="8" s="1"/>
  <c r="L76" i="8"/>
  <c r="J212" i="8"/>
  <c r="K212" i="8" s="1"/>
  <c r="L212" i="8" s="1"/>
</calcChain>
</file>

<file path=xl/connections.xml><?xml version="1.0" encoding="utf-8"?>
<connections xmlns="http://schemas.openxmlformats.org/spreadsheetml/2006/main">
  <connection id="1" name="wynagrodzenie" type="6" refreshedVersion="6" background="1" saveData="1">
    <textPr codePage="65001" sourceFile="C:\Users\grzegorz.tereszkiewi\Documents\GitHub\InfScul\Arkusze maturalne z informatyki UCZEŃ\2025 próbna styczeń\Dane\wynagrodzenie.txt" decimal="," thousands=" " tab="0" semicolon="1">
      <textFields count="5">
        <textField/>
        <textField/>
        <textField/>
        <textField/>
        <textField/>
      </textFields>
    </textPr>
  </connection>
  <connection id="2" name="wynagrodzenie1" type="6" refreshedVersion="6" background="1" saveData="1">
    <textPr codePage="65001" sourceFile="C:\Users\grzegorz.tereszkiewi\Documents\GitHub\InfScul\Arkusze maturalne z informatyki UCZEŃ\2025 próbna styczeń\Dane\wynagrodzenie.txt" decimal="," thousands=" " tab="0" semicolon="1">
      <textFields count="5">
        <textField/>
        <textField/>
        <textField/>
        <textField/>
        <textField/>
      </textFields>
    </textPr>
  </connection>
  <connection id="3" name="wynagrodzenie2" type="6" refreshedVersion="6" background="1" saveData="1">
    <textPr codePage="65001" sourceFile="C:\Users\grzegorz.tereszkiewi\Documents\GitHub\InfScul\Arkusze maturalne z informatyki UCZEŃ\2025 próbna styczeń\Dane\wynagrodzenie.txt" decimal="," thousands=" " tab="0" semicolon="1">
      <textFields count="5">
        <textField/>
        <textField/>
        <textField/>
        <textField/>
        <textField/>
      </textFields>
    </textPr>
  </connection>
  <connection id="4" name="wynagrodzenie21" type="6" refreshedVersion="6" background="1" saveData="1">
    <textPr codePage="65001" sourceFile="C:\Users\grzegorz.tereszkiewi\Documents\GitHub\InfScul\Arkusze maturalne z informatyki UCZEŃ\2025 próbna styczeń\Dane\wynagrodzenie.txt" decimal="," thousands=" " tab="0" semicolon="1">
      <textFields count="5">
        <textField/>
        <textField/>
        <textField/>
        <textField/>
        <textField/>
      </textFields>
    </textPr>
  </connection>
  <connection id="5" name="wynagrodzenie211" type="6" refreshedVersion="6" background="1" saveData="1">
    <textPr codePage="65001" sourceFile="C:\Users\grzegorz.tereszkiewi\Documents\GitHub\InfScul\Arkusze maturalne z informatyki UCZEŃ\2025 próbna styczeń\Dane\wynagrodzenie.txt" decimal="," thousands=" " tab="0" semicolon="1">
      <textFields count="5">
        <textField/>
        <textField/>
        <textField/>
        <textField/>
        <textField/>
      </textFields>
    </textPr>
  </connection>
  <connection id="6" name="wynagrodzenie2111" type="6" refreshedVersion="6" background="1" saveData="1">
    <textPr codePage="65001" sourceFile="C:\Users\grzegorz.tereszkiewi\Documents\GitHub\InfScul\Arkusze maturalne z informatyki UCZEŃ\2025 próbna styczeń\Dane\wynagrodzenie.txt" decimal="," thousands=" " tab="0" semicolon="1">
      <textFields count="5">
        <textField/>
        <textField/>
        <textField/>
        <textField/>
        <textField/>
      </textFields>
    </textPr>
  </connection>
  <connection id="7" name="wynagrodzenie3" type="6" refreshedVersion="6" background="1" saveData="1">
    <textPr codePage="65001" sourceFile="C:\Users\grzegorz.tereszkiewi\Documents\GitHub\InfScul\Arkusze maturalne z informatyki UCZEŃ\2025 próbna styczeń\Dane\wynagrodzenie.txt" decimal="," thousands=" " tab="0" semicolon="1">
      <textFields count="5">
        <textField/>
        <textField/>
        <textField/>
        <textField/>
        <textField/>
      </textFields>
    </textPr>
  </connection>
  <connection id="8" name="wynagrodzenie31" type="6" refreshedVersion="6" background="1" saveData="1">
    <textPr codePage="65001" sourceFile="C:\Users\grzegorz.tereszkiewi\Documents\GitHub\InfScul\Arkusze maturalne z informatyki UCZEŃ\2025 próbna styczeń\Dane\wynagrodzenie.txt" decimal="," thousands=" " tab="0" semicolon="1">
      <textFields count="5">
        <textField/>
        <textField/>
        <textField/>
        <textField/>
        <textField/>
      </textFields>
    </textPr>
  </connection>
  <connection id="9" name="wynagrodzenie311" type="6" refreshedVersion="6" background="1" saveData="1">
    <textPr codePage="65001" sourceFile="C:\Users\grzegorz.tereszkiewi\Documents\GitHub\InfScul\Arkusze maturalne z informatyki UCZEŃ\2025 próbna styczeń\Dane\wynagrodzenie.txt" decimal="," thousands=" " tab="0" semicolon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<sst xmlns="http://schemas.openxmlformats.org/spreadsheetml/2006/main" count="3094" uniqueCount="44">
  <si>
    <t>[3,5]</t>
  </si>
  <si>
    <t>punkty</t>
  </si>
  <si>
    <t>przedzial</t>
  </si>
  <si>
    <t>[6,9]</t>
  </si>
  <si>
    <t>Etykiety wierszy</t>
  </si>
  <si>
    <t>Suma końcowa</t>
  </si>
  <si>
    <t>Suma z punkty</t>
  </si>
  <si>
    <t>Liczba z punkty</t>
  </si>
  <si>
    <t>[0,3]</t>
  </si>
  <si>
    <t>Średnia z punkty2</t>
  </si>
  <si>
    <t>wynagrodzenie</t>
  </si>
  <si>
    <t xml:space="preserve"> staż_pracy</t>
  </si>
  <si>
    <t xml:space="preserve"> premia_w_%</t>
  </si>
  <si>
    <t xml:space="preserve"> Etat</t>
  </si>
  <si>
    <t>oddział</t>
  </si>
  <si>
    <t>OII</t>
  </si>
  <si>
    <t>OI</t>
  </si>
  <si>
    <t>OV</t>
  </si>
  <si>
    <t>OIII</t>
  </si>
  <si>
    <t>OVI</t>
  </si>
  <si>
    <t>OVII</t>
  </si>
  <si>
    <t>OIV</t>
  </si>
  <si>
    <t>[0 - 4]</t>
  </si>
  <si>
    <t>[5 - 9]</t>
  </si>
  <si>
    <t>[10 - 14]</t>
  </si>
  <si>
    <t>[15 - 20]</t>
  </si>
  <si>
    <t>grupa stażowa</t>
  </si>
  <si>
    <t>Średnia z  staż_pracy</t>
  </si>
  <si>
    <t>dodatek stażowy</t>
  </si>
  <si>
    <t xml:space="preserve"> staż pracy</t>
  </si>
  <si>
    <t xml:space="preserve"> premia w %</t>
  </si>
  <si>
    <t>premia</t>
  </si>
  <si>
    <t>max stażowy</t>
  </si>
  <si>
    <t>max premia</t>
  </si>
  <si>
    <t>ile dostal</t>
  </si>
  <si>
    <t>czy wyrównanie</t>
  </si>
  <si>
    <t>ile minimalnie</t>
  </si>
  <si>
    <t>kwota wyrównania</t>
  </si>
  <si>
    <t>ilu pracowników z wyrównaniem</t>
  </si>
  <si>
    <t>laczna kwota</t>
  </si>
  <si>
    <t>Średnia z premia</t>
  </si>
  <si>
    <t>Suma z czy wyrównanie</t>
  </si>
  <si>
    <t>Suma z ile dostal</t>
  </si>
  <si>
    <t>Wynagrodzenie z wyrównaniem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</si>
</sst>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* #,##0.00\ &quot;zł&quot;_-;\-* #,##0.00\ &quot;zł&quot;_-;_-* &quot;-&quot;??\ &quot;zł&quot;_-;_-@_-"/>
    <numFmt numFmtId="43" formatCode="_-* #,##0.00_-;\-* #,##0.00_-;_-* &quot;-&quot;??_-;_-@_-"/>
    <numFmt numFmtId="172" formatCode="_-* #,##0_-;\-* #,##0_-;_-* &quot;-&quot;??_-;_-@_-"/>
  </numFmts>
  <fonts count="3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0">
    <xf numFmtId="0" fontId="0" fillId="0" borderId="0" xfId="0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3" fontId="0" fillId="0" borderId="0" xfId="0" applyNumberFormat="1"/>
    <xf numFmtId="43" fontId="0" fillId="0" borderId="0" xfId="1" applyFont="1"/>
    <xf numFmtId="44" fontId="0" fillId="0" borderId="0" xfId="2" applyFont="1"/>
    <xf numFmtId="44" fontId="2" fillId="2" borderId="0" xfId="2" applyFont="1" applyFill="1"/>
    <xf numFmtId="0" fontId="2" fillId="2" borderId="0" xfId="0" applyFont="1" applyFill="1"/>
    <xf numFmtId="44" fontId="0" fillId="0" borderId="0" xfId="0" applyNumberFormat="1"/>
    <xf numFmtId="44" fontId="2" fillId="2" borderId="0" xfId="2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4" fontId="0" fillId="0" borderId="0" xfId="2" applyNumberFormat="1" applyFont="1"/>
    <xf numFmtId="44" fontId="0" fillId="3" borderId="0" xfId="0" applyNumberFormat="1" applyFill="1"/>
    <xf numFmtId="0" fontId="0" fillId="3" borderId="0" xfId="0" applyFill="1"/>
    <xf numFmtId="172" fontId="0" fillId="0" borderId="0" xfId="0" applyNumberFormat="1"/>
    <xf numFmtId="172" fontId="0" fillId="3" borderId="0" xfId="0" applyNumberFormat="1" applyFill="1"/>
    <xf numFmtId="0" fontId="0" fillId="3" borderId="0" xfId="0" applyFill="1" applyAlignment="1">
      <alignment horizontal="left"/>
    </xf>
  </cellXfs>
  <cellStyles count="3">
    <cellStyle name="Dziesiętny" xfId="1" builtinId="3"/>
    <cellStyle name="Normalny" xfId="0" builtinId="0"/>
    <cellStyle name="Walutowy" xfId="2" builtinId="4"/>
  </cellStyles>
  <dxfs count="33">
    <dxf>
      <numFmt numFmtId="171" formatCode="_-* #,##0.0_-;\-* #,##0.0_-;_-* &quot;-&quot;??_-;_-@_-"/>
    </dxf>
    <dxf>
      <numFmt numFmtId="172" formatCode="_-* #,##0_-;\-* #,##0_-;_-* &quot;-&quot;??_-;_-@_-"/>
    </dxf>
    <dxf>
      <numFmt numFmtId="34" formatCode="_-* #,##0.00\ &quot;zł&quot;_-;\-* #,##0.00\ &quot;zł&quot;_-;_-* &quot;-&quot;??\ &quot;zł&quot;_-;_-@_-"/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numFmt numFmtId="171" formatCode="_-* #,##0.0_-;\-* #,##0.0_-;_-* &quot;-&quot;??_-;_-@_-"/>
    </dxf>
    <dxf>
      <numFmt numFmtId="172" formatCode="_-* #,##0_-;\-* #,##0_-;_-* &quot;-&quot;??_-;_-@_-"/>
    </dxf>
    <dxf>
      <numFmt numFmtId="34" formatCode="_-* #,##0.00\ &quot;zł&quot;_-;\-* #,##0.00\ &quot;zł&quot;_-;_-* &quot;-&quot;??\ &quot;zł&quot;_-;_-@_-"/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numFmt numFmtId="171" formatCode="_-* #,##0.0_-;\-* #,##0.0_-;_-* &quot;-&quot;??_-;_-@_-"/>
    </dxf>
    <dxf>
      <numFmt numFmtId="172" formatCode="_-* #,##0_-;\-* #,##0_-;_-* &quot;-&quot;??_-;_-@_-"/>
    </dxf>
    <dxf>
      <numFmt numFmtId="34" formatCode="_-* #,##0.00\ &quot;zł&quot;_-;\-* #,##0.00\ &quot;zł&quot;_-;_-* &quot;-&quot;??\ &quot;zł&quot;_-;_-@_-"/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numFmt numFmtId="171" formatCode="_-* #,##0.0_-;\-* #,##0.0_-;_-* &quot;-&quot;??_-;_-@_-"/>
    </dxf>
    <dxf>
      <numFmt numFmtId="172" formatCode="_-* #,##0_-;\-* #,##0_-;_-* &quot;-&quot;??_-;_-@_-"/>
    </dxf>
    <dxf>
      <numFmt numFmtId="34" formatCode="_-* #,##0.00\ &quot;zł&quot;_-;\-* #,##0.00\ &quot;zł&quot;_-;_-* &quot;-&quot;??\ &quot;zł&quot;_-;_-@_-"/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numFmt numFmtId="171" formatCode="_-* #,##0.0_-;\-* #,##0.0_-;_-* &quot;-&quot;??_-;_-@_-"/>
    </dxf>
    <dxf>
      <numFmt numFmtId="172" formatCode="_-* #,##0_-;\-* #,##0_-;_-* &quot;-&quot;??_-;_-@_-"/>
    </dxf>
    <dxf>
      <numFmt numFmtId="171" formatCode="_-* #,##0.0_-;\-* #,##0.0_-;_-* &quot;-&quot;??_-;_-@_-"/>
    </dxf>
    <dxf>
      <numFmt numFmtId="172" formatCode="_-* #,##0_-;\-* #,##0_-;_-* &quot;-&quot;??_-;_-@_-"/>
    </dxf>
    <dxf>
      <numFmt numFmtId="171" formatCode="_-* #,##0.0_-;\-* #,##0.0_-;_-* &quot;-&quot;??_-;_-@_-"/>
    </dxf>
    <dxf>
      <numFmt numFmtId="172" formatCode="_-* #,##0_-;\-* #,##0_-;_-* &quot;-&quot;??_-;_-@_-"/>
    </dxf>
    <dxf>
      <numFmt numFmtId="171" formatCode="_-* #,##0.0_-;\-* #,##0.0_-;_-* &quot;-&quot;??_-;_-@_-"/>
    </dxf>
    <dxf>
      <numFmt numFmtId="172" formatCode="_-* #,##0_-;\-* #,##0_-;_-* &quot;-&quot;??_-;_-@_-"/>
    </dxf>
    <dxf>
      <numFmt numFmtId="171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[Wynagrodzenie.xlsx]7.1!Tabela przestawna2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Średni</a:t>
            </a:r>
            <a:r>
              <a:rPr lang="pl-PL" baseline="0"/>
              <a:t> staż pracy w oddziale OIII, dla pracowników w grupach co 5lat</a:t>
            </a:r>
          </a:p>
        </c:rich>
      </c:tx>
      <c:layout>
        <c:manualLayout>
          <c:xMode val="edge"/>
          <c:yMode val="edge"/>
          <c:x val="0.21848622047244093"/>
          <c:y val="0.17851414406532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layout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  <c:pivotFmt>
        <c:idx val="3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  <c:pivotFmt>
        <c:idx val="4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  <c:pivotFmt>
        <c:idx val="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'7.1'!$N$3</c:f>
              <c:strCache>
                <c:ptCount val="1"/>
                <c:pt idx="0">
                  <c:v>Suma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85C-4D56-98B3-099C90E60E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85C-4D56-98B3-099C90E60E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85C-4D56-98B3-099C90E60E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85C-4D56-98B3-099C90E60E12}"/>
              </c:ext>
            </c:extLst>
          </c:dPt>
          <c:dLbls>
            <c:dLbl>
              <c:idx val="0"/>
              <c:layout/>
              <c:dLblPos val="out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185C-4D56-98B3-099C90E60E12}"/>
                </c:ext>
              </c:extLst>
            </c:dLbl>
            <c:dLbl>
              <c:idx val="1"/>
              <c:layout/>
              <c:dLblPos val="out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185C-4D56-98B3-099C90E60E12}"/>
                </c:ext>
              </c:extLst>
            </c:dLbl>
            <c:dLbl>
              <c:idx val="2"/>
              <c:layout/>
              <c:dLblPos val="out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185C-4D56-98B3-099C90E60E12}"/>
                </c:ext>
              </c:extLst>
            </c:dLbl>
            <c:dLbl>
              <c:idx val="3"/>
              <c:layout/>
              <c:dLblPos val="out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185C-4D56-98B3-099C90E60E1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</c:ext>
            </c:extLst>
          </c:dLbls>
          <c:cat>
            <c:strRef>
              <c:f>'7.1'!$M$4:$M$8</c:f>
              <c:strCache>
                <c:ptCount val="4"/>
                <c:pt idx="0">
                  <c:v>[0 - 4]</c:v>
                </c:pt>
                <c:pt idx="1">
                  <c:v>[10 - 14]</c:v>
                </c:pt>
                <c:pt idx="2">
                  <c:v>[15 - 20]</c:v>
                </c:pt>
                <c:pt idx="3">
                  <c:v>[5 - 9]</c:v>
                </c:pt>
              </c:strCache>
            </c:strRef>
          </c:cat>
          <c:val>
            <c:numRef>
              <c:f>'7.1'!$N$4:$N$8</c:f>
              <c:numCache>
                <c:formatCode>_(* #,##0.00_);_(* \(#,##0.00\);_(* "-"??_);_(@_)</c:formatCode>
                <c:ptCount val="4"/>
                <c:pt idx="0">
                  <c:v>2.2142857142857144</c:v>
                </c:pt>
                <c:pt idx="1">
                  <c:v>12.529411764705882</c:v>
                </c:pt>
                <c:pt idx="2">
                  <c:v>18.3125</c:v>
                </c:pt>
                <c:pt idx="3">
                  <c:v>7.166666666666667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5C-4D56-98B3-099C90E60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179070</xdr:rowOff>
    </xdr:from>
    <xdr:to>
      <xdr:col>13</xdr:col>
      <xdr:colOff>1356360</xdr:colOff>
      <xdr:row>31</xdr:row>
      <xdr:rowOff>0</xdr:rowOff>
    </xdr:to>
    <xdr:graphicFrame macro="">
      <xdr:nvGraphicFramePr>
        <xdr:cNvPr id="2" name="Wykres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Grzegorz Tereszkiewicz" refreshedDate="45997.38123958333" createdVersion="6" refreshedVersion="6" minRefreshableVersion="3" recordCount="12">
  <cacheSource type="worksheet">
    <worksheetSource ref="A1:B13" sheet="Arkusz1"/>
  </cacheSource>
  <cacheFields count="2">
    <cacheField name="punkty" numFmtId="0">
      <sharedItems containsSemiMixedTypes="0" containsString="0" containsNumber="1" containsInteger="1" minValue="2" maxValue="8"/>
    </cacheField>
    <cacheField name="przedzial" numFmtId="0">
      <sharedItems count="3">
        <s v="[0,4]"/>
        <s v="[3,5]"/>
        <s v="[6,9]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Grzegorz Tereszkiewicz" refreshedDate="45997.392640625003" createdVersion="6" refreshedVersion="6" minRefreshableVersion="3" recordCount="500">
  <cacheSource type="worksheet">
    <worksheetSource ref="A1:F501" sheet="7.1"/>
  </cacheSource>
  <cacheFields count="6">
    <cacheField name="wynagrodzenie" numFmtId="44">
      <sharedItems containsSemiMixedTypes="0" containsString="0" containsNumber="1" minValue="281" maxValue="7000"/>
    </cacheField>
    <cacheField name=" staż_pracy" numFmtId="0">
      <sharedItems containsSemiMixedTypes="0" containsString="0" containsNumber="1" containsInteger="1" minValue="0" maxValue="20"/>
    </cacheField>
    <cacheField name=" premia_w_%" numFmtId="0">
      <sharedItems containsSemiMixedTypes="0" containsString="0" containsNumber="1" containsInteger="1" minValue="0" maxValue="50"/>
    </cacheField>
    <cacheField name=" Etat" numFmtId="0">
      <sharedItems containsSemiMixedTypes="0" containsString="0" containsNumber="1" containsInteger="1" minValue="1" maxValue="10"/>
    </cacheField>
    <cacheField name="oddział" numFmtId="0">
      <sharedItems count="7">
        <s v="OII"/>
        <s v="OI"/>
        <s v="OV"/>
        <s v="OIII"/>
        <s v="OVI"/>
        <s v="OVII"/>
        <s v="OIV"/>
      </sharedItems>
    </cacheField>
    <cacheField name="grupa stażowa" numFmtId="0">
      <sharedItems count="4">
        <s v="[0 - 4]"/>
        <s v="[15 - 20]"/>
        <s v="[10 - 14]"/>
        <s v="[5 - 9]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Grzegorz Tereszkiewicz" refreshedDate="45997.435307638887" createdVersion="6" refreshedVersion="6" minRefreshableVersion="3" recordCount="500">
  <cacheSource type="worksheet">
    <worksheetSource ref="A1:K501" sheet="7.4"/>
  </cacheSource>
  <cacheFields count="11">
    <cacheField name="wynagrodzenie" numFmtId="44">
      <sharedItems containsSemiMixedTypes="0" containsString="0" containsNumber="1" minValue="281" maxValue="7000"/>
    </cacheField>
    <cacheField name=" staż pracy" numFmtId="0">
      <sharedItems containsSemiMixedTypes="0" containsString="0" containsNumber="1" containsInteger="1" minValue="0" maxValue="20"/>
    </cacheField>
    <cacheField name=" premia w %" numFmtId="0">
      <sharedItems containsSemiMixedTypes="0" containsString="0" containsNumber="1" containsInteger="1" minValue="0" maxValue="50"/>
    </cacheField>
    <cacheField name=" Etat" numFmtId="0">
      <sharedItems containsSemiMixedTypes="0" containsString="0" containsNumber="1" containsInteger="1" minValue="1" maxValue="10"/>
    </cacheField>
    <cacheField name="oddział" numFmtId="0">
      <sharedItems count="7">
        <s v="OII"/>
        <s v="OI"/>
        <s v="OV"/>
        <s v="OIII"/>
        <s v="OVI"/>
        <s v="OVII"/>
        <s v="OIV"/>
      </sharedItems>
    </cacheField>
    <cacheField name="dodatek stażowy" numFmtId="44">
      <sharedItems containsSemiMixedTypes="0" containsString="0" containsNumber="1" containsInteger="1" minValue="0" maxValue="1396"/>
    </cacheField>
    <cacheField name="premia" numFmtId="44">
      <sharedItems containsSemiMixedTypes="0" containsString="0" containsNumber="1" minValue="0" maxValue="3345"/>
    </cacheField>
    <cacheField name="ile minimalnie" numFmtId="44">
      <sharedItems containsSemiMixedTypes="0" containsString="0" containsNumber="1" minValue="466.6" maxValue="4666"/>
    </cacheField>
    <cacheField name="ile dostal" numFmtId="44">
      <sharedItems containsSemiMixedTypes="0" containsString="0" containsNumber="1" minValue="391" maxValue="10873.5"/>
    </cacheField>
    <cacheField name="czy wyrównanie" numFmtId="0">
      <sharedItems containsSemiMixedTypes="0" containsString="0" containsNumber="1" containsInteger="1" minValue="0" maxValue="1"/>
    </cacheField>
    <cacheField name="kwota wyrównania" numFmtId="0">
      <sharedItems containsSemiMixedTypes="0" containsString="0" containsNumber="1" minValue="0" maxValue="683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">
  <r>
    <n v="2"/>
    <x v="0"/>
  </r>
  <r>
    <n v="4"/>
    <x v="1"/>
  </r>
  <r>
    <n v="3"/>
    <x v="1"/>
  </r>
  <r>
    <n v="4"/>
    <x v="1"/>
  </r>
  <r>
    <n v="7"/>
    <x v="2"/>
  </r>
  <r>
    <n v="8"/>
    <x v="2"/>
  </r>
  <r>
    <n v="4"/>
    <x v="1"/>
  </r>
  <r>
    <n v="4"/>
    <x v="1"/>
  </r>
  <r>
    <n v="3"/>
    <x v="1"/>
  </r>
  <r>
    <n v="4"/>
    <x v="1"/>
  </r>
  <r>
    <n v="8"/>
    <x v="2"/>
  </r>
  <r>
    <n v="5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00">
  <r>
    <n v="1445.5"/>
    <n v="3"/>
    <n v="27"/>
    <n v="4"/>
    <x v="0"/>
    <x v="0"/>
  </r>
  <r>
    <n v="2690"/>
    <n v="1"/>
    <n v="5"/>
    <n v="2"/>
    <x v="1"/>
    <x v="0"/>
  </r>
  <r>
    <n v="3300"/>
    <n v="19"/>
    <n v="30"/>
    <n v="1"/>
    <x v="0"/>
    <x v="1"/>
  </r>
  <r>
    <n v="3900"/>
    <n v="1"/>
    <n v="10"/>
    <n v="1"/>
    <x v="1"/>
    <x v="0"/>
  </r>
  <r>
    <n v="3560"/>
    <n v="17"/>
    <n v="29"/>
    <n v="1"/>
    <x v="2"/>
    <x v="1"/>
  </r>
  <r>
    <n v="586"/>
    <n v="10"/>
    <n v="1"/>
    <n v="7"/>
    <x v="1"/>
    <x v="2"/>
  </r>
  <r>
    <n v="520"/>
    <n v="9"/>
    <n v="40"/>
    <n v="9"/>
    <x v="3"/>
    <x v="3"/>
  </r>
  <r>
    <n v="3980"/>
    <n v="3"/>
    <n v="25"/>
    <n v="1"/>
    <x v="4"/>
    <x v="0"/>
  </r>
  <r>
    <n v="409.5"/>
    <n v="0"/>
    <n v="30"/>
    <n v="9"/>
    <x v="1"/>
    <x v="0"/>
  </r>
  <r>
    <n v="1475"/>
    <n v="5"/>
    <n v="15"/>
    <n v="4"/>
    <x v="5"/>
    <x v="3"/>
  </r>
  <r>
    <n v="906"/>
    <n v="14"/>
    <n v="5"/>
    <n v="5"/>
    <x v="2"/>
    <x v="2"/>
  </r>
  <r>
    <n v="2825"/>
    <n v="12"/>
    <n v="15"/>
    <n v="2"/>
    <x v="5"/>
    <x v="2"/>
  </r>
  <r>
    <n v="5810"/>
    <n v="2"/>
    <n v="5"/>
    <n v="1"/>
    <x v="3"/>
    <x v="0"/>
  </r>
  <r>
    <n v="889.7"/>
    <n v="3"/>
    <n v="45"/>
    <n v="7"/>
    <x v="2"/>
    <x v="0"/>
  </r>
  <r>
    <n v="5410"/>
    <n v="7"/>
    <n v="50"/>
    <n v="1"/>
    <x v="0"/>
    <x v="3"/>
  </r>
  <r>
    <n v="533"/>
    <n v="6"/>
    <n v="5"/>
    <n v="8"/>
    <x v="2"/>
    <x v="3"/>
  </r>
  <r>
    <n v="502"/>
    <n v="1"/>
    <n v="35"/>
    <n v="6"/>
    <x v="1"/>
    <x v="0"/>
  </r>
  <r>
    <n v="628"/>
    <n v="15"/>
    <n v="15"/>
    <n v="8"/>
    <x v="2"/>
    <x v="1"/>
  </r>
  <r>
    <n v="5640"/>
    <n v="12"/>
    <n v="40"/>
    <n v="1"/>
    <x v="1"/>
    <x v="2"/>
  </r>
  <r>
    <n v="4470"/>
    <n v="3"/>
    <n v="40"/>
    <n v="1"/>
    <x v="6"/>
    <x v="0"/>
  </r>
  <r>
    <n v="7000"/>
    <n v="3"/>
    <n v="40"/>
    <n v="1"/>
    <x v="4"/>
    <x v="0"/>
  </r>
  <r>
    <n v="1020"/>
    <n v="15"/>
    <n v="10"/>
    <n v="5"/>
    <x v="6"/>
    <x v="1"/>
  </r>
  <r>
    <n v="534.5"/>
    <n v="15"/>
    <n v="35"/>
    <n v="8"/>
    <x v="2"/>
    <x v="1"/>
  </r>
  <r>
    <n v="2113"/>
    <n v="4"/>
    <n v="20"/>
    <n v="3"/>
    <x v="0"/>
    <x v="0"/>
  </r>
  <r>
    <n v="623"/>
    <n v="5"/>
    <n v="5"/>
    <n v="7"/>
    <x v="6"/>
    <x v="3"/>
  </r>
  <r>
    <n v="530"/>
    <n v="8"/>
    <n v="5"/>
    <n v="9"/>
    <x v="3"/>
    <x v="3"/>
  </r>
  <r>
    <n v="406"/>
    <n v="15"/>
    <n v="45"/>
    <n v="9"/>
    <x v="6"/>
    <x v="1"/>
  </r>
  <r>
    <n v="1047"/>
    <n v="12"/>
    <n v="30"/>
    <n v="6"/>
    <x v="2"/>
    <x v="2"/>
  </r>
  <r>
    <n v="4450"/>
    <n v="8"/>
    <n v="15"/>
    <n v="1"/>
    <x v="3"/>
    <x v="3"/>
  </r>
  <r>
    <n v="3690"/>
    <n v="16"/>
    <n v="5"/>
    <n v="1"/>
    <x v="1"/>
    <x v="1"/>
  </r>
  <r>
    <n v="688"/>
    <n v="19"/>
    <n v="20"/>
    <n v="9"/>
    <x v="4"/>
    <x v="1"/>
  </r>
  <r>
    <n v="6870"/>
    <n v="20"/>
    <n v="5"/>
    <n v="1"/>
    <x v="5"/>
    <x v="1"/>
  </r>
  <r>
    <n v="5550"/>
    <n v="8"/>
    <n v="40"/>
    <n v="1"/>
    <x v="3"/>
    <x v="3"/>
  </r>
  <r>
    <n v="423"/>
    <n v="12"/>
    <n v="25"/>
    <n v="7"/>
    <x v="3"/>
    <x v="2"/>
  </r>
  <r>
    <n v="4160"/>
    <n v="6"/>
    <n v="15"/>
    <n v="1"/>
    <x v="2"/>
    <x v="3"/>
  </r>
  <r>
    <n v="1090"/>
    <n v="16"/>
    <n v="15"/>
    <n v="3"/>
    <x v="2"/>
    <x v="1"/>
  </r>
  <r>
    <n v="6460"/>
    <n v="4"/>
    <n v="40"/>
    <n v="1"/>
    <x v="0"/>
    <x v="0"/>
  </r>
  <r>
    <n v="332"/>
    <n v="12"/>
    <n v="40"/>
    <n v="9"/>
    <x v="4"/>
    <x v="2"/>
  </r>
  <r>
    <n v="1950"/>
    <n v="5"/>
    <n v="45"/>
    <n v="3"/>
    <x v="3"/>
    <x v="3"/>
  </r>
  <r>
    <n v="3880"/>
    <n v="6"/>
    <n v="40"/>
    <n v="1"/>
    <x v="5"/>
    <x v="3"/>
  </r>
  <r>
    <n v="1063"/>
    <n v="4"/>
    <n v="30"/>
    <n v="6"/>
    <x v="5"/>
    <x v="0"/>
  </r>
  <r>
    <n v="3660"/>
    <n v="12"/>
    <n v="10"/>
    <n v="1"/>
    <x v="5"/>
    <x v="2"/>
  </r>
  <r>
    <n v="2165"/>
    <n v="11"/>
    <n v="15"/>
    <n v="2"/>
    <x v="0"/>
    <x v="2"/>
  </r>
  <r>
    <n v="2000"/>
    <n v="19"/>
    <n v="0"/>
    <n v="2"/>
    <x v="2"/>
    <x v="1"/>
  </r>
  <r>
    <n v="3550"/>
    <n v="8"/>
    <n v="10"/>
    <n v="1"/>
    <x v="5"/>
    <x v="3"/>
  </r>
  <r>
    <n v="5530"/>
    <n v="7"/>
    <n v="35"/>
    <n v="1"/>
    <x v="3"/>
    <x v="3"/>
  </r>
  <r>
    <n v="1168"/>
    <n v="5"/>
    <n v="0"/>
    <n v="5"/>
    <x v="0"/>
    <x v="3"/>
  </r>
  <r>
    <n v="740"/>
    <n v="0"/>
    <n v="40"/>
    <n v="4"/>
    <x v="2"/>
    <x v="0"/>
  </r>
  <r>
    <n v="651"/>
    <n v="7"/>
    <n v="20"/>
    <n v="10"/>
    <x v="0"/>
    <x v="3"/>
  </r>
  <r>
    <n v="1055"/>
    <n v="19"/>
    <n v="45"/>
    <n v="4"/>
    <x v="5"/>
    <x v="1"/>
  </r>
  <r>
    <n v="900"/>
    <n v="6"/>
    <n v="20"/>
    <n v="4"/>
    <x v="0"/>
    <x v="3"/>
  </r>
  <r>
    <n v="2177"/>
    <n v="6"/>
    <n v="25"/>
    <n v="3"/>
    <x v="6"/>
    <x v="3"/>
  </r>
  <r>
    <n v="450"/>
    <n v="20"/>
    <n v="30"/>
    <n v="10"/>
    <x v="1"/>
    <x v="1"/>
  </r>
  <r>
    <n v="689"/>
    <n v="7"/>
    <n v="10"/>
    <n v="9"/>
    <x v="3"/>
    <x v="3"/>
  </r>
  <r>
    <n v="478"/>
    <n v="9"/>
    <n v="10"/>
    <n v="8"/>
    <x v="1"/>
    <x v="3"/>
  </r>
  <r>
    <n v="788"/>
    <n v="9"/>
    <n v="10"/>
    <n v="5"/>
    <x v="1"/>
    <x v="3"/>
  </r>
  <r>
    <n v="500"/>
    <n v="7"/>
    <n v="25"/>
    <n v="9"/>
    <x v="2"/>
    <x v="3"/>
  </r>
  <r>
    <n v="1347"/>
    <n v="20"/>
    <n v="45"/>
    <n v="3"/>
    <x v="1"/>
    <x v="1"/>
  </r>
  <r>
    <n v="4460"/>
    <n v="18"/>
    <n v="35"/>
    <n v="1"/>
    <x v="3"/>
    <x v="1"/>
  </r>
  <r>
    <n v="796.5"/>
    <n v="9"/>
    <n v="7"/>
    <n v="7"/>
    <x v="0"/>
    <x v="3"/>
  </r>
  <r>
    <n v="4210"/>
    <n v="19"/>
    <n v="20"/>
    <n v="1"/>
    <x v="0"/>
    <x v="1"/>
  </r>
  <r>
    <n v="460"/>
    <n v="11"/>
    <n v="40"/>
    <n v="7"/>
    <x v="5"/>
    <x v="2"/>
  </r>
  <r>
    <n v="1548"/>
    <n v="17"/>
    <n v="50"/>
    <n v="4"/>
    <x v="2"/>
    <x v="1"/>
  </r>
  <r>
    <n v="870"/>
    <n v="18"/>
    <n v="40"/>
    <n v="6"/>
    <x v="4"/>
    <x v="1"/>
  </r>
  <r>
    <n v="2950"/>
    <n v="5"/>
    <n v="50"/>
    <n v="1"/>
    <x v="0"/>
    <x v="3"/>
  </r>
  <r>
    <n v="6490"/>
    <n v="9"/>
    <n v="25"/>
    <n v="1"/>
    <x v="6"/>
    <x v="3"/>
  </r>
  <r>
    <n v="4480"/>
    <n v="4"/>
    <n v="40"/>
    <n v="1"/>
    <x v="0"/>
    <x v="0"/>
  </r>
  <r>
    <n v="6590"/>
    <n v="19"/>
    <n v="5"/>
    <n v="1"/>
    <x v="5"/>
    <x v="1"/>
  </r>
  <r>
    <n v="3380"/>
    <n v="15"/>
    <n v="50"/>
    <n v="1"/>
    <x v="6"/>
    <x v="1"/>
  </r>
  <r>
    <n v="1085"/>
    <n v="6"/>
    <n v="35"/>
    <n v="6"/>
    <x v="0"/>
    <x v="3"/>
  </r>
  <r>
    <n v="546"/>
    <n v="19"/>
    <n v="45"/>
    <n v="9"/>
    <x v="5"/>
    <x v="1"/>
  </r>
  <r>
    <n v="5900"/>
    <n v="14"/>
    <n v="45"/>
    <n v="1"/>
    <x v="5"/>
    <x v="2"/>
  </r>
  <r>
    <n v="5000"/>
    <n v="14"/>
    <n v="40"/>
    <n v="1"/>
    <x v="2"/>
    <x v="2"/>
  </r>
  <r>
    <n v="6980"/>
    <n v="20"/>
    <n v="15"/>
    <n v="1"/>
    <x v="1"/>
    <x v="1"/>
  </r>
  <r>
    <n v="1120"/>
    <n v="7"/>
    <n v="0"/>
    <n v="6"/>
    <x v="3"/>
    <x v="3"/>
  </r>
  <r>
    <n v="410"/>
    <n v="7"/>
    <n v="30"/>
    <n v="10"/>
    <x v="5"/>
    <x v="3"/>
  </r>
  <r>
    <n v="1098"/>
    <n v="0"/>
    <n v="15"/>
    <n v="5"/>
    <x v="0"/>
    <x v="0"/>
  </r>
  <r>
    <n v="696"/>
    <n v="4"/>
    <n v="40"/>
    <n v="10"/>
    <x v="6"/>
    <x v="0"/>
  </r>
  <r>
    <n v="860"/>
    <n v="5"/>
    <n v="15"/>
    <n v="6"/>
    <x v="4"/>
    <x v="3"/>
  </r>
  <r>
    <n v="6400"/>
    <n v="3"/>
    <n v="5"/>
    <n v="1"/>
    <x v="0"/>
    <x v="0"/>
  </r>
  <r>
    <n v="4590"/>
    <n v="18"/>
    <n v="5"/>
    <n v="1"/>
    <x v="0"/>
    <x v="1"/>
  </r>
  <r>
    <n v="505"/>
    <n v="1"/>
    <n v="50"/>
    <n v="6"/>
    <x v="4"/>
    <x v="0"/>
  </r>
  <r>
    <n v="4620"/>
    <n v="0"/>
    <n v="45"/>
    <n v="1"/>
    <x v="4"/>
    <x v="0"/>
  </r>
  <r>
    <n v="3810"/>
    <n v="20"/>
    <n v="30"/>
    <n v="1"/>
    <x v="5"/>
    <x v="1"/>
  </r>
  <r>
    <n v="1588"/>
    <n v="3"/>
    <n v="10"/>
    <n v="4"/>
    <x v="6"/>
    <x v="0"/>
  </r>
  <r>
    <n v="5730"/>
    <n v="12"/>
    <n v="50"/>
    <n v="1"/>
    <x v="6"/>
    <x v="2"/>
  </r>
  <r>
    <n v="909"/>
    <n v="11"/>
    <n v="45"/>
    <n v="7"/>
    <x v="1"/>
    <x v="2"/>
  </r>
  <r>
    <n v="968"/>
    <n v="10"/>
    <n v="5"/>
    <n v="6"/>
    <x v="0"/>
    <x v="2"/>
  </r>
  <r>
    <n v="691"/>
    <n v="17"/>
    <n v="5"/>
    <n v="10"/>
    <x v="1"/>
    <x v="1"/>
  </r>
  <r>
    <n v="555"/>
    <n v="18"/>
    <n v="5"/>
    <n v="8"/>
    <x v="4"/>
    <x v="1"/>
  </r>
  <r>
    <n v="4350"/>
    <n v="2"/>
    <n v="5"/>
    <n v="1"/>
    <x v="2"/>
    <x v="0"/>
  </r>
  <r>
    <n v="930"/>
    <n v="2"/>
    <n v="15"/>
    <n v="5"/>
    <x v="1"/>
    <x v="0"/>
  </r>
  <r>
    <n v="1907"/>
    <n v="11"/>
    <n v="45"/>
    <n v="3"/>
    <x v="5"/>
    <x v="2"/>
  </r>
  <r>
    <n v="393"/>
    <n v="2"/>
    <n v="20"/>
    <n v="9"/>
    <x v="3"/>
    <x v="0"/>
  </r>
  <r>
    <n v="5760"/>
    <n v="14"/>
    <n v="20"/>
    <n v="1"/>
    <x v="3"/>
    <x v="2"/>
  </r>
  <r>
    <n v="1807"/>
    <n v="11"/>
    <n v="15"/>
    <n v="3"/>
    <x v="4"/>
    <x v="2"/>
  </r>
  <r>
    <n v="1107"/>
    <n v="15"/>
    <n v="10"/>
    <n v="3"/>
    <x v="3"/>
    <x v="1"/>
  </r>
  <r>
    <n v="370"/>
    <n v="15"/>
    <n v="10"/>
    <n v="9"/>
    <x v="2"/>
    <x v="1"/>
  </r>
  <r>
    <n v="3275"/>
    <n v="10"/>
    <n v="45"/>
    <n v="2"/>
    <x v="6"/>
    <x v="2"/>
  </r>
  <r>
    <n v="5960"/>
    <n v="15"/>
    <n v="35"/>
    <n v="1"/>
    <x v="0"/>
    <x v="1"/>
  </r>
  <r>
    <n v="4650"/>
    <n v="5"/>
    <n v="35"/>
    <n v="1"/>
    <x v="5"/>
    <x v="3"/>
  </r>
  <r>
    <n v="435"/>
    <n v="7"/>
    <n v="35"/>
    <n v="10"/>
    <x v="2"/>
    <x v="3"/>
  </r>
  <r>
    <n v="736"/>
    <n v="19"/>
    <n v="15"/>
    <n v="7"/>
    <x v="1"/>
    <x v="1"/>
  </r>
  <r>
    <n v="4230"/>
    <n v="20"/>
    <n v="35"/>
    <n v="1"/>
    <x v="3"/>
    <x v="1"/>
  </r>
  <r>
    <n v="1303"/>
    <n v="12"/>
    <n v="15"/>
    <n v="4"/>
    <x v="6"/>
    <x v="2"/>
  </r>
  <r>
    <n v="6290"/>
    <n v="4"/>
    <n v="30"/>
    <n v="1"/>
    <x v="6"/>
    <x v="0"/>
  </r>
  <r>
    <n v="3900"/>
    <n v="5"/>
    <n v="10"/>
    <n v="1"/>
    <x v="2"/>
    <x v="3"/>
  </r>
  <r>
    <n v="4650"/>
    <n v="8"/>
    <n v="10"/>
    <n v="1"/>
    <x v="5"/>
    <x v="3"/>
  </r>
  <r>
    <n v="974"/>
    <n v="15"/>
    <n v="15"/>
    <n v="5"/>
    <x v="3"/>
    <x v="1"/>
  </r>
  <r>
    <n v="1300.75"/>
    <n v="5"/>
    <n v="5"/>
    <n v="3"/>
    <x v="1"/>
    <x v="3"/>
  </r>
  <r>
    <n v="4560"/>
    <n v="3"/>
    <n v="50"/>
    <n v="1"/>
    <x v="5"/>
    <x v="0"/>
  </r>
  <r>
    <n v="4690"/>
    <n v="1"/>
    <n v="45"/>
    <n v="1"/>
    <x v="4"/>
    <x v="0"/>
  </r>
  <r>
    <n v="3420"/>
    <n v="9"/>
    <n v="15"/>
    <n v="1"/>
    <x v="0"/>
    <x v="3"/>
  </r>
  <r>
    <n v="690"/>
    <n v="7"/>
    <n v="35"/>
    <n v="8"/>
    <x v="3"/>
    <x v="3"/>
  </r>
  <r>
    <n v="1070"/>
    <n v="11"/>
    <n v="35"/>
    <n v="5"/>
    <x v="2"/>
    <x v="2"/>
  </r>
  <r>
    <n v="1337"/>
    <n v="0"/>
    <n v="25"/>
    <n v="3"/>
    <x v="1"/>
    <x v="0"/>
  </r>
  <r>
    <n v="6330"/>
    <n v="20"/>
    <n v="10"/>
    <n v="1"/>
    <x v="0"/>
    <x v="1"/>
  </r>
  <r>
    <n v="5020"/>
    <n v="9"/>
    <n v="30"/>
    <n v="1"/>
    <x v="2"/>
    <x v="3"/>
  </r>
  <r>
    <n v="4980"/>
    <n v="13"/>
    <n v="0"/>
    <n v="1"/>
    <x v="3"/>
    <x v="2"/>
  </r>
  <r>
    <n v="615"/>
    <n v="13"/>
    <n v="40"/>
    <n v="8"/>
    <x v="2"/>
    <x v="2"/>
  </r>
  <r>
    <n v="730"/>
    <n v="18"/>
    <n v="5"/>
    <n v="6"/>
    <x v="2"/>
    <x v="1"/>
  </r>
  <r>
    <n v="349"/>
    <n v="8"/>
    <n v="10"/>
    <n v="10"/>
    <x v="0"/>
    <x v="3"/>
  </r>
  <r>
    <n v="2023"/>
    <n v="5"/>
    <n v="10"/>
    <n v="3"/>
    <x v="6"/>
    <x v="3"/>
  </r>
  <r>
    <n v="6520"/>
    <n v="8"/>
    <n v="25"/>
    <n v="1"/>
    <x v="3"/>
    <x v="3"/>
  </r>
  <r>
    <n v="3960"/>
    <n v="8"/>
    <n v="15"/>
    <n v="1"/>
    <x v="3"/>
    <x v="3"/>
  </r>
  <r>
    <n v="5220"/>
    <n v="15"/>
    <n v="15"/>
    <n v="1"/>
    <x v="4"/>
    <x v="1"/>
  </r>
  <r>
    <n v="6500"/>
    <n v="2"/>
    <n v="15"/>
    <n v="1"/>
    <x v="3"/>
    <x v="0"/>
  </r>
  <r>
    <n v="4530"/>
    <n v="13"/>
    <n v="50"/>
    <n v="1"/>
    <x v="0"/>
    <x v="2"/>
  </r>
  <r>
    <n v="5210"/>
    <n v="14"/>
    <n v="25"/>
    <n v="1"/>
    <x v="2"/>
    <x v="2"/>
  </r>
  <r>
    <n v="746"/>
    <n v="13"/>
    <n v="25"/>
    <n v="8"/>
    <x v="0"/>
    <x v="2"/>
  </r>
  <r>
    <n v="658"/>
    <n v="1"/>
    <n v="45"/>
    <n v="10"/>
    <x v="5"/>
    <x v="0"/>
  </r>
  <r>
    <n v="905"/>
    <n v="5"/>
    <n v="15"/>
    <n v="4"/>
    <x v="1"/>
    <x v="3"/>
  </r>
  <r>
    <n v="563"/>
    <n v="3"/>
    <n v="10"/>
    <n v="9"/>
    <x v="1"/>
    <x v="0"/>
  </r>
  <r>
    <n v="3620"/>
    <n v="16"/>
    <n v="40"/>
    <n v="1"/>
    <x v="2"/>
    <x v="1"/>
  </r>
  <r>
    <n v="2350"/>
    <n v="12"/>
    <n v="35"/>
    <n v="2"/>
    <x v="0"/>
    <x v="2"/>
  </r>
  <r>
    <n v="764"/>
    <n v="4"/>
    <n v="30"/>
    <n v="8"/>
    <x v="0"/>
    <x v="0"/>
  </r>
  <r>
    <n v="406"/>
    <n v="10"/>
    <n v="10"/>
    <n v="10"/>
    <x v="2"/>
    <x v="2"/>
  </r>
  <r>
    <n v="1123"/>
    <n v="0"/>
    <n v="25"/>
    <n v="3"/>
    <x v="1"/>
    <x v="0"/>
  </r>
  <r>
    <n v="1463"/>
    <n v="9"/>
    <n v="15"/>
    <n v="4"/>
    <x v="3"/>
    <x v="3"/>
  </r>
  <r>
    <n v="724"/>
    <n v="20"/>
    <n v="30"/>
    <n v="7"/>
    <x v="4"/>
    <x v="1"/>
  </r>
  <r>
    <n v="550"/>
    <n v="17"/>
    <n v="30"/>
    <n v="10"/>
    <x v="3"/>
    <x v="1"/>
  </r>
  <r>
    <n v="1807"/>
    <n v="19"/>
    <n v="50"/>
    <n v="3"/>
    <x v="4"/>
    <x v="1"/>
  </r>
  <r>
    <n v="1160"/>
    <n v="5"/>
    <n v="10"/>
    <n v="3"/>
    <x v="6"/>
    <x v="3"/>
  </r>
  <r>
    <n v="597"/>
    <n v="2"/>
    <n v="20"/>
    <n v="7"/>
    <x v="3"/>
    <x v="0"/>
  </r>
  <r>
    <n v="1270"/>
    <n v="12"/>
    <n v="35"/>
    <n v="5"/>
    <x v="6"/>
    <x v="2"/>
  </r>
  <r>
    <n v="6590"/>
    <n v="20"/>
    <n v="45"/>
    <n v="1"/>
    <x v="4"/>
    <x v="1"/>
  </r>
  <r>
    <n v="1056"/>
    <n v="17"/>
    <n v="50"/>
    <n v="5"/>
    <x v="0"/>
    <x v="1"/>
  </r>
  <r>
    <n v="6560"/>
    <n v="7"/>
    <n v="50"/>
    <n v="1"/>
    <x v="5"/>
    <x v="3"/>
  </r>
  <r>
    <n v="492"/>
    <n v="16"/>
    <n v="0"/>
    <n v="10"/>
    <x v="2"/>
    <x v="1"/>
  </r>
  <r>
    <n v="3075"/>
    <n v="16"/>
    <n v="15"/>
    <n v="2"/>
    <x v="6"/>
    <x v="1"/>
  </r>
  <r>
    <n v="920"/>
    <n v="7"/>
    <n v="0"/>
    <n v="4"/>
    <x v="6"/>
    <x v="3"/>
  </r>
  <r>
    <n v="637"/>
    <n v="17"/>
    <n v="35"/>
    <n v="10"/>
    <x v="1"/>
    <x v="1"/>
  </r>
  <r>
    <n v="5260"/>
    <n v="16"/>
    <n v="5"/>
    <n v="1"/>
    <x v="5"/>
    <x v="1"/>
  </r>
  <r>
    <n v="6400"/>
    <n v="6"/>
    <n v="10"/>
    <n v="1"/>
    <x v="5"/>
    <x v="3"/>
  </r>
  <r>
    <n v="1274"/>
    <n v="4"/>
    <n v="5"/>
    <n v="5"/>
    <x v="4"/>
    <x v="0"/>
  </r>
  <r>
    <n v="358"/>
    <n v="7"/>
    <n v="20"/>
    <n v="10"/>
    <x v="6"/>
    <x v="3"/>
  </r>
  <r>
    <n v="6790"/>
    <n v="13"/>
    <n v="45"/>
    <n v="1"/>
    <x v="4"/>
    <x v="2"/>
  </r>
  <r>
    <n v="1010"/>
    <n v="6"/>
    <n v="25"/>
    <n v="3"/>
    <x v="0"/>
    <x v="3"/>
  </r>
  <r>
    <n v="5100"/>
    <n v="13"/>
    <n v="45"/>
    <n v="1"/>
    <x v="5"/>
    <x v="2"/>
  </r>
  <r>
    <n v="447"/>
    <n v="12"/>
    <n v="25"/>
    <n v="9"/>
    <x v="4"/>
    <x v="2"/>
  </r>
  <r>
    <n v="3790"/>
    <n v="2"/>
    <n v="40"/>
    <n v="1"/>
    <x v="2"/>
    <x v="0"/>
  </r>
  <r>
    <n v="1320"/>
    <n v="18"/>
    <n v="25"/>
    <n v="5"/>
    <x v="5"/>
    <x v="1"/>
  </r>
  <r>
    <n v="808"/>
    <n v="7"/>
    <n v="45"/>
    <n v="6"/>
    <x v="5"/>
    <x v="3"/>
  </r>
  <r>
    <n v="1318"/>
    <n v="16"/>
    <n v="30"/>
    <n v="5"/>
    <x v="4"/>
    <x v="1"/>
  </r>
  <r>
    <n v="4690"/>
    <n v="7"/>
    <n v="0"/>
    <n v="1"/>
    <x v="6"/>
    <x v="3"/>
  </r>
  <r>
    <n v="401"/>
    <n v="4"/>
    <n v="50"/>
    <n v="7"/>
    <x v="6"/>
    <x v="0"/>
  </r>
  <r>
    <n v="420"/>
    <n v="15"/>
    <n v="10"/>
    <n v="8"/>
    <x v="4"/>
    <x v="1"/>
  </r>
  <r>
    <n v="5490"/>
    <n v="10"/>
    <n v="45"/>
    <n v="1"/>
    <x v="2"/>
    <x v="2"/>
  </r>
  <r>
    <n v="647"/>
    <n v="17"/>
    <n v="10"/>
    <n v="9"/>
    <x v="1"/>
    <x v="1"/>
  </r>
  <r>
    <n v="6240"/>
    <n v="5"/>
    <n v="50"/>
    <n v="1"/>
    <x v="2"/>
    <x v="3"/>
  </r>
  <r>
    <n v="677.1"/>
    <n v="6"/>
    <n v="45"/>
    <n v="6"/>
    <x v="2"/>
    <x v="3"/>
  </r>
  <r>
    <n v="1324"/>
    <n v="1"/>
    <n v="10"/>
    <n v="5"/>
    <x v="5"/>
    <x v="0"/>
  </r>
  <r>
    <n v="1525"/>
    <n v="17"/>
    <n v="20"/>
    <n v="2"/>
    <x v="6"/>
    <x v="1"/>
  </r>
  <r>
    <n v="4090"/>
    <n v="9"/>
    <n v="5"/>
    <n v="1"/>
    <x v="1"/>
    <x v="3"/>
  </r>
  <r>
    <n v="4050"/>
    <n v="14"/>
    <n v="50"/>
    <n v="1"/>
    <x v="2"/>
    <x v="2"/>
  </r>
  <r>
    <n v="371"/>
    <n v="12"/>
    <n v="50"/>
    <n v="10"/>
    <x v="0"/>
    <x v="2"/>
  </r>
  <r>
    <n v="1014"/>
    <n v="3"/>
    <n v="0"/>
    <n v="5"/>
    <x v="1"/>
    <x v="0"/>
  </r>
  <r>
    <n v="517"/>
    <n v="12"/>
    <n v="15"/>
    <n v="10"/>
    <x v="1"/>
    <x v="2"/>
  </r>
  <r>
    <n v="5340"/>
    <n v="4"/>
    <n v="30"/>
    <n v="1"/>
    <x v="1"/>
    <x v="0"/>
  </r>
  <r>
    <n v="589"/>
    <n v="3"/>
    <n v="15"/>
    <n v="7"/>
    <x v="1"/>
    <x v="0"/>
  </r>
  <r>
    <n v="6900"/>
    <n v="2"/>
    <n v="10"/>
    <n v="1"/>
    <x v="4"/>
    <x v="0"/>
  </r>
  <r>
    <n v="1963"/>
    <n v="20"/>
    <n v="45"/>
    <n v="3"/>
    <x v="0"/>
    <x v="1"/>
  </r>
  <r>
    <n v="3490"/>
    <n v="16"/>
    <n v="35"/>
    <n v="1"/>
    <x v="2"/>
    <x v="1"/>
  </r>
  <r>
    <n v="6690"/>
    <n v="7"/>
    <n v="50"/>
    <n v="1"/>
    <x v="4"/>
    <x v="3"/>
  </r>
  <r>
    <n v="3830"/>
    <n v="4"/>
    <n v="5"/>
    <n v="1"/>
    <x v="1"/>
    <x v="0"/>
  </r>
  <r>
    <n v="2095"/>
    <n v="4"/>
    <n v="15"/>
    <n v="2"/>
    <x v="3"/>
    <x v="0"/>
  </r>
  <r>
    <n v="410"/>
    <n v="12"/>
    <n v="10"/>
    <n v="8"/>
    <x v="5"/>
    <x v="2"/>
  </r>
  <r>
    <n v="3160"/>
    <n v="8"/>
    <n v="50"/>
    <n v="1"/>
    <x v="5"/>
    <x v="3"/>
  </r>
  <r>
    <n v="1174"/>
    <n v="9"/>
    <n v="35"/>
    <n v="5"/>
    <x v="6"/>
    <x v="3"/>
  </r>
  <r>
    <n v="5570"/>
    <n v="10"/>
    <n v="40"/>
    <n v="1"/>
    <x v="4"/>
    <x v="2"/>
  </r>
  <r>
    <n v="794"/>
    <n v="16"/>
    <n v="50"/>
    <n v="7"/>
    <x v="1"/>
    <x v="1"/>
  </r>
  <r>
    <n v="339"/>
    <n v="19"/>
    <n v="45"/>
    <n v="9"/>
    <x v="5"/>
    <x v="1"/>
  </r>
  <r>
    <n v="500"/>
    <n v="11"/>
    <n v="20"/>
    <n v="6"/>
    <x v="5"/>
    <x v="2"/>
  </r>
  <r>
    <n v="1186"/>
    <n v="11"/>
    <n v="10"/>
    <n v="5"/>
    <x v="2"/>
    <x v="2"/>
  </r>
  <r>
    <n v="1815"/>
    <n v="5"/>
    <n v="35"/>
    <n v="2"/>
    <x v="2"/>
    <x v="3"/>
  </r>
  <r>
    <n v="1236"/>
    <n v="8"/>
    <n v="15"/>
    <n v="5"/>
    <x v="1"/>
    <x v="3"/>
  </r>
  <r>
    <n v="324"/>
    <n v="18"/>
    <n v="30"/>
    <n v="9"/>
    <x v="1"/>
    <x v="1"/>
  </r>
  <r>
    <n v="504"/>
    <n v="9"/>
    <n v="20"/>
    <n v="9"/>
    <x v="5"/>
    <x v="3"/>
  </r>
  <r>
    <n v="475"/>
    <n v="11"/>
    <n v="40"/>
    <n v="10"/>
    <x v="5"/>
    <x v="2"/>
  </r>
  <r>
    <n v="360"/>
    <n v="4"/>
    <n v="35"/>
    <n v="8"/>
    <x v="2"/>
    <x v="0"/>
  </r>
  <r>
    <n v="1340"/>
    <n v="0"/>
    <n v="5"/>
    <n v="5"/>
    <x v="4"/>
    <x v="0"/>
  </r>
  <r>
    <n v="1067"/>
    <n v="2"/>
    <n v="30"/>
    <n v="3"/>
    <x v="6"/>
    <x v="0"/>
  </r>
  <r>
    <n v="4330"/>
    <n v="7"/>
    <n v="50"/>
    <n v="1"/>
    <x v="0"/>
    <x v="3"/>
  </r>
  <r>
    <n v="4170"/>
    <n v="12"/>
    <n v="35"/>
    <n v="1"/>
    <x v="3"/>
    <x v="2"/>
  </r>
  <r>
    <n v="1860"/>
    <n v="8"/>
    <n v="30"/>
    <n v="3"/>
    <x v="2"/>
    <x v="3"/>
  </r>
  <r>
    <n v="6550"/>
    <n v="8"/>
    <n v="30"/>
    <n v="1"/>
    <x v="4"/>
    <x v="3"/>
  </r>
  <r>
    <n v="6790"/>
    <n v="13"/>
    <n v="40"/>
    <n v="1"/>
    <x v="4"/>
    <x v="2"/>
  </r>
  <r>
    <n v="4600"/>
    <n v="11"/>
    <n v="30"/>
    <n v="1"/>
    <x v="1"/>
    <x v="2"/>
  </r>
  <r>
    <n v="5720"/>
    <n v="15"/>
    <n v="0"/>
    <n v="1"/>
    <x v="4"/>
    <x v="1"/>
  </r>
  <r>
    <n v="1102"/>
    <n v="12"/>
    <n v="10"/>
    <n v="5"/>
    <x v="0"/>
    <x v="2"/>
  </r>
  <r>
    <n v="999"/>
    <n v="20"/>
    <n v="50"/>
    <n v="7"/>
    <x v="2"/>
    <x v="1"/>
  </r>
  <r>
    <n v="5130"/>
    <n v="17"/>
    <n v="45"/>
    <n v="1"/>
    <x v="6"/>
    <x v="1"/>
  </r>
  <r>
    <n v="2115"/>
    <n v="10"/>
    <n v="50"/>
    <n v="2"/>
    <x v="2"/>
    <x v="2"/>
  </r>
  <r>
    <n v="1455"/>
    <n v="13"/>
    <n v="40"/>
    <n v="4"/>
    <x v="0"/>
    <x v="2"/>
  </r>
  <r>
    <n v="1138"/>
    <n v="13"/>
    <n v="10"/>
    <n v="5"/>
    <x v="5"/>
    <x v="2"/>
  </r>
  <r>
    <n v="490"/>
    <n v="10"/>
    <n v="30"/>
    <n v="7"/>
    <x v="4"/>
    <x v="2"/>
  </r>
  <r>
    <n v="2800"/>
    <n v="7"/>
    <n v="30"/>
    <n v="2"/>
    <x v="6"/>
    <x v="3"/>
  </r>
  <r>
    <n v="3770"/>
    <n v="13"/>
    <n v="5"/>
    <n v="1"/>
    <x v="5"/>
    <x v="2"/>
  </r>
  <r>
    <n v="917"/>
    <n v="8"/>
    <n v="5"/>
    <n v="7"/>
    <x v="5"/>
    <x v="3"/>
  </r>
  <r>
    <n v="776"/>
    <n v="12"/>
    <n v="20"/>
    <n v="7"/>
    <x v="1"/>
    <x v="2"/>
  </r>
  <r>
    <n v="5030"/>
    <n v="9"/>
    <n v="0"/>
    <n v="1"/>
    <x v="3"/>
    <x v="3"/>
  </r>
  <r>
    <n v="773"/>
    <n v="9"/>
    <n v="5"/>
    <n v="8"/>
    <x v="4"/>
    <x v="3"/>
  </r>
  <r>
    <n v="1727"/>
    <n v="19"/>
    <n v="25"/>
    <n v="3"/>
    <x v="3"/>
    <x v="1"/>
  </r>
  <r>
    <n v="1588"/>
    <n v="6"/>
    <n v="15"/>
    <n v="4"/>
    <x v="6"/>
    <x v="3"/>
  </r>
  <r>
    <n v="5340"/>
    <n v="16"/>
    <n v="30"/>
    <n v="1"/>
    <x v="5"/>
    <x v="1"/>
  </r>
  <r>
    <n v="424"/>
    <n v="2"/>
    <n v="15"/>
    <n v="8"/>
    <x v="3"/>
    <x v="0"/>
  </r>
  <r>
    <n v="2255"/>
    <n v="9"/>
    <n v="30"/>
    <n v="2"/>
    <x v="4"/>
    <x v="3"/>
  </r>
  <r>
    <n v="3280"/>
    <n v="10"/>
    <n v="20"/>
    <n v="1"/>
    <x v="5"/>
    <x v="2"/>
  </r>
  <r>
    <n v="1197"/>
    <n v="14"/>
    <n v="5"/>
    <n v="3"/>
    <x v="6"/>
    <x v="2"/>
  </r>
  <r>
    <n v="710.1"/>
    <n v="2"/>
    <n v="10"/>
    <n v="5"/>
    <x v="6"/>
    <x v="0"/>
  </r>
  <r>
    <n v="6320"/>
    <n v="2"/>
    <n v="50"/>
    <n v="1"/>
    <x v="6"/>
    <x v="0"/>
  </r>
  <r>
    <n v="5250"/>
    <n v="2"/>
    <n v="50"/>
    <n v="1"/>
    <x v="1"/>
    <x v="0"/>
  </r>
  <r>
    <n v="2005"/>
    <n v="18"/>
    <n v="45"/>
    <n v="2"/>
    <x v="5"/>
    <x v="1"/>
  </r>
  <r>
    <n v="973.3"/>
    <n v="16"/>
    <n v="35"/>
    <n v="7"/>
    <x v="5"/>
    <x v="1"/>
  </r>
  <r>
    <n v="1890"/>
    <n v="0"/>
    <n v="45"/>
    <n v="3"/>
    <x v="2"/>
    <x v="0"/>
  </r>
  <r>
    <n v="815"/>
    <n v="8"/>
    <n v="20"/>
    <n v="8"/>
    <x v="1"/>
    <x v="3"/>
  </r>
  <r>
    <n v="2960"/>
    <n v="15"/>
    <n v="20"/>
    <n v="1"/>
    <x v="5"/>
    <x v="1"/>
  </r>
  <r>
    <n v="5430"/>
    <n v="19"/>
    <n v="15"/>
    <n v="1"/>
    <x v="3"/>
    <x v="1"/>
  </r>
  <r>
    <n v="2115"/>
    <n v="6"/>
    <n v="45"/>
    <n v="2"/>
    <x v="2"/>
    <x v="3"/>
  </r>
  <r>
    <n v="1643"/>
    <n v="1"/>
    <n v="35"/>
    <n v="3"/>
    <x v="2"/>
    <x v="0"/>
  </r>
  <r>
    <n v="2320"/>
    <n v="10"/>
    <n v="25"/>
    <n v="3"/>
    <x v="1"/>
    <x v="2"/>
  </r>
  <r>
    <n v="1183"/>
    <n v="19"/>
    <n v="20"/>
    <n v="4"/>
    <x v="3"/>
    <x v="1"/>
  </r>
  <r>
    <n v="676"/>
    <n v="11"/>
    <n v="50"/>
    <n v="7"/>
    <x v="5"/>
    <x v="2"/>
  </r>
  <r>
    <n v="375"/>
    <n v="0"/>
    <n v="10"/>
    <n v="10"/>
    <x v="5"/>
    <x v="0"/>
  </r>
  <r>
    <n v="666"/>
    <n v="18"/>
    <n v="35"/>
    <n v="9"/>
    <x v="2"/>
    <x v="1"/>
  </r>
  <r>
    <n v="1020"/>
    <n v="4"/>
    <n v="50"/>
    <n v="6"/>
    <x v="0"/>
    <x v="0"/>
  </r>
  <r>
    <n v="705"/>
    <n v="16"/>
    <n v="30"/>
    <n v="8"/>
    <x v="1"/>
    <x v="1"/>
  </r>
  <r>
    <n v="676"/>
    <n v="9"/>
    <n v="0"/>
    <n v="7"/>
    <x v="4"/>
    <x v="3"/>
  </r>
  <r>
    <n v="560"/>
    <n v="8"/>
    <n v="30"/>
    <n v="8"/>
    <x v="0"/>
    <x v="3"/>
  </r>
  <r>
    <n v="1455"/>
    <n v="17"/>
    <n v="0"/>
    <n v="4"/>
    <x v="3"/>
    <x v="1"/>
  </r>
  <r>
    <n v="727"/>
    <n v="14"/>
    <n v="50"/>
    <n v="6"/>
    <x v="3"/>
    <x v="2"/>
  </r>
  <r>
    <n v="497"/>
    <n v="13"/>
    <n v="40"/>
    <n v="9"/>
    <x v="4"/>
    <x v="2"/>
  </r>
  <r>
    <n v="1113"/>
    <n v="18"/>
    <n v="20"/>
    <n v="4"/>
    <x v="6"/>
    <x v="1"/>
  </r>
  <r>
    <n v="6370"/>
    <n v="0"/>
    <n v="15"/>
    <n v="1"/>
    <x v="2"/>
    <x v="0"/>
  </r>
  <r>
    <n v="1268"/>
    <n v="5"/>
    <n v="0"/>
    <n v="5"/>
    <x v="0"/>
    <x v="3"/>
  </r>
  <r>
    <n v="5390"/>
    <n v="9"/>
    <n v="35"/>
    <n v="1"/>
    <x v="1"/>
    <x v="3"/>
  </r>
  <r>
    <n v="306"/>
    <n v="13"/>
    <n v="45"/>
    <n v="9"/>
    <x v="3"/>
    <x v="2"/>
  </r>
  <r>
    <n v="3530"/>
    <n v="14"/>
    <n v="25"/>
    <n v="1"/>
    <x v="1"/>
    <x v="2"/>
  </r>
  <r>
    <n v="5130"/>
    <n v="19"/>
    <n v="20"/>
    <n v="1"/>
    <x v="2"/>
    <x v="1"/>
  </r>
  <r>
    <n v="521"/>
    <n v="7"/>
    <n v="50"/>
    <n v="7"/>
    <x v="1"/>
    <x v="3"/>
  </r>
  <r>
    <n v="845"/>
    <n v="13"/>
    <n v="50"/>
    <n v="8"/>
    <x v="3"/>
    <x v="2"/>
  </r>
  <r>
    <n v="713"/>
    <n v="16"/>
    <n v="5"/>
    <n v="9"/>
    <x v="5"/>
    <x v="1"/>
  </r>
  <r>
    <n v="560"/>
    <n v="16"/>
    <n v="25"/>
    <n v="9"/>
    <x v="4"/>
    <x v="1"/>
  </r>
  <r>
    <n v="3000"/>
    <n v="10"/>
    <n v="30"/>
    <n v="1"/>
    <x v="5"/>
    <x v="2"/>
  </r>
  <r>
    <n v="651"/>
    <n v="10"/>
    <n v="25"/>
    <n v="10"/>
    <x v="4"/>
    <x v="2"/>
  </r>
  <r>
    <n v="5970"/>
    <n v="7"/>
    <n v="25"/>
    <n v="1"/>
    <x v="0"/>
    <x v="3"/>
  </r>
  <r>
    <n v="1423"/>
    <n v="0"/>
    <n v="15"/>
    <n v="3"/>
    <x v="3"/>
    <x v="0"/>
  </r>
  <r>
    <n v="5330"/>
    <n v="10"/>
    <n v="5"/>
    <n v="1"/>
    <x v="1"/>
    <x v="2"/>
  </r>
  <r>
    <n v="4730"/>
    <n v="13"/>
    <n v="15"/>
    <n v="1"/>
    <x v="5"/>
    <x v="2"/>
  </r>
  <r>
    <n v="789"/>
    <n v="10"/>
    <n v="40"/>
    <n v="8"/>
    <x v="0"/>
    <x v="2"/>
  </r>
  <r>
    <n v="773"/>
    <n v="6"/>
    <n v="45"/>
    <n v="8"/>
    <x v="3"/>
    <x v="3"/>
  </r>
  <r>
    <n v="6380"/>
    <n v="14"/>
    <n v="5"/>
    <n v="1"/>
    <x v="0"/>
    <x v="2"/>
  </r>
  <r>
    <n v="459"/>
    <n v="13"/>
    <n v="30"/>
    <n v="10"/>
    <x v="2"/>
    <x v="2"/>
  </r>
  <r>
    <n v="6360"/>
    <n v="1"/>
    <n v="20"/>
    <n v="1"/>
    <x v="1"/>
    <x v="0"/>
  </r>
  <r>
    <n v="3355"/>
    <n v="14"/>
    <n v="25"/>
    <n v="2"/>
    <x v="6"/>
    <x v="2"/>
  </r>
  <r>
    <n v="1200"/>
    <n v="9"/>
    <n v="10"/>
    <n v="3"/>
    <x v="6"/>
    <x v="3"/>
  </r>
  <r>
    <n v="763"/>
    <n v="10"/>
    <n v="25"/>
    <n v="4"/>
    <x v="4"/>
    <x v="2"/>
  </r>
  <r>
    <n v="3180"/>
    <n v="8"/>
    <n v="35"/>
    <n v="1"/>
    <x v="2"/>
    <x v="3"/>
  </r>
  <r>
    <n v="1013.3"/>
    <n v="0"/>
    <n v="35"/>
    <n v="3"/>
    <x v="6"/>
    <x v="0"/>
  </r>
  <r>
    <n v="5100"/>
    <n v="9"/>
    <n v="45"/>
    <n v="1"/>
    <x v="2"/>
    <x v="3"/>
  </r>
  <r>
    <n v="1657"/>
    <n v="3"/>
    <n v="20"/>
    <n v="3"/>
    <x v="3"/>
    <x v="0"/>
  </r>
  <r>
    <n v="5470"/>
    <n v="15"/>
    <n v="5"/>
    <n v="1"/>
    <x v="1"/>
    <x v="1"/>
  </r>
  <r>
    <n v="296"/>
    <n v="20"/>
    <n v="15"/>
    <n v="10"/>
    <x v="2"/>
    <x v="1"/>
  </r>
  <r>
    <n v="2313"/>
    <n v="5"/>
    <n v="25"/>
    <n v="3"/>
    <x v="3"/>
    <x v="3"/>
  </r>
  <r>
    <n v="4100"/>
    <n v="14"/>
    <n v="30"/>
    <n v="1"/>
    <x v="6"/>
    <x v="2"/>
  </r>
  <r>
    <n v="914"/>
    <n v="8"/>
    <n v="30"/>
    <n v="7"/>
    <x v="0"/>
    <x v="3"/>
  </r>
  <r>
    <n v="4920"/>
    <n v="6"/>
    <n v="25"/>
    <n v="1"/>
    <x v="4"/>
    <x v="3"/>
  </r>
  <r>
    <n v="574"/>
    <n v="5"/>
    <n v="40"/>
    <n v="7"/>
    <x v="0"/>
    <x v="3"/>
  </r>
  <r>
    <n v="1880"/>
    <n v="8"/>
    <n v="50"/>
    <n v="3"/>
    <x v="0"/>
    <x v="3"/>
  </r>
  <r>
    <n v="5090"/>
    <n v="11"/>
    <n v="0"/>
    <n v="1"/>
    <x v="5"/>
    <x v="2"/>
  </r>
  <r>
    <n v="2950"/>
    <n v="10"/>
    <n v="25"/>
    <n v="1"/>
    <x v="6"/>
    <x v="2"/>
  </r>
  <r>
    <n v="409"/>
    <n v="12"/>
    <n v="40"/>
    <n v="10"/>
    <x v="6"/>
    <x v="2"/>
  </r>
  <r>
    <n v="997"/>
    <n v="2"/>
    <n v="35"/>
    <n v="3"/>
    <x v="4"/>
    <x v="0"/>
  </r>
  <r>
    <n v="993"/>
    <n v="19"/>
    <n v="10"/>
    <n v="6"/>
    <x v="4"/>
    <x v="1"/>
  </r>
  <r>
    <n v="1017"/>
    <n v="4"/>
    <n v="5"/>
    <n v="6"/>
    <x v="5"/>
    <x v="0"/>
  </r>
  <r>
    <n v="683"/>
    <n v="8"/>
    <n v="5"/>
    <n v="10"/>
    <x v="5"/>
    <x v="3"/>
  </r>
  <r>
    <n v="880"/>
    <n v="17"/>
    <n v="10"/>
    <n v="7"/>
    <x v="5"/>
    <x v="1"/>
  </r>
  <r>
    <n v="576"/>
    <n v="3"/>
    <n v="20"/>
    <n v="8"/>
    <x v="4"/>
    <x v="0"/>
  </r>
  <r>
    <n v="281"/>
    <n v="0"/>
    <n v="50"/>
    <n v="10"/>
    <x v="4"/>
    <x v="0"/>
  </r>
  <r>
    <n v="434"/>
    <n v="19"/>
    <n v="15"/>
    <n v="9"/>
    <x v="0"/>
    <x v="1"/>
  </r>
  <r>
    <n v="1473"/>
    <n v="1"/>
    <n v="5"/>
    <n v="4"/>
    <x v="6"/>
    <x v="0"/>
  </r>
  <r>
    <n v="618"/>
    <n v="4"/>
    <n v="15"/>
    <n v="9"/>
    <x v="3"/>
    <x v="0"/>
  </r>
  <r>
    <n v="401.9"/>
    <n v="13"/>
    <n v="5"/>
    <n v="10"/>
    <x v="5"/>
    <x v="2"/>
  </r>
  <r>
    <n v="905"/>
    <n v="2"/>
    <n v="15"/>
    <n v="4"/>
    <x v="6"/>
    <x v="0"/>
  </r>
  <r>
    <n v="1900"/>
    <n v="15"/>
    <n v="0"/>
    <n v="2"/>
    <x v="0"/>
    <x v="1"/>
  </r>
  <r>
    <n v="2100"/>
    <n v="17"/>
    <n v="5"/>
    <n v="2"/>
    <x v="0"/>
    <x v="1"/>
  </r>
  <r>
    <n v="1847"/>
    <n v="16"/>
    <n v="15"/>
    <n v="3"/>
    <x v="2"/>
    <x v="1"/>
  </r>
  <r>
    <n v="3600"/>
    <n v="12"/>
    <n v="5"/>
    <n v="1"/>
    <x v="2"/>
    <x v="2"/>
  </r>
  <r>
    <n v="5880"/>
    <n v="13"/>
    <n v="25"/>
    <n v="1"/>
    <x v="3"/>
    <x v="2"/>
  </r>
  <r>
    <n v="5140"/>
    <n v="13"/>
    <n v="45"/>
    <n v="1"/>
    <x v="1"/>
    <x v="2"/>
  </r>
  <r>
    <n v="320"/>
    <n v="19"/>
    <n v="25"/>
    <n v="9"/>
    <x v="6"/>
    <x v="1"/>
  </r>
  <r>
    <n v="819"/>
    <n v="12"/>
    <n v="20"/>
    <n v="7"/>
    <x v="1"/>
    <x v="2"/>
  </r>
  <r>
    <n v="6370"/>
    <n v="13"/>
    <n v="45"/>
    <n v="1"/>
    <x v="5"/>
    <x v="2"/>
  </r>
  <r>
    <n v="4770"/>
    <n v="3"/>
    <n v="35"/>
    <n v="1"/>
    <x v="2"/>
    <x v="0"/>
  </r>
  <r>
    <n v="377"/>
    <n v="20"/>
    <n v="25"/>
    <n v="9"/>
    <x v="3"/>
    <x v="1"/>
  </r>
  <r>
    <n v="6690"/>
    <n v="2"/>
    <n v="20"/>
    <n v="1"/>
    <x v="1"/>
    <x v="0"/>
  </r>
  <r>
    <n v="2790"/>
    <n v="16"/>
    <n v="40"/>
    <n v="1"/>
    <x v="5"/>
    <x v="1"/>
  </r>
  <r>
    <n v="6090"/>
    <n v="17"/>
    <n v="50"/>
    <n v="1"/>
    <x v="4"/>
    <x v="1"/>
  </r>
  <r>
    <n v="1158"/>
    <n v="14"/>
    <n v="40"/>
    <n v="4"/>
    <x v="3"/>
    <x v="2"/>
  </r>
  <r>
    <n v="5440"/>
    <n v="6"/>
    <n v="30"/>
    <n v="1"/>
    <x v="2"/>
    <x v="3"/>
  </r>
  <r>
    <n v="471"/>
    <n v="5"/>
    <n v="35"/>
    <n v="10"/>
    <x v="5"/>
    <x v="3"/>
  </r>
  <r>
    <n v="340"/>
    <n v="5"/>
    <n v="10"/>
    <n v="10"/>
    <x v="0"/>
    <x v="3"/>
  </r>
  <r>
    <n v="1825"/>
    <n v="19"/>
    <n v="15"/>
    <n v="2"/>
    <x v="1"/>
    <x v="1"/>
  </r>
  <r>
    <n v="1510"/>
    <n v="10"/>
    <n v="20"/>
    <n v="2"/>
    <x v="0"/>
    <x v="2"/>
  </r>
  <r>
    <n v="1175"/>
    <n v="14"/>
    <n v="30"/>
    <n v="4"/>
    <x v="2"/>
    <x v="2"/>
  </r>
  <r>
    <n v="3780"/>
    <n v="19"/>
    <n v="15"/>
    <n v="1"/>
    <x v="3"/>
    <x v="1"/>
  </r>
  <r>
    <n v="2915"/>
    <n v="15"/>
    <n v="45"/>
    <n v="2"/>
    <x v="5"/>
    <x v="1"/>
  </r>
  <r>
    <n v="4220"/>
    <n v="6"/>
    <n v="50"/>
    <n v="1"/>
    <x v="2"/>
    <x v="3"/>
  </r>
  <r>
    <n v="552"/>
    <n v="18"/>
    <n v="25"/>
    <n v="5"/>
    <x v="4"/>
    <x v="1"/>
  </r>
  <r>
    <n v="6160"/>
    <n v="5"/>
    <n v="20"/>
    <n v="1"/>
    <x v="5"/>
    <x v="3"/>
  </r>
  <r>
    <n v="1437"/>
    <n v="9"/>
    <n v="40"/>
    <n v="3"/>
    <x v="5"/>
    <x v="3"/>
  </r>
  <r>
    <n v="952"/>
    <n v="5"/>
    <n v="45"/>
    <n v="6"/>
    <x v="4"/>
    <x v="3"/>
  </r>
  <r>
    <n v="404"/>
    <n v="14"/>
    <n v="20"/>
    <n v="8"/>
    <x v="3"/>
    <x v="2"/>
  </r>
  <r>
    <n v="828"/>
    <n v="11"/>
    <n v="40"/>
    <n v="5"/>
    <x v="0"/>
    <x v="2"/>
  </r>
  <r>
    <n v="906"/>
    <n v="17"/>
    <n v="35"/>
    <n v="7"/>
    <x v="5"/>
    <x v="1"/>
  </r>
  <r>
    <n v="981"/>
    <n v="11"/>
    <n v="0"/>
    <n v="7"/>
    <x v="3"/>
    <x v="2"/>
  </r>
  <r>
    <n v="1510"/>
    <n v="20"/>
    <n v="10"/>
    <n v="3"/>
    <x v="5"/>
    <x v="1"/>
  </r>
  <r>
    <n v="1563"/>
    <n v="13"/>
    <n v="35"/>
    <n v="4"/>
    <x v="4"/>
    <x v="2"/>
  </r>
  <r>
    <n v="531"/>
    <n v="19"/>
    <n v="10"/>
    <n v="7"/>
    <x v="2"/>
    <x v="1"/>
  </r>
  <r>
    <n v="839"/>
    <n v="11"/>
    <n v="20"/>
    <n v="8"/>
    <x v="1"/>
    <x v="2"/>
  </r>
  <r>
    <n v="3650"/>
    <n v="6"/>
    <n v="5"/>
    <n v="1"/>
    <x v="2"/>
    <x v="3"/>
  </r>
  <r>
    <n v="1100"/>
    <n v="4"/>
    <n v="5"/>
    <n v="4"/>
    <x v="0"/>
    <x v="0"/>
  </r>
  <r>
    <n v="584"/>
    <n v="6"/>
    <n v="10"/>
    <n v="8"/>
    <x v="1"/>
    <x v="3"/>
  </r>
  <r>
    <n v="5250"/>
    <n v="16"/>
    <n v="20"/>
    <n v="1"/>
    <x v="6"/>
    <x v="1"/>
  </r>
  <r>
    <n v="905"/>
    <n v="11"/>
    <n v="15"/>
    <n v="4"/>
    <x v="6"/>
    <x v="2"/>
  </r>
  <r>
    <n v="3800"/>
    <n v="9"/>
    <n v="35"/>
    <n v="1"/>
    <x v="4"/>
    <x v="3"/>
  </r>
  <r>
    <n v="2095"/>
    <n v="9"/>
    <n v="35"/>
    <n v="2"/>
    <x v="6"/>
    <x v="3"/>
  </r>
  <r>
    <n v="6890"/>
    <n v="19"/>
    <n v="0"/>
    <n v="1"/>
    <x v="0"/>
    <x v="1"/>
  </r>
  <r>
    <n v="1117"/>
    <n v="10"/>
    <n v="45"/>
    <n v="3"/>
    <x v="4"/>
    <x v="2"/>
  </r>
  <r>
    <n v="5900"/>
    <n v="11"/>
    <n v="15"/>
    <n v="1"/>
    <x v="2"/>
    <x v="2"/>
  </r>
  <r>
    <n v="3240"/>
    <n v="18"/>
    <n v="15"/>
    <n v="2"/>
    <x v="4"/>
    <x v="1"/>
  </r>
  <r>
    <n v="1530"/>
    <n v="6"/>
    <n v="0"/>
    <n v="3"/>
    <x v="0"/>
    <x v="3"/>
  </r>
  <r>
    <n v="388"/>
    <n v="18"/>
    <n v="30"/>
    <n v="8"/>
    <x v="1"/>
    <x v="1"/>
  </r>
  <r>
    <n v="3360"/>
    <n v="3"/>
    <n v="30"/>
    <n v="1"/>
    <x v="4"/>
    <x v="0"/>
  </r>
  <r>
    <n v="608"/>
    <n v="19"/>
    <n v="10"/>
    <n v="9"/>
    <x v="5"/>
    <x v="1"/>
  </r>
  <r>
    <n v="904"/>
    <n v="9"/>
    <n v="25"/>
    <n v="7"/>
    <x v="1"/>
    <x v="3"/>
  </r>
  <r>
    <n v="1028"/>
    <n v="11"/>
    <n v="5"/>
    <n v="6"/>
    <x v="2"/>
    <x v="2"/>
  </r>
  <r>
    <n v="6790"/>
    <n v="5"/>
    <n v="10"/>
    <n v="1"/>
    <x v="0"/>
    <x v="3"/>
  </r>
  <r>
    <n v="852"/>
    <n v="18"/>
    <n v="45"/>
    <n v="5"/>
    <x v="4"/>
    <x v="1"/>
  </r>
  <r>
    <n v="918"/>
    <n v="5"/>
    <n v="10"/>
    <n v="6"/>
    <x v="6"/>
    <x v="3"/>
  </r>
  <r>
    <n v="1527"/>
    <n v="10"/>
    <n v="45"/>
    <n v="3"/>
    <x v="1"/>
    <x v="2"/>
  </r>
  <r>
    <n v="6640"/>
    <n v="18"/>
    <n v="35"/>
    <n v="1"/>
    <x v="5"/>
    <x v="1"/>
  </r>
  <r>
    <n v="3200"/>
    <n v="1"/>
    <n v="25"/>
    <n v="1"/>
    <x v="6"/>
    <x v="0"/>
  </r>
  <r>
    <n v="6310"/>
    <n v="6"/>
    <n v="30"/>
    <n v="1"/>
    <x v="5"/>
    <x v="3"/>
  </r>
  <r>
    <n v="403"/>
    <n v="20"/>
    <n v="20"/>
    <n v="8"/>
    <x v="6"/>
    <x v="1"/>
  </r>
  <r>
    <n v="648"/>
    <n v="18"/>
    <n v="30"/>
    <n v="9"/>
    <x v="2"/>
    <x v="1"/>
  </r>
  <r>
    <n v="4930"/>
    <n v="10"/>
    <n v="10"/>
    <n v="1"/>
    <x v="3"/>
    <x v="2"/>
  </r>
  <r>
    <n v="496"/>
    <n v="17"/>
    <n v="35"/>
    <n v="10"/>
    <x v="0"/>
    <x v="1"/>
  </r>
  <r>
    <n v="1338"/>
    <n v="20"/>
    <n v="30"/>
    <n v="4"/>
    <x v="3"/>
    <x v="1"/>
  </r>
  <r>
    <n v="4190"/>
    <n v="13"/>
    <n v="0"/>
    <n v="1"/>
    <x v="4"/>
    <x v="2"/>
  </r>
  <r>
    <n v="610"/>
    <n v="17"/>
    <n v="0"/>
    <n v="10"/>
    <x v="0"/>
    <x v="1"/>
  </r>
  <r>
    <n v="5220"/>
    <n v="0"/>
    <n v="15"/>
    <n v="1"/>
    <x v="6"/>
    <x v="0"/>
  </r>
  <r>
    <n v="457"/>
    <n v="7"/>
    <n v="20"/>
    <n v="9"/>
    <x v="2"/>
    <x v="3"/>
  </r>
  <r>
    <n v="991"/>
    <n v="18"/>
    <n v="5"/>
    <n v="7"/>
    <x v="6"/>
    <x v="1"/>
  </r>
  <r>
    <n v="1083"/>
    <n v="2"/>
    <n v="35"/>
    <n v="3"/>
    <x v="6"/>
    <x v="0"/>
  </r>
  <r>
    <n v="380"/>
    <n v="20"/>
    <n v="10"/>
    <n v="8"/>
    <x v="1"/>
    <x v="1"/>
  </r>
  <r>
    <n v="849"/>
    <n v="13"/>
    <n v="50"/>
    <n v="8"/>
    <x v="0"/>
    <x v="2"/>
  </r>
  <r>
    <n v="1453"/>
    <n v="5"/>
    <n v="50"/>
    <n v="3"/>
    <x v="0"/>
    <x v="3"/>
  </r>
  <r>
    <n v="4060"/>
    <n v="5"/>
    <n v="30"/>
    <n v="1"/>
    <x v="3"/>
    <x v="3"/>
  </r>
  <r>
    <n v="997"/>
    <n v="11"/>
    <n v="10"/>
    <n v="6"/>
    <x v="1"/>
    <x v="2"/>
  </r>
  <r>
    <n v="3445"/>
    <n v="10"/>
    <n v="50"/>
    <n v="2"/>
    <x v="6"/>
    <x v="2"/>
  </r>
  <r>
    <n v="1158"/>
    <n v="12"/>
    <n v="25"/>
    <n v="5"/>
    <x v="5"/>
    <x v="2"/>
  </r>
  <r>
    <n v="3250"/>
    <n v="10"/>
    <n v="15"/>
    <n v="1"/>
    <x v="3"/>
    <x v="2"/>
  </r>
  <r>
    <n v="6940"/>
    <n v="18"/>
    <n v="35"/>
    <n v="1"/>
    <x v="6"/>
    <x v="1"/>
  </r>
  <r>
    <n v="2725"/>
    <n v="11"/>
    <n v="45"/>
    <n v="2"/>
    <x v="3"/>
    <x v="2"/>
  </r>
  <r>
    <n v="6000"/>
    <n v="19"/>
    <n v="15"/>
    <n v="1"/>
    <x v="5"/>
    <x v="1"/>
  </r>
  <r>
    <n v="628"/>
    <n v="12"/>
    <n v="15"/>
    <n v="8"/>
    <x v="6"/>
    <x v="2"/>
  </r>
  <r>
    <n v="3250"/>
    <n v="17"/>
    <n v="10"/>
    <n v="2"/>
    <x v="1"/>
    <x v="1"/>
  </r>
  <r>
    <n v="469"/>
    <n v="15"/>
    <n v="15"/>
    <n v="7"/>
    <x v="0"/>
    <x v="1"/>
  </r>
  <r>
    <n v="5590"/>
    <n v="13"/>
    <n v="0"/>
    <n v="1"/>
    <x v="1"/>
    <x v="2"/>
  </r>
  <r>
    <n v="1680"/>
    <n v="10"/>
    <n v="35"/>
    <n v="4"/>
    <x v="5"/>
    <x v="2"/>
  </r>
  <r>
    <n v="526"/>
    <n v="16"/>
    <n v="45"/>
    <n v="7"/>
    <x v="0"/>
    <x v="1"/>
  </r>
  <r>
    <n v="4240"/>
    <n v="1"/>
    <n v="40"/>
    <n v="1"/>
    <x v="6"/>
    <x v="0"/>
  </r>
  <r>
    <n v="622"/>
    <n v="10"/>
    <n v="10"/>
    <n v="10"/>
    <x v="1"/>
    <x v="2"/>
  </r>
  <r>
    <n v="372"/>
    <n v="15"/>
    <n v="40"/>
    <n v="9"/>
    <x v="1"/>
    <x v="1"/>
  </r>
  <r>
    <n v="509"/>
    <n v="4"/>
    <n v="10"/>
    <n v="10"/>
    <x v="5"/>
    <x v="0"/>
  </r>
  <r>
    <n v="1228"/>
    <n v="0"/>
    <n v="5"/>
    <n v="4"/>
    <x v="1"/>
    <x v="0"/>
  </r>
  <r>
    <n v="1360"/>
    <n v="12"/>
    <n v="25"/>
    <n v="3"/>
    <x v="2"/>
    <x v="2"/>
  </r>
  <r>
    <n v="4650"/>
    <n v="2"/>
    <n v="50"/>
    <n v="1"/>
    <x v="2"/>
    <x v="0"/>
  </r>
  <r>
    <n v="2860"/>
    <n v="14"/>
    <n v="35"/>
    <n v="1"/>
    <x v="0"/>
    <x v="2"/>
  </r>
  <r>
    <n v="1615"/>
    <n v="2"/>
    <n v="5"/>
    <n v="4"/>
    <x v="4"/>
    <x v="0"/>
  </r>
  <r>
    <n v="1650"/>
    <n v="10"/>
    <n v="15"/>
    <n v="2"/>
    <x v="0"/>
    <x v="2"/>
  </r>
  <r>
    <n v="5870"/>
    <n v="19"/>
    <n v="45"/>
    <n v="1"/>
    <x v="5"/>
    <x v="1"/>
  </r>
  <r>
    <n v="4450"/>
    <n v="10"/>
    <n v="25"/>
    <n v="1"/>
    <x v="2"/>
    <x v="2"/>
  </r>
  <r>
    <n v="6830"/>
    <n v="3"/>
    <n v="25"/>
    <n v="1"/>
    <x v="3"/>
    <x v="0"/>
  </r>
  <r>
    <n v="3940"/>
    <n v="9"/>
    <n v="30"/>
    <n v="1"/>
    <x v="4"/>
    <x v="3"/>
  </r>
  <r>
    <n v="2480"/>
    <n v="15"/>
    <n v="35"/>
    <n v="2"/>
    <x v="2"/>
    <x v="1"/>
  </r>
  <r>
    <n v="1285"/>
    <n v="8"/>
    <n v="40"/>
    <n v="4"/>
    <x v="1"/>
    <x v="3"/>
  </r>
  <r>
    <n v="2870"/>
    <n v="17"/>
    <n v="50"/>
    <n v="1"/>
    <x v="0"/>
    <x v="1"/>
  </r>
  <r>
    <n v="1483.5"/>
    <n v="1"/>
    <n v="45"/>
    <n v="3"/>
    <x v="4"/>
    <x v="0"/>
  </r>
  <r>
    <n v="4590"/>
    <n v="1"/>
    <n v="40"/>
    <n v="1"/>
    <x v="1"/>
    <x v="0"/>
  </r>
  <r>
    <n v="3350"/>
    <n v="9"/>
    <n v="45"/>
    <n v="1"/>
    <x v="0"/>
    <x v="3"/>
  </r>
  <r>
    <n v="5940"/>
    <n v="8"/>
    <n v="35"/>
    <n v="1"/>
    <x v="4"/>
    <x v="3"/>
  </r>
  <r>
    <n v="1137"/>
    <n v="20"/>
    <n v="30"/>
    <n v="6"/>
    <x v="3"/>
    <x v="1"/>
  </r>
  <r>
    <n v="1396"/>
    <n v="2"/>
    <n v="45"/>
    <n v="5"/>
    <x v="2"/>
    <x v="0"/>
  </r>
  <r>
    <n v="6490"/>
    <n v="1"/>
    <n v="50"/>
    <n v="1"/>
    <x v="4"/>
    <x v="0"/>
  </r>
  <r>
    <n v="326"/>
    <n v="17"/>
    <n v="40"/>
    <n v="9"/>
    <x v="0"/>
    <x v="1"/>
  </r>
  <r>
    <n v="5900"/>
    <n v="6"/>
    <n v="5"/>
    <n v="1"/>
    <x v="2"/>
    <x v="3"/>
  </r>
  <r>
    <n v="1897"/>
    <n v="16"/>
    <n v="5"/>
    <n v="3"/>
    <x v="0"/>
    <x v="1"/>
  </r>
  <r>
    <n v="835"/>
    <n v="15"/>
    <n v="5"/>
    <n v="4"/>
    <x v="4"/>
    <x v="1"/>
  </r>
  <r>
    <n v="1022"/>
    <n v="4"/>
    <n v="5"/>
    <n v="6"/>
    <x v="3"/>
    <x v="0"/>
  </r>
  <r>
    <n v="1680"/>
    <n v="6"/>
    <n v="15"/>
    <n v="3"/>
    <x v="0"/>
    <x v="3"/>
  </r>
  <r>
    <n v="510"/>
    <n v="5"/>
    <n v="0"/>
    <n v="8"/>
    <x v="2"/>
    <x v="3"/>
  </r>
  <r>
    <n v="1893"/>
    <n v="5"/>
    <n v="40"/>
    <n v="3"/>
    <x v="5"/>
    <x v="3"/>
  </r>
  <r>
    <n v="4620"/>
    <n v="20"/>
    <n v="20"/>
    <n v="1"/>
    <x v="3"/>
    <x v="1"/>
  </r>
  <r>
    <n v="3500"/>
    <n v="7"/>
    <n v="20"/>
    <n v="1"/>
    <x v="0"/>
    <x v="3"/>
  </r>
  <r>
    <n v="5890"/>
    <n v="6"/>
    <n v="45"/>
    <n v="1"/>
    <x v="6"/>
    <x v="3"/>
  </r>
  <r>
    <n v="636"/>
    <n v="20"/>
    <n v="40"/>
    <n v="8"/>
    <x v="5"/>
    <x v="1"/>
  </r>
  <r>
    <n v="1543"/>
    <n v="9"/>
    <n v="45"/>
    <n v="4"/>
    <x v="4"/>
    <x v="3"/>
  </r>
  <r>
    <n v="306"/>
    <n v="3"/>
    <n v="45"/>
    <n v="9"/>
    <x v="0"/>
    <x v="0"/>
  </r>
  <r>
    <n v="1690"/>
    <n v="11"/>
    <n v="40"/>
    <n v="3"/>
    <x v="1"/>
    <x v="2"/>
  </r>
  <r>
    <n v="606"/>
    <n v="16"/>
    <n v="30"/>
    <n v="7"/>
    <x v="6"/>
    <x v="1"/>
  </r>
  <r>
    <n v="5910"/>
    <n v="17"/>
    <n v="5"/>
    <n v="1"/>
    <x v="4"/>
    <x v="1"/>
  </r>
  <r>
    <n v="339"/>
    <n v="18"/>
    <n v="25"/>
    <n v="10"/>
    <x v="6"/>
    <x v="1"/>
  </r>
  <r>
    <n v="4060"/>
    <n v="4"/>
    <n v="25"/>
    <n v="1"/>
    <x v="4"/>
    <x v="0"/>
  </r>
  <r>
    <n v="1160"/>
    <n v="0"/>
    <n v="25"/>
    <n v="6"/>
    <x v="0"/>
    <x v="0"/>
  </r>
  <r>
    <n v="394"/>
    <n v="12"/>
    <n v="30"/>
    <n v="9"/>
    <x v="2"/>
    <x v="2"/>
  </r>
  <r>
    <n v="930"/>
    <n v="7"/>
    <n v="35"/>
    <n v="7"/>
    <x v="4"/>
    <x v="3"/>
  </r>
  <r>
    <n v="366"/>
    <n v="7"/>
    <n v="35"/>
    <n v="10"/>
    <x v="2"/>
    <x v="3"/>
  </r>
  <r>
    <n v="413"/>
    <n v="11"/>
    <n v="10"/>
    <n v="9"/>
    <x v="3"/>
    <x v="2"/>
  </r>
  <r>
    <n v="357.5"/>
    <n v="10"/>
    <n v="25"/>
    <n v="9"/>
    <x v="0"/>
    <x v="2"/>
  </r>
  <r>
    <n v="2825"/>
    <n v="2"/>
    <n v="10"/>
    <n v="2"/>
    <x v="6"/>
    <x v="0"/>
  </r>
  <r>
    <n v="608"/>
    <n v="1"/>
    <n v="15"/>
    <n v="6"/>
    <x v="1"/>
    <x v="0"/>
  </r>
  <r>
    <n v="4130"/>
    <n v="18"/>
    <n v="0"/>
    <n v="1"/>
    <x v="4"/>
    <x v="1"/>
  </r>
  <r>
    <n v="851"/>
    <n v="15"/>
    <n v="30"/>
    <n v="8"/>
    <x v="2"/>
    <x v="1"/>
  </r>
  <r>
    <n v="422"/>
    <n v="20"/>
    <n v="10"/>
    <n v="9"/>
    <x v="2"/>
    <x v="1"/>
  </r>
  <r>
    <n v="698"/>
    <n v="15"/>
    <n v="0"/>
    <n v="9"/>
    <x v="5"/>
    <x v="1"/>
  </r>
  <r>
    <n v="657"/>
    <n v="2"/>
    <n v="45"/>
    <n v="7"/>
    <x v="3"/>
    <x v="0"/>
  </r>
  <r>
    <n v="957"/>
    <n v="5"/>
    <n v="35"/>
    <n v="3"/>
    <x v="3"/>
    <x v="3"/>
  </r>
  <r>
    <n v="2790"/>
    <n v="18"/>
    <n v="30"/>
    <n v="1"/>
    <x v="3"/>
    <x v="1"/>
  </r>
  <r>
    <n v="585"/>
    <n v="6"/>
    <n v="5"/>
    <n v="10"/>
    <x v="2"/>
    <x v="3"/>
  </r>
  <r>
    <n v="1323"/>
    <n v="2"/>
    <n v="50"/>
    <n v="4"/>
    <x v="4"/>
    <x v="0"/>
  </r>
  <r>
    <n v="5490"/>
    <n v="17"/>
    <n v="0"/>
    <n v="1"/>
    <x v="3"/>
    <x v="1"/>
  </r>
  <r>
    <n v="484"/>
    <n v="8"/>
    <n v="0"/>
    <n v="9"/>
    <x v="6"/>
    <x v="3"/>
  </r>
  <r>
    <n v="950"/>
    <n v="8"/>
    <n v="30"/>
    <n v="3"/>
    <x v="3"/>
    <x v="3"/>
  </r>
  <r>
    <n v="672"/>
    <n v="14"/>
    <n v="20"/>
    <n v="5"/>
    <x v="3"/>
    <x v="2"/>
  </r>
  <r>
    <n v="315"/>
    <n v="13"/>
    <n v="15"/>
    <n v="10"/>
    <x v="1"/>
    <x v="2"/>
  </r>
  <r>
    <n v="513"/>
    <n v="2"/>
    <n v="50"/>
    <n v="10"/>
    <x v="1"/>
    <x v="0"/>
  </r>
  <r>
    <n v="417"/>
    <n v="12"/>
    <n v="0"/>
    <n v="9"/>
    <x v="1"/>
    <x v="2"/>
  </r>
  <r>
    <n v="3485"/>
    <n v="20"/>
    <n v="25"/>
    <n v="2"/>
    <x v="1"/>
    <x v="1"/>
  </r>
  <r>
    <n v="2165"/>
    <n v="16"/>
    <n v="0"/>
    <n v="2"/>
    <x v="5"/>
    <x v="1"/>
  </r>
  <r>
    <n v="4870"/>
    <n v="11"/>
    <n v="0"/>
    <n v="1"/>
    <x v="2"/>
    <x v="2"/>
  </r>
  <r>
    <n v="3820"/>
    <n v="14"/>
    <n v="25"/>
    <n v="1"/>
    <x v="0"/>
    <x v="2"/>
  </r>
  <r>
    <n v="822"/>
    <n v="7"/>
    <n v="35"/>
    <n v="6"/>
    <x v="0"/>
    <x v="3"/>
  </r>
  <r>
    <n v="714"/>
    <n v="2"/>
    <n v="30"/>
    <n v="7"/>
    <x v="2"/>
    <x v="0"/>
  </r>
  <r>
    <n v="3710"/>
    <n v="2"/>
    <n v="40"/>
    <n v="1"/>
    <x v="0"/>
    <x v="0"/>
  </r>
  <r>
    <n v="474"/>
    <n v="13"/>
    <n v="40"/>
    <n v="7"/>
    <x v="5"/>
    <x v="2"/>
  </r>
  <r>
    <n v="3220"/>
    <n v="12"/>
    <n v="40"/>
    <n v="1"/>
    <x v="0"/>
    <x v="2"/>
  </r>
  <r>
    <n v="6270"/>
    <n v="14"/>
    <n v="5"/>
    <n v="1"/>
    <x v="6"/>
    <x v="2"/>
  </r>
  <r>
    <n v="773"/>
    <n v="12"/>
    <n v="30"/>
    <n v="8"/>
    <x v="0"/>
    <x v="2"/>
  </r>
  <r>
    <n v="590"/>
    <n v="0"/>
    <n v="45"/>
    <n v="10"/>
    <x v="6"/>
    <x v="0"/>
  </r>
  <r>
    <n v="569"/>
    <n v="2"/>
    <n v="20"/>
    <n v="10"/>
    <x v="2"/>
    <x v="0"/>
  </r>
  <r>
    <n v="3730"/>
    <n v="17"/>
    <n v="40"/>
    <n v="1"/>
    <x v="2"/>
    <x v="1"/>
  </r>
  <r>
    <n v="3160"/>
    <n v="11"/>
    <n v="20"/>
    <n v="1"/>
    <x v="1"/>
    <x v="2"/>
  </r>
  <r>
    <n v="596"/>
    <n v="6"/>
    <n v="25"/>
    <n v="7"/>
    <x v="4"/>
    <x v="3"/>
  </r>
  <r>
    <n v="6170"/>
    <n v="14"/>
    <n v="20"/>
    <n v="1"/>
    <x v="3"/>
    <x v="2"/>
  </r>
  <r>
    <n v="1300"/>
    <n v="14"/>
    <n v="40"/>
    <n v="4"/>
    <x v="5"/>
    <x v="2"/>
  </r>
  <r>
    <n v="345"/>
    <n v="7"/>
    <n v="10"/>
    <n v="10"/>
    <x v="5"/>
    <x v="3"/>
  </r>
  <r>
    <n v="1623"/>
    <n v="6"/>
    <n v="35"/>
    <n v="4"/>
    <x v="2"/>
    <x v="3"/>
  </r>
  <r>
    <n v="6450"/>
    <n v="3"/>
    <n v="25"/>
    <n v="1"/>
    <x v="6"/>
    <x v="0"/>
  </r>
  <r>
    <n v="6140"/>
    <n v="19"/>
    <n v="45"/>
    <n v="1"/>
    <x v="5"/>
    <x v="1"/>
  </r>
  <r>
    <n v="1640"/>
    <n v="5"/>
    <n v="15"/>
    <n v="4"/>
    <x v="6"/>
    <x v="3"/>
  </r>
  <r>
    <n v="610"/>
    <n v="11"/>
    <n v="35"/>
    <n v="10"/>
    <x v="4"/>
    <x v="2"/>
  </r>
  <r>
    <n v="531"/>
    <n v="18"/>
    <n v="30"/>
    <n v="10"/>
    <x v="2"/>
    <x v="1"/>
  </r>
  <r>
    <n v="588"/>
    <n v="14"/>
    <n v="20"/>
    <n v="5"/>
    <x v="1"/>
    <x v="2"/>
  </r>
  <r>
    <n v="4630"/>
    <n v="18"/>
    <n v="25"/>
    <n v="1"/>
    <x v="1"/>
    <x v="1"/>
  </r>
  <r>
    <n v="669.9"/>
    <n v="6"/>
    <n v="0"/>
    <n v="9"/>
    <x v="1"/>
    <x v="3"/>
  </r>
  <r>
    <n v="4250"/>
    <n v="19"/>
    <n v="35"/>
    <n v="1"/>
    <x v="6"/>
    <x v="1"/>
  </r>
  <r>
    <n v="5970"/>
    <n v="5"/>
    <n v="20"/>
    <n v="1"/>
    <x v="5"/>
    <x v="3"/>
  </r>
  <r>
    <n v="386"/>
    <n v="14"/>
    <n v="15"/>
    <n v="10"/>
    <x v="1"/>
    <x v="2"/>
  </r>
  <r>
    <n v="510"/>
    <n v="8"/>
    <n v="20"/>
    <n v="10"/>
    <x v="2"/>
    <x v="3"/>
  </r>
  <r>
    <n v="4490"/>
    <n v="1"/>
    <n v="5"/>
    <n v="1"/>
    <x v="3"/>
    <x v="0"/>
  </r>
  <r>
    <n v="6880"/>
    <n v="0"/>
    <n v="40"/>
    <n v="1"/>
    <x v="4"/>
    <x v="0"/>
  </r>
  <r>
    <n v="1208"/>
    <n v="15"/>
    <n v="0"/>
    <n v="4"/>
    <x v="5"/>
    <x v="1"/>
  </r>
  <r>
    <n v="5100"/>
    <n v="13"/>
    <n v="45"/>
    <n v="1"/>
    <x v="2"/>
    <x v="2"/>
  </r>
  <r>
    <n v="900"/>
    <n v="0"/>
    <n v="40"/>
    <n v="7"/>
    <x v="3"/>
    <x v="0"/>
  </r>
  <r>
    <n v="911"/>
    <n v="5"/>
    <n v="10"/>
    <n v="7"/>
    <x v="5"/>
    <x v="3"/>
  </r>
  <r>
    <n v="463"/>
    <n v="8"/>
    <n v="20"/>
    <n v="7"/>
    <x v="1"/>
    <x v="3"/>
  </r>
  <r>
    <n v="641.20000000000005"/>
    <n v="12"/>
    <n v="14"/>
    <n v="6"/>
    <x v="4"/>
    <x v="2"/>
  </r>
  <r>
    <n v="550"/>
    <n v="14"/>
    <n v="45"/>
    <n v="7"/>
    <x v="6"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00">
  <r>
    <n v="1445.5"/>
    <n v="3"/>
    <n v="27"/>
    <n v="4"/>
    <x v="0"/>
    <n v="44"/>
    <n v="390.29"/>
    <n v="1166.5"/>
    <n v="1879.79"/>
    <n v="0"/>
    <n v="0"/>
  </r>
  <r>
    <n v="2690"/>
    <n v="1"/>
    <n v="5"/>
    <n v="2"/>
    <x v="1"/>
    <n v="27"/>
    <n v="134.5"/>
    <n v="2333"/>
    <n v="2851.5"/>
    <n v="0"/>
    <n v="0"/>
  </r>
  <r>
    <n v="3300"/>
    <n v="19"/>
    <n v="30"/>
    <n v="1"/>
    <x v="0"/>
    <n v="627"/>
    <n v="990"/>
    <n v="4666"/>
    <n v="4917"/>
    <n v="0"/>
    <n v="0"/>
  </r>
  <r>
    <n v="3900"/>
    <n v="1"/>
    <n v="10"/>
    <n v="1"/>
    <x v="1"/>
    <n v="39"/>
    <n v="390"/>
    <n v="4666"/>
    <n v="4329"/>
    <n v="1"/>
    <n v="337"/>
  </r>
  <r>
    <n v="3560"/>
    <n v="17"/>
    <n v="29"/>
    <n v="1"/>
    <x v="2"/>
    <n v="606"/>
    <n v="1032.4000000000001"/>
    <n v="4666"/>
    <n v="5198.3999999999996"/>
    <n v="0"/>
    <n v="0"/>
  </r>
  <r>
    <n v="586"/>
    <n v="10"/>
    <n v="1"/>
    <n v="7"/>
    <x v="1"/>
    <n v="59"/>
    <n v="5.86"/>
    <n v="666.57"/>
    <n v="650.86"/>
    <n v="1"/>
    <n v="15.710000000000036"/>
  </r>
  <r>
    <n v="520"/>
    <n v="9"/>
    <n v="40"/>
    <n v="9"/>
    <x v="3"/>
    <n v="47"/>
    <n v="208"/>
    <n v="518.44000000000005"/>
    <n v="775"/>
    <n v="0"/>
    <n v="0"/>
  </r>
  <r>
    <n v="3980"/>
    <n v="3"/>
    <n v="25"/>
    <n v="1"/>
    <x v="4"/>
    <n v="120"/>
    <n v="995"/>
    <n v="4666"/>
    <n v="5095"/>
    <n v="0"/>
    <n v="0"/>
  </r>
  <r>
    <n v="409.5"/>
    <n v="0"/>
    <n v="30"/>
    <n v="9"/>
    <x v="1"/>
    <n v="0"/>
    <n v="122.85"/>
    <n v="518.44000000000005"/>
    <n v="532.35"/>
    <n v="0"/>
    <n v="0"/>
  </r>
  <r>
    <n v="1475"/>
    <n v="5"/>
    <n v="15"/>
    <n v="4"/>
    <x v="5"/>
    <n v="74"/>
    <n v="221.25"/>
    <n v="1166.5"/>
    <n v="1770.25"/>
    <n v="0"/>
    <n v="0"/>
  </r>
  <r>
    <n v="906"/>
    <n v="14"/>
    <n v="5"/>
    <n v="5"/>
    <x v="2"/>
    <n v="127"/>
    <n v="45.3"/>
    <n v="933.2"/>
    <n v="1078.3"/>
    <n v="0"/>
    <n v="0"/>
  </r>
  <r>
    <n v="2825"/>
    <n v="12"/>
    <n v="15"/>
    <n v="2"/>
    <x v="5"/>
    <n v="339"/>
    <n v="423.75"/>
    <n v="2333"/>
    <n v="3587.75"/>
    <n v="0"/>
    <n v="0"/>
  </r>
  <r>
    <n v="5810"/>
    <n v="2"/>
    <n v="5"/>
    <n v="1"/>
    <x v="3"/>
    <n v="117"/>
    <n v="290.5"/>
    <n v="4666"/>
    <n v="6217.5"/>
    <n v="0"/>
    <n v="0"/>
  </r>
  <r>
    <n v="889.7"/>
    <n v="3"/>
    <n v="45"/>
    <n v="7"/>
    <x v="2"/>
    <n v="27"/>
    <n v="400.37"/>
    <n v="666.57"/>
    <n v="1317.0700000000002"/>
    <n v="0"/>
    <n v="0"/>
  </r>
  <r>
    <n v="5410"/>
    <n v="7"/>
    <n v="50"/>
    <n v="1"/>
    <x v="0"/>
    <n v="379"/>
    <n v="2705"/>
    <n v="4666"/>
    <n v="8494"/>
    <n v="0"/>
    <n v="0"/>
  </r>
  <r>
    <n v="533"/>
    <n v="6"/>
    <n v="5"/>
    <n v="8"/>
    <x v="2"/>
    <n v="32"/>
    <n v="26.65"/>
    <n v="583.25"/>
    <n v="591.65"/>
    <n v="0"/>
    <n v="0"/>
  </r>
  <r>
    <n v="502"/>
    <n v="1"/>
    <n v="35"/>
    <n v="6"/>
    <x v="1"/>
    <n v="6"/>
    <n v="175.7"/>
    <n v="777.67"/>
    <n v="683.7"/>
    <n v="1"/>
    <n v="93.969999999999914"/>
  </r>
  <r>
    <n v="628"/>
    <n v="15"/>
    <n v="15"/>
    <n v="8"/>
    <x v="2"/>
    <n v="95"/>
    <n v="94.2"/>
    <n v="583.25"/>
    <n v="817.2"/>
    <n v="0"/>
    <n v="0"/>
  </r>
  <r>
    <n v="5640"/>
    <n v="12"/>
    <n v="40"/>
    <n v="1"/>
    <x v="1"/>
    <n v="677"/>
    <n v="2256"/>
    <n v="4666"/>
    <n v="8573"/>
    <n v="0"/>
    <n v="0"/>
  </r>
  <r>
    <n v="4470"/>
    <n v="3"/>
    <n v="40"/>
    <n v="1"/>
    <x v="6"/>
    <n v="135"/>
    <n v="1788"/>
    <n v="4666"/>
    <n v="6393"/>
    <n v="0"/>
    <n v="0"/>
  </r>
  <r>
    <n v="7000"/>
    <n v="3"/>
    <n v="40"/>
    <n v="1"/>
    <x v="4"/>
    <n v="210"/>
    <n v="2800"/>
    <n v="4666"/>
    <n v="10010"/>
    <n v="0"/>
    <n v="0"/>
  </r>
  <r>
    <n v="1020"/>
    <n v="15"/>
    <n v="10"/>
    <n v="5"/>
    <x v="6"/>
    <n v="153"/>
    <n v="102"/>
    <n v="933.2"/>
    <n v="1275"/>
    <n v="0"/>
    <n v="0"/>
  </r>
  <r>
    <n v="534.5"/>
    <n v="15"/>
    <n v="35"/>
    <n v="8"/>
    <x v="2"/>
    <n v="81"/>
    <n v="187.08"/>
    <n v="583.25"/>
    <n v="802.58"/>
    <n v="0"/>
    <n v="0"/>
  </r>
  <r>
    <n v="2113"/>
    <n v="4"/>
    <n v="20"/>
    <n v="3"/>
    <x v="0"/>
    <n v="85"/>
    <n v="422.6"/>
    <n v="1555.33"/>
    <n v="2620.6"/>
    <n v="0"/>
    <n v="0"/>
  </r>
  <r>
    <n v="623"/>
    <n v="5"/>
    <n v="5"/>
    <n v="7"/>
    <x v="6"/>
    <n v="32"/>
    <n v="31.15"/>
    <n v="666.57"/>
    <n v="686.15"/>
    <n v="0"/>
    <n v="0"/>
  </r>
  <r>
    <n v="530"/>
    <n v="8"/>
    <n v="5"/>
    <n v="9"/>
    <x v="3"/>
    <n v="43"/>
    <n v="26.5"/>
    <n v="518.44000000000005"/>
    <n v="599.5"/>
    <n v="0"/>
    <n v="0"/>
  </r>
  <r>
    <n v="406"/>
    <n v="15"/>
    <n v="45"/>
    <n v="9"/>
    <x v="6"/>
    <n v="61"/>
    <n v="182.7"/>
    <n v="518.44000000000005"/>
    <n v="649.70000000000005"/>
    <n v="0"/>
    <n v="0"/>
  </r>
  <r>
    <n v="1047"/>
    <n v="12"/>
    <n v="30"/>
    <n v="6"/>
    <x v="2"/>
    <n v="126"/>
    <n v="314.10000000000002"/>
    <n v="777.67"/>
    <n v="1487.1"/>
    <n v="0"/>
    <n v="0"/>
  </r>
  <r>
    <n v="4450"/>
    <n v="8"/>
    <n v="15"/>
    <n v="1"/>
    <x v="3"/>
    <n v="356"/>
    <n v="667.5"/>
    <n v="4666"/>
    <n v="5473.5"/>
    <n v="0"/>
    <n v="0"/>
  </r>
  <r>
    <n v="3690"/>
    <n v="16"/>
    <n v="5"/>
    <n v="1"/>
    <x v="1"/>
    <n v="591"/>
    <n v="184.5"/>
    <n v="4666"/>
    <n v="4465.5"/>
    <n v="1"/>
    <n v="200.5"/>
  </r>
  <r>
    <n v="688"/>
    <n v="19"/>
    <n v="20"/>
    <n v="9"/>
    <x v="4"/>
    <n v="131"/>
    <n v="137.6"/>
    <n v="518.44000000000005"/>
    <n v="956.6"/>
    <n v="0"/>
    <n v="0"/>
  </r>
  <r>
    <n v="6870"/>
    <n v="20"/>
    <n v="5"/>
    <n v="1"/>
    <x v="5"/>
    <n v="1374"/>
    <n v="343.5"/>
    <n v="4666"/>
    <n v="8587.5"/>
    <n v="0"/>
    <n v="0"/>
  </r>
  <r>
    <n v="5550"/>
    <n v="8"/>
    <n v="40"/>
    <n v="1"/>
    <x v="3"/>
    <n v="444"/>
    <n v="2220"/>
    <n v="4666"/>
    <n v="8214"/>
    <n v="0"/>
    <n v="0"/>
  </r>
  <r>
    <n v="423"/>
    <n v="12"/>
    <n v="25"/>
    <n v="7"/>
    <x v="3"/>
    <n v="51"/>
    <n v="105.75"/>
    <n v="666.57"/>
    <n v="579.75"/>
    <n v="1"/>
    <n v="86.82000000000005"/>
  </r>
  <r>
    <n v="4160"/>
    <n v="6"/>
    <n v="15"/>
    <n v="1"/>
    <x v="2"/>
    <n v="250"/>
    <n v="624"/>
    <n v="4666"/>
    <n v="5034"/>
    <n v="0"/>
    <n v="0"/>
  </r>
  <r>
    <n v="1090"/>
    <n v="16"/>
    <n v="15"/>
    <n v="3"/>
    <x v="2"/>
    <n v="175"/>
    <n v="163.5"/>
    <n v="1555.33"/>
    <n v="1428.5"/>
    <n v="1"/>
    <n v="126.82999999999993"/>
  </r>
  <r>
    <n v="6460"/>
    <n v="4"/>
    <n v="40"/>
    <n v="1"/>
    <x v="0"/>
    <n v="259"/>
    <n v="2584"/>
    <n v="4666"/>
    <n v="9303"/>
    <n v="0"/>
    <n v="0"/>
  </r>
  <r>
    <n v="332"/>
    <n v="12"/>
    <n v="40"/>
    <n v="9"/>
    <x v="4"/>
    <n v="40"/>
    <n v="132.80000000000001"/>
    <n v="518.44000000000005"/>
    <n v="504.8"/>
    <n v="1"/>
    <n v="13.640000000000043"/>
  </r>
  <r>
    <n v="1950"/>
    <n v="5"/>
    <n v="45"/>
    <n v="3"/>
    <x v="3"/>
    <n v="98"/>
    <n v="877.5"/>
    <n v="1555.33"/>
    <n v="2925.5"/>
    <n v="0"/>
    <n v="0"/>
  </r>
  <r>
    <n v="3880"/>
    <n v="6"/>
    <n v="40"/>
    <n v="1"/>
    <x v="5"/>
    <n v="233"/>
    <n v="1552"/>
    <n v="4666"/>
    <n v="5665"/>
    <n v="0"/>
    <n v="0"/>
  </r>
  <r>
    <n v="1063"/>
    <n v="4"/>
    <n v="30"/>
    <n v="6"/>
    <x v="5"/>
    <n v="43"/>
    <n v="318.89999999999998"/>
    <n v="777.67"/>
    <n v="1424.9"/>
    <n v="0"/>
    <n v="0"/>
  </r>
  <r>
    <n v="3660"/>
    <n v="12"/>
    <n v="10"/>
    <n v="1"/>
    <x v="5"/>
    <n v="440"/>
    <n v="366"/>
    <n v="4666"/>
    <n v="4466"/>
    <n v="1"/>
    <n v="200"/>
  </r>
  <r>
    <n v="2165"/>
    <n v="11"/>
    <n v="15"/>
    <n v="2"/>
    <x v="0"/>
    <n v="239"/>
    <n v="324.75"/>
    <n v="2333"/>
    <n v="2728.75"/>
    <n v="0"/>
    <n v="0"/>
  </r>
  <r>
    <n v="2000"/>
    <n v="19"/>
    <n v="0"/>
    <n v="2"/>
    <x v="2"/>
    <n v="380"/>
    <n v="0"/>
    <n v="2333"/>
    <n v="2380"/>
    <n v="0"/>
    <n v="0"/>
  </r>
  <r>
    <n v="3550"/>
    <n v="8"/>
    <n v="10"/>
    <n v="1"/>
    <x v="5"/>
    <n v="284"/>
    <n v="355"/>
    <n v="4666"/>
    <n v="4189"/>
    <n v="1"/>
    <n v="477"/>
  </r>
  <r>
    <n v="5530"/>
    <n v="7"/>
    <n v="35"/>
    <n v="1"/>
    <x v="3"/>
    <n v="388"/>
    <n v="1935.5"/>
    <n v="4666"/>
    <n v="7853.5"/>
    <n v="0"/>
    <n v="0"/>
  </r>
  <r>
    <n v="1168"/>
    <n v="5"/>
    <n v="0"/>
    <n v="5"/>
    <x v="0"/>
    <n v="59"/>
    <n v="0"/>
    <n v="933.2"/>
    <n v="1227"/>
    <n v="0"/>
    <n v="0"/>
  </r>
  <r>
    <n v="740"/>
    <n v="0"/>
    <n v="40"/>
    <n v="4"/>
    <x v="2"/>
    <n v="0"/>
    <n v="296"/>
    <n v="1166.5"/>
    <n v="1036"/>
    <n v="1"/>
    <n v="130.5"/>
  </r>
  <r>
    <n v="651"/>
    <n v="7"/>
    <n v="20"/>
    <n v="10"/>
    <x v="0"/>
    <n v="46"/>
    <n v="130.19999999999999"/>
    <n v="466.6"/>
    <n v="827.2"/>
    <n v="0"/>
    <n v="0"/>
  </r>
  <r>
    <n v="1055"/>
    <n v="19"/>
    <n v="45"/>
    <n v="4"/>
    <x v="5"/>
    <n v="201"/>
    <n v="474.75"/>
    <n v="1166.5"/>
    <n v="1730.75"/>
    <n v="0"/>
    <n v="0"/>
  </r>
  <r>
    <n v="900"/>
    <n v="6"/>
    <n v="20"/>
    <n v="4"/>
    <x v="0"/>
    <n v="54"/>
    <n v="180"/>
    <n v="1166.5"/>
    <n v="1134"/>
    <n v="1"/>
    <n v="32.5"/>
  </r>
  <r>
    <n v="2177"/>
    <n v="6"/>
    <n v="25"/>
    <n v="3"/>
    <x v="6"/>
    <n v="131"/>
    <n v="544.25"/>
    <n v="1555.33"/>
    <n v="2852.25"/>
    <n v="0"/>
    <n v="0"/>
  </r>
  <r>
    <n v="450"/>
    <n v="20"/>
    <n v="30"/>
    <n v="10"/>
    <x v="1"/>
    <n v="90"/>
    <n v="135"/>
    <n v="466.6"/>
    <n v="675"/>
    <n v="0"/>
    <n v="0"/>
  </r>
  <r>
    <n v="689"/>
    <n v="7"/>
    <n v="10"/>
    <n v="9"/>
    <x v="3"/>
    <n v="49"/>
    <n v="68.900000000000006"/>
    <n v="518.44000000000005"/>
    <n v="806.9"/>
    <n v="0"/>
    <n v="0"/>
  </r>
  <r>
    <n v="478"/>
    <n v="9"/>
    <n v="10"/>
    <n v="8"/>
    <x v="1"/>
    <n v="44"/>
    <n v="47.8"/>
    <n v="583.25"/>
    <n v="569.79999999999995"/>
    <n v="1"/>
    <n v="13.450000000000045"/>
  </r>
  <r>
    <n v="788"/>
    <n v="9"/>
    <n v="10"/>
    <n v="5"/>
    <x v="1"/>
    <n v="71"/>
    <n v="78.8"/>
    <n v="933.2"/>
    <n v="937.8"/>
    <n v="0"/>
    <n v="0"/>
  </r>
  <r>
    <n v="500"/>
    <n v="7"/>
    <n v="25"/>
    <n v="9"/>
    <x v="2"/>
    <n v="35"/>
    <n v="125"/>
    <n v="518.44000000000005"/>
    <n v="660"/>
    <n v="0"/>
    <n v="0"/>
  </r>
  <r>
    <n v="1347"/>
    <n v="20"/>
    <n v="45"/>
    <n v="3"/>
    <x v="1"/>
    <n v="270"/>
    <n v="606.15"/>
    <n v="1555.33"/>
    <n v="2223.15"/>
    <n v="0"/>
    <n v="0"/>
  </r>
  <r>
    <n v="4460"/>
    <n v="18"/>
    <n v="35"/>
    <n v="1"/>
    <x v="3"/>
    <n v="803"/>
    <n v="1561"/>
    <n v="4666"/>
    <n v="6824"/>
    <n v="0"/>
    <n v="0"/>
  </r>
  <r>
    <n v="796.5"/>
    <n v="9"/>
    <n v="7"/>
    <n v="7"/>
    <x v="0"/>
    <n v="72"/>
    <n v="55.76"/>
    <n v="666.57"/>
    <n v="924.26"/>
    <n v="0"/>
    <n v="0"/>
  </r>
  <r>
    <n v="4210"/>
    <n v="19"/>
    <n v="20"/>
    <n v="1"/>
    <x v="0"/>
    <n v="800"/>
    <n v="842"/>
    <n v="4666"/>
    <n v="5852"/>
    <n v="0"/>
    <n v="0"/>
  </r>
  <r>
    <n v="460"/>
    <n v="11"/>
    <n v="40"/>
    <n v="7"/>
    <x v="5"/>
    <n v="51"/>
    <n v="184"/>
    <n v="666.57"/>
    <n v="695"/>
    <n v="0"/>
    <n v="0"/>
  </r>
  <r>
    <n v="1548"/>
    <n v="17"/>
    <n v="50"/>
    <n v="4"/>
    <x v="2"/>
    <n v="264"/>
    <n v="774"/>
    <n v="1166.5"/>
    <n v="2586"/>
    <n v="0"/>
    <n v="0"/>
  </r>
  <r>
    <n v="870"/>
    <n v="18"/>
    <n v="40"/>
    <n v="6"/>
    <x v="4"/>
    <n v="157"/>
    <n v="348"/>
    <n v="777.67"/>
    <n v="1375"/>
    <n v="0"/>
    <n v="0"/>
  </r>
  <r>
    <n v="2950"/>
    <n v="5"/>
    <n v="50"/>
    <n v="1"/>
    <x v="0"/>
    <n v="148"/>
    <n v="1475"/>
    <n v="4666"/>
    <n v="4573"/>
    <n v="1"/>
    <n v="93"/>
  </r>
  <r>
    <n v="6490"/>
    <n v="9"/>
    <n v="25"/>
    <n v="1"/>
    <x v="6"/>
    <n v="585"/>
    <n v="1622.5"/>
    <n v="4666"/>
    <n v="8697.5"/>
    <n v="0"/>
    <n v="0"/>
  </r>
  <r>
    <n v="4480"/>
    <n v="4"/>
    <n v="40"/>
    <n v="1"/>
    <x v="0"/>
    <n v="180"/>
    <n v="1792"/>
    <n v="4666"/>
    <n v="6452"/>
    <n v="0"/>
    <n v="0"/>
  </r>
  <r>
    <n v="6590"/>
    <n v="19"/>
    <n v="5"/>
    <n v="1"/>
    <x v="5"/>
    <n v="1253"/>
    <n v="329.5"/>
    <n v="4666"/>
    <n v="8172.5"/>
    <n v="0"/>
    <n v="0"/>
  </r>
  <r>
    <n v="3380"/>
    <n v="15"/>
    <n v="50"/>
    <n v="1"/>
    <x v="6"/>
    <n v="507"/>
    <n v="1690"/>
    <n v="4666"/>
    <n v="5577"/>
    <n v="0"/>
    <n v="0"/>
  </r>
  <r>
    <n v="1085"/>
    <n v="6"/>
    <n v="35"/>
    <n v="6"/>
    <x v="0"/>
    <n v="66"/>
    <n v="379.75"/>
    <n v="777.67"/>
    <n v="1530.75"/>
    <n v="0"/>
    <n v="0"/>
  </r>
  <r>
    <n v="546"/>
    <n v="19"/>
    <n v="45"/>
    <n v="9"/>
    <x v="5"/>
    <n v="104"/>
    <n v="245.7"/>
    <n v="518.44000000000005"/>
    <n v="895.7"/>
    <n v="0"/>
    <n v="0"/>
  </r>
  <r>
    <n v="5900"/>
    <n v="14"/>
    <n v="45"/>
    <n v="1"/>
    <x v="5"/>
    <n v="826"/>
    <n v="2655"/>
    <n v="4666"/>
    <n v="9381"/>
    <n v="0"/>
    <n v="0"/>
  </r>
  <r>
    <n v="5000"/>
    <n v="14"/>
    <n v="40"/>
    <n v="1"/>
    <x v="2"/>
    <n v="700"/>
    <n v="2000"/>
    <n v="4666"/>
    <n v="7700"/>
    <n v="0"/>
    <n v="0"/>
  </r>
  <r>
    <n v="6980"/>
    <n v="20"/>
    <n v="15"/>
    <n v="1"/>
    <x v="1"/>
    <n v="1396"/>
    <n v="1047"/>
    <n v="4666"/>
    <n v="9423"/>
    <n v="0"/>
    <n v="0"/>
  </r>
  <r>
    <n v="1120"/>
    <n v="7"/>
    <n v="0"/>
    <n v="6"/>
    <x v="3"/>
    <n v="79"/>
    <n v="0"/>
    <n v="777.67"/>
    <n v="1199"/>
    <n v="0"/>
    <n v="0"/>
  </r>
  <r>
    <n v="410"/>
    <n v="7"/>
    <n v="30"/>
    <n v="10"/>
    <x v="5"/>
    <n v="29"/>
    <n v="123"/>
    <n v="466.6"/>
    <n v="562"/>
    <n v="0"/>
    <n v="0"/>
  </r>
  <r>
    <n v="1098"/>
    <n v="0"/>
    <n v="15"/>
    <n v="5"/>
    <x v="0"/>
    <n v="0"/>
    <n v="164.7"/>
    <n v="933.2"/>
    <n v="1262.7"/>
    <n v="0"/>
    <n v="0"/>
  </r>
  <r>
    <n v="696"/>
    <n v="4"/>
    <n v="40"/>
    <n v="10"/>
    <x v="6"/>
    <n v="28"/>
    <n v="278.39999999999998"/>
    <n v="466.6"/>
    <n v="1002.4"/>
    <n v="0"/>
    <n v="0"/>
  </r>
  <r>
    <n v="860"/>
    <n v="5"/>
    <n v="15"/>
    <n v="6"/>
    <x v="4"/>
    <n v="43"/>
    <n v="129"/>
    <n v="777.67"/>
    <n v="1032"/>
    <n v="0"/>
    <n v="0"/>
  </r>
  <r>
    <n v="6400"/>
    <n v="3"/>
    <n v="5"/>
    <n v="1"/>
    <x v="0"/>
    <n v="192"/>
    <n v="320"/>
    <n v="4666"/>
    <n v="6912"/>
    <n v="0"/>
    <n v="0"/>
  </r>
  <r>
    <n v="4590"/>
    <n v="18"/>
    <n v="5"/>
    <n v="1"/>
    <x v="0"/>
    <n v="827"/>
    <n v="229.5"/>
    <n v="4666"/>
    <n v="5646.5"/>
    <n v="0"/>
    <n v="0"/>
  </r>
  <r>
    <n v="505"/>
    <n v="1"/>
    <n v="50"/>
    <n v="6"/>
    <x v="4"/>
    <n v="6"/>
    <n v="252.5"/>
    <n v="777.67"/>
    <n v="763.5"/>
    <n v="1"/>
    <n v="14.169999999999959"/>
  </r>
  <r>
    <n v="4620"/>
    <n v="0"/>
    <n v="45"/>
    <n v="1"/>
    <x v="4"/>
    <n v="0"/>
    <n v="2079"/>
    <n v="4666"/>
    <n v="6699"/>
    <n v="0"/>
    <n v="0"/>
  </r>
  <r>
    <n v="3810"/>
    <n v="20"/>
    <n v="30"/>
    <n v="1"/>
    <x v="5"/>
    <n v="762"/>
    <n v="1143"/>
    <n v="4666"/>
    <n v="5715"/>
    <n v="0"/>
    <n v="0"/>
  </r>
  <r>
    <n v="1588"/>
    <n v="3"/>
    <n v="10"/>
    <n v="4"/>
    <x v="6"/>
    <n v="48"/>
    <n v="158.80000000000001"/>
    <n v="1166.5"/>
    <n v="1794.8"/>
    <n v="0"/>
    <n v="0"/>
  </r>
  <r>
    <n v="5730"/>
    <n v="12"/>
    <n v="50"/>
    <n v="1"/>
    <x v="6"/>
    <n v="688"/>
    <n v="2865"/>
    <n v="4666"/>
    <n v="9283"/>
    <n v="0"/>
    <n v="0"/>
  </r>
  <r>
    <n v="909"/>
    <n v="11"/>
    <n v="45"/>
    <n v="7"/>
    <x v="1"/>
    <n v="100"/>
    <n v="409.05"/>
    <n v="666.57"/>
    <n v="1418.05"/>
    <n v="0"/>
    <n v="0"/>
  </r>
  <r>
    <n v="968"/>
    <n v="10"/>
    <n v="5"/>
    <n v="6"/>
    <x v="0"/>
    <n v="97"/>
    <n v="48.4"/>
    <n v="777.67"/>
    <n v="1113.4000000000001"/>
    <n v="0"/>
    <n v="0"/>
  </r>
  <r>
    <n v="691"/>
    <n v="17"/>
    <n v="5"/>
    <n v="10"/>
    <x v="1"/>
    <n v="118"/>
    <n v="34.549999999999997"/>
    <n v="466.6"/>
    <n v="843.55"/>
    <n v="0"/>
    <n v="0"/>
  </r>
  <r>
    <n v="555"/>
    <n v="18"/>
    <n v="5"/>
    <n v="8"/>
    <x v="4"/>
    <n v="100"/>
    <n v="27.75"/>
    <n v="583.25"/>
    <n v="682.75"/>
    <n v="0"/>
    <n v="0"/>
  </r>
  <r>
    <n v="4350"/>
    <n v="2"/>
    <n v="5"/>
    <n v="1"/>
    <x v="2"/>
    <n v="87"/>
    <n v="217.5"/>
    <n v="4666"/>
    <n v="4654.5"/>
    <n v="1"/>
    <n v="11.5"/>
  </r>
  <r>
    <n v="930"/>
    <n v="2"/>
    <n v="15"/>
    <n v="5"/>
    <x v="1"/>
    <n v="19"/>
    <n v="139.5"/>
    <n v="933.2"/>
    <n v="1088.5"/>
    <n v="0"/>
    <n v="0"/>
  </r>
  <r>
    <n v="1907"/>
    <n v="11"/>
    <n v="45"/>
    <n v="3"/>
    <x v="5"/>
    <n v="210"/>
    <n v="858.15"/>
    <n v="1555.33"/>
    <n v="2975.15"/>
    <n v="0"/>
    <n v="0"/>
  </r>
  <r>
    <n v="393"/>
    <n v="2"/>
    <n v="20"/>
    <n v="9"/>
    <x v="3"/>
    <n v="8"/>
    <n v="78.599999999999994"/>
    <n v="518.44000000000005"/>
    <n v="479.6"/>
    <n v="1"/>
    <n v="38.840000000000032"/>
  </r>
  <r>
    <n v="5760"/>
    <n v="14"/>
    <n v="20"/>
    <n v="1"/>
    <x v="3"/>
    <n v="807"/>
    <n v="1152"/>
    <n v="4666"/>
    <n v="7719"/>
    <n v="0"/>
    <n v="0"/>
  </r>
  <r>
    <n v="1807"/>
    <n v="11"/>
    <n v="15"/>
    <n v="3"/>
    <x v="4"/>
    <n v="199"/>
    <n v="271.05"/>
    <n v="1555.33"/>
    <n v="2277.0500000000002"/>
    <n v="0"/>
    <n v="0"/>
  </r>
  <r>
    <n v="1107"/>
    <n v="15"/>
    <n v="10"/>
    <n v="3"/>
    <x v="3"/>
    <n v="167"/>
    <n v="110.7"/>
    <n v="1555.33"/>
    <n v="1384.7"/>
    <n v="1"/>
    <n v="170.62999999999988"/>
  </r>
  <r>
    <n v="370"/>
    <n v="15"/>
    <n v="10"/>
    <n v="9"/>
    <x v="2"/>
    <n v="56"/>
    <n v="37"/>
    <n v="518.44000000000005"/>
    <n v="463"/>
    <n v="1"/>
    <n v="55.440000000000055"/>
  </r>
  <r>
    <n v="3275"/>
    <n v="10"/>
    <n v="45"/>
    <n v="2"/>
    <x v="6"/>
    <n v="328"/>
    <n v="1473.75"/>
    <n v="2333"/>
    <n v="5076.75"/>
    <n v="0"/>
    <n v="0"/>
  </r>
  <r>
    <n v="5960"/>
    <n v="15"/>
    <n v="35"/>
    <n v="1"/>
    <x v="0"/>
    <n v="894"/>
    <n v="2086"/>
    <n v="4666"/>
    <n v="8940"/>
    <n v="0"/>
    <n v="0"/>
  </r>
  <r>
    <n v="4650"/>
    <n v="5"/>
    <n v="35"/>
    <n v="1"/>
    <x v="5"/>
    <n v="233"/>
    <n v="1627.5"/>
    <n v="4666"/>
    <n v="6510.5"/>
    <n v="0"/>
    <n v="0"/>
  </r>
  <r>
    <n v="435"/>
    <n v="7"/>
    <n v="35"/>
    <n v="10"/>
    <x v="2"/>
    <n v="31"/>
    <n v="152.25"/>
    <n v="466.6"/>
    <n v="618.25"/>
    <n v="0"/>
    <n v="0"/>
  </r>
  <r>
    <n v="736"/>
    <n v="19"/>
    <n v="15"/>
    <n v="7"/>
    <x v="1"/>
    <n v="140"/>
    <n v="110.4"/>
    <n v="666.57"/>
    <n v="986.4"/>
    <n v="0"/>
    <n v="0"/>
  </r>
  <r>
    <n v="4230"/>
    <n v="20"/>
    <n v="35"/>
    <n v="1"/>
    <x v="3"/>
    <n v="846"/>
    <n v="1480.5"/>
    <n v="4666"/>
    <n v="6556.5"/>
    <n v="0"/>
    <n v="0"/>
  </r>
  <r>
    <n v="1303"/>
    <n v="12"/>
    <n v="15"/>
    <n v="4"/>
    <x v="6"/>
    <n v="157"/>
    <n v="195.45"/>
    <n v="1166.5"/>
    <n v="1655.45"/>
    <n v="0"/>
    <n v="0"/>
  </r>
  <r>
    <n v="6290"/>
    <n v="4"/>
    <n v="30"/>
    <n v="1"/>
    <x v="6"/>
    <n v="252"/>
    <n v="1887"/>
    <n v="4666"/>
    <n v="8429"/>
    <n v="0"/>
    <n v="0"/>
  </r>
  <r>
    <n v="3900"/>
    <n v="5"/>
    <n v="10"/>
    <n v="1"/>
    <x v="2"/>
    <n v="195"/>
    <n v="390"/>
    <n v="4666"/>
    <n v="4485"/>
    <n v="1"/>
    <n v="181"/>
  </r>
  <r>
    <n v="4650"/>
    <n v="8"/>
    <n v="10"/>
    <n v="1"/>
    <x v="5"/>
    <n v="372"/>
    <n v="465"/>
    <n v="4666"/>
    <n v="5487"/>
    <n v="0"/>
    <n v="0"/>
  </r>
  <r>
    <n v="974"/>
    <n v="15"/>
    <n v="15"/>
    <n v="5"/>
    <x v="3"/>
    <n v="147"/>
    <n v="146.1"/>
    <n v="933.2"/>
    <n v="1267.0999999999999"/>
    <n v="0"/>
    <n v="0"/>
  </r>
  <r>
    <n v="1300.75"/>
    <n v="5"/>
    <n v="5"/>
    <n v="3"/>
    <x v="1"/>
    <n v="66"/>
    <n v="65.040000000000006"/>
    <n v="1555.33"/>
    <n v="1431.79"/>
    <n v="1"/>
    <n v="123.53999999999996"/>
  </r>
  <r>
    <n v="4560"/>
    <n v="3"/>
    <n v="50"/>
    <n v="1"/>
    <x v="5"/>
    <n v="137"/>
    <n v="2280"/>
    <n v="4666"/>
    <n v="6977"/>
    <n v="0"/>
    <n v="0"/>
  </r>
  <r>
    <n v="4690"/>
    <n v="1"/>
    <n v="45"/>
    <n v="1"/>
    <x v="4"/>
    <n v="47"/>
    <n v="2110.5"/>
    <n v="4666"/>
    <n v="6847.5"/>
    <n v="0"/>
    <n v="0"/>
  </r>
  <r>
    <n v="3420"/>
    <n v="9"/>
    <n v="15"/>
    <n v="1"/>
    <x v="0"/>
    <n v="308"/>
    <n v="513"/>
    <n v="4666"/>
    <n v="4241"/>
    <n v="1"/>
    <n v="425"/>
  </r>
  <r>
    <n v="690"/>
    <n v="7"/>
    <n v="35"/>
    <n v="8"/>
    <x v="3"/>
    <n v="49"/>
    <n v="241.5"/>
    <n v="583.25"/>
    <n v="980.5"/>
    <n v="0"/>
    <n v="0"/>
  </r>
  <r>
    <n v="1070"/>
    <n v="11"/>
    <n v="35"/>
    <n v="5"/>
    <x v="2"/>
    <n v="118"/>
    <n v="374.5"/>
    <n v="933.2"/>
    <n v="1562.5"/>
    <n v="0"/>
    <n v="0"/>
  </r>
  <r>
    <n v="1337"/>
    <n v="0"/>
    <n v="25"/>
    <n v="3"/>
    <x v="1"/>
    <n v="0"/>
    <n v="334.25"/>
    <n v="1555.33"/>
    <n v="1671.25"/>
    <n v="0"/>
    <n v="0"/>
  </r>
  <r>
    <n v="6330"/>
    <n v="20"/>
    <n v="10"/>
    <n v="1"/>
    <x v="0"/>
    <n v="1266"/>
    <n v="633"/>
    <n v="4666"/>
    <n v="8229"/>
    <n v="0"/>
    <n v="0"/>
  </r>
  <r>
    <n v="5020"/>
    <n v="9"/>
    <n v="30"/>
    <n v="1"/>
    <x v="2"/>
    <n v="452"/>
    <n v="1506"/>
    <n v="4666"/>
    <n v="6978"/>
    <n v="0"/>
    <n v="0"/>
  </r>
  <r>
    <n v="4980"/>
    <n v="13"/>
    <n v="0"/>
    <n v="1"/>
    <x v="3"/>
    <n v="648"/>
    <n v="0"/>
    <n v="4666"/>
    <n v="5628"/>
    <n v="0"/>
    <n v="0"/>
  </r>
  <r>
    <n v="615"/>
    <n v="13"/>
    <n v="40"/>
    <n v="8"/>
    <x v="2"/>
    <n v="80"/>
    <n v="246"/>
    <n v="583.25"/>
    <n v="941"/>
    <n v="0"/>
    <n v="0"/>
  </r>
  <r>
    <n v="730"/>
    <n v="18"/>
    <n v="5"/>
    <n v="6"/>
    <x v="2"/>
    <n v="132"/>
    <n v="36.5"/>
    <n v="777.67"/>
    <n v="898.5"/>
    <n v="0"/>
    <n v="0"/>
  </r>
  <r>
    <n v="349"/>
    <n v="8"/>
    <n v="10"/>
    <n v="10"/>
    <x v="0"/>
    <n v="28"/>
    <n v="34.9"/>
    <n v="466.6"/>
    <n v="411.9"/>
    <n v="1"/>
    <n v="54.700000000000045"/>
  </r>
  <r>
    <n v="2023"/>
    <n v="5"/>
    <n v="10"/>
    <n v="3"/>
    <x v="6"/>
    <n v="102"/>
    <n v="202.3"/>
    <n v="1555.33"/>
    <n v="2327.3000000000002"/>
    <n v="0"/>
    <n v="0"/>
  </r>
  <r>
    <n v="6520"/>
    <n v="8"/>
    <n v="25"/>
    <n v="1"/>
    <x v="3"/>
    <n v="522"/>
    <n v="1630"/>
    <n v="4666"/>
    <n v="8672"/>
    <n v="0"/>
    <n v="0"/>
  </r>
  <r>
    <n v="3960"/>
    <n v="8"/>
    <n v="15"/>
    <n v="1"/>
    <x v="3"/>
    <n v="317"/>
    <n v="594"/>
    <n v="4666"/>
    <n v="4871"/>
    <n v="0"/>
    <n v="0"/>
  </r>
  <r>
    <n v="5220"/>
    <n v="15"/>
    <n v="15"/>
    <n v="1"/>
    <x v="4"/>
    <n v="783"/>
    <n v="783"/>
    <n v="4666"/>
    <n v="6786"/>
    <n v="0"/>
    <n v="0"/>
  </r>
  <r>
    <n v="6500"/>
    <n v="2"/>
    <n v="15"/>
    <n v="1"/>
    <x v="3"/>
    <n v="130"/>
    <n v="975"/>
    <n v="4666"/>
    <n v="7605"/>
    <n v="0"/>
    <n v="0"/>
  </r>
  <r>
    <n v="4530"/>
    <n v="13"/>
    <n v="50"/>
    <n v="1"/>
    <x v="0"/>
    <n v="589"/>
    <n v="2265"/>
    <n v="4666"/>
    <n v="7384"/>
    <n v="0"/>
    <n v="0"/>
  </r>
  <r>
    <n v="5210"/>
    <n v="14"/>
    <n v="25"/>
    <n v="1"/>
    <x v="2"/>
    <n v="730"/>
    <n v="1302.5"/>
    <n v="4666"/>
    <n v="7242.5"/>
    <n v="0"/>
    <n v="0"/>
  </r>
  <r>
    <n v="746"/>
    <n v="13"/>
    <n v="25"/>
    <n v="8"/>
    <x v="0"/>
    <n v="97"/>
    <n v="186.5"/>
    <n v="583.25"/>
    <n v="1029.5"/>
    <n v="0"/>
    <n v="0"/>
  </r>
  <r>
    <n v="658"/>
    <n v="1"/>
    <n v="45"/>
    <n v="10"/>
    <x v="5"/>
    <n v="7"/>
    <n v="296.10000000000002"/>
    <n v="466.6"/>
    <n v="961.1"/>
    <n v="0"/>
    <n v="0"/>
  </r>
  <r>
    <n v="905"/>
    <n v="5"/>
    <n v="15"/>
    <n v="4"/>
    <x v="1"/>
    <n v="46"/>
    <n v="135.75"/>
    <n v="1166.5"/>
    <n v="1086.75"/>
    <n v="1"/>
    <n v="79.75"/>
  </r>
  <r>
    <n v="563"/>
    <n v="3"/>
    <n v="10"/>
    <n v="9"/>
    <x v="1"/>
    <n v="17"/>
    <n v="56.3"/>
    <n v="518.44000000000005"/>
    <n v="636.29999999999995"/>
    <n v="0"/>
    <n v="0"/>
  </r>
  <r>
    <n v="3620"/>
    <n v="16"/>
    <n v="40"/>
    <n v="1"/>
    <x v="2"/>
    <n v="580"/>
    <n v="1448"/>
    <n v="4666"/>
    <n v="5648"/>
    <n v="0"/>
    <n v="0"/>
  </r>
  <r>
    <n v="2350"/>
    <n v="12"/>
    <n v="35"/>
    <n v="2"/>
    <x v="0"/>
    <n v="282"/>
    <n v="822.5"/>
    <n v="2333"/>
    <n v="3454.5"/>
    <n v="0"/>
    <n v="0"/>
  </r>
  <r>
    <n v="764"/>
    <n v="4"/>
    <n v="30"/>
    <n v="8"/>
    <x v="0"/>
    <n v="31"/>
    <n v="229.2"/>
    <n v="583.25"/>
    <n v="1024.2"/>
    <n v="0"/>
    <n v="0"/>
  </r>
  <r>
    <n v="406"/>
    <n v="10"/>
    <n v="10"/>
    <n v="10"/>
    <x v="2"/>
    <n v="41"/>
    <n v="40.6"/>
    <n v="466.6"/>
    <n v="487.6"/>
    <n v="0"/>
    <n v="0"/>
  </r>
  <r>
    <n v="1123"/>
    <n v="0"/>
    <n v="25"/>
    <n v="3"/>
    <x v="1"/>
    <n v="0"/>
    <n v="280.75"/>
    <n v="1555.33"/>
    <n v="1403.75"/>
    <n v="1"/>
    <n v="151.57999999999993"/>
  </r>
  <r>
    <n v="1463"/>
    <n v="9"/>
    <n v="15"/>
    <n v="4"/>
    <x v="3"/>
    <n v="132"/>
    <n v="219.45"/>
    <n v="1166.5"/>
    <n v="1814.45"/>
    <n v="0"/>
    <n v="0"/>
  </r>
  <r>
    <n v="724"/>
    <n v="20"/>
    <n v="30"/>
    <n v="7"/>
    <x v="4"/>
    <n v="145"/>
    <n v="217.2"/>
    <n v="666.57"/>
    <n v="1086.2"/>
    <n v="0"/>
    <n v="0"/>
  </r>
  <r>
    <n v="550"/>
    <n v="17"/>
    <n v="30"/>
    <n v="10"/>
    <x v="3"/>
    <n v="94"/>
    <n v="165"/>
    <n v="466.6"/>
    <n v="809"/>
    <n v="0"/>
    <n v="0"/>
  </r>
  <r>
    <n v="1807"/>
    <n v="19"/>
    <n v="50"/>
    <n v="3"/>
    <x v="4"/>
    <n v="344"/>
    <n v="903.5"/>
    <n v="1555.33"/>
    <n v="3054.5"/>
    <n v="0"/>
    <n v="0"/>
  </r>
  <r>
    <n v="1160"/>
    <n v="5"/>
    <n v="10"/>
    <n v="3"/>
    <x v="6"/>
    <n v="58"/>
    <n v="116"/>
    <n v="1555.33"/>
    <n v="1334"/>
    <n v="1"/>
    <n v="221.32999999999993"/>
  </r>
  <r>
    <n v="597"/>
    <n v="2"/>
    <n v="20"/>
    <n v="7"/>
    <x v="3"/>
    <n v="12"/>
    <n v="119.4"/>
    <n v="666.57"/>
    <n v="728.4"/>
    <n v="0"/>
    <n v="0"/>
  </r>
  <r>
    <n v="1270"/>
    <n v="12"/>
    <n v="35"/>
    <n v="5"/>
    <x v="6"/>
    <n v="153"/>
    <n v="444.5"/>
    <n v="933.2"/>
    <n v="1867.5"/>
    <n v="0"/>
    <n v="0"/>
  </r>
  <r>
    <n v="6590"/>
    <n v="20"/>
    <n v="45"/>
    <n v="1"/>
    <x v="4"/>
    <n v="1318"/>
    <n v="2965.5"/>
    <n v="4666"/>
    <n v="10873.5"/>
    <n v="0"/>
    <n v="0"/>
  </r>
  <r>
    <n v="1056"/>
    <n v="17"/>
    <n v="50"/>
    <n v="5"/>
    <x v="0"/>
    <n v="180"/>
    <n v="528"/>
    <n v="933.2"/>
    <n v="1764"/>
    <n v="0"/>
    <n v="0"/>
  </r>
  <r>
    <n v="6560"/>
    <n v="7"/>
    <n v="50"/>
    <n v="1"/>
    <x v="5"/>
    <n v="460"/>
    <n v="3280"/>
    <n v="4666"/>
    <n v="10300"/>
    <n v="0"/>
    <n v="0"/>
  </r>
  <r>
    <n v="492"/>
    <n v="16"/>
    <n v="0"/>
    <n v="10"/>
    <x v="2"/>
    <n v="79"/>
    <n v="0"/>
    <n v="466.6"/>
    <n v="571"/>
    <n v="0"/>
    <n v="0"/>
  </r>
  <r>
    <n v="3075"/>
    <n v="16"/>
    <n v="15"/>
    <n v="2"/>
    <x v="6"/>
    <n v="492"/>
    <n v="461.25"/>
    <n v="2333"/>
    <n v="4028.25"/>
    <n v="0"/>
    <n v="0"/>
  </r>
  <r>
    <n v="920"/>
    <n v="7"/>
    <n v="0"/>
    <n v="4"/>
    <x v="6"/>
    <n v="65"/>
    <n v="0"/>
    <n v="1166.5"/>
    <n v="985"/>
    <n v="1"/>
    <n v="181.5"/>
  </r>
  <r>
    <n v="637"/>
    <n v="17"/>
    <n v="35"/>
    <n v="10"/>
    <x v="1"/>
    <n v="109"/>
    <n v="222.95"/>
    <n v="466.6"/>
    <n v="968.95"/>
    <n v="0"/>
    <n v="0"/>
  </r>
  <r>
    <n v="5260"/>
    <n v="16"/>
    <n v="5"/>
    <n v="1"/>
    <x v="5"/>
    <n v="842"/>
    <n v="263"/>
    <n v="4666"/>
    <n v="6365"/>
    <n v="0"/>
    <n v="0"/>
  </r>
  <r>
    <n v="6400"/>
    <n v="6"/>
    <n v="10"/>
    <n v="1"/>
    <x v="5"/>
    <n v="384"/>
    <n v="640"/>
    <n v="4666"/>
    <n v="7424"/>
    <n v="0"/>
    <n v="0"/>
  </r>
  <r>
    <n v="1274"/>
    <n v="4"/>
    <n v="5"/>
    <n v="5"/>
    <x v="4"/>
    <n v="51"/>
    <n v="63.7"/>
    <n v="933.2"/>
    <n v="1388.7"/>
    <n v="0"/>
    <n v="0"/>
  </r>
  <r>
    <n v="358"/>
    <n v="7"/>
    <n v="20"/>
    <n v="10"/>
    <x v="6"/>
    <n v="26"/>
    <n v="71.599999999999994"/>
    <n v="466.6"/>
    <n v="455.6"/>
    <n v="1"/>
    <n v="11"/>
  </r>
  <r>
    <n v="6790"/>
    <n v="13"/>
    <n v="45"/>
    <n v="1"/>
    <x v="4"/>
    <n v="883"/>
    <n v="3055.5"/>
    <n v="4666"/>
    <n v="10728.5"/>
    <n v="0"/>
    <n v="0"/>
  </r>
  <r>
    <n v="1010"/>
    <n v="6"/>
    <n v="25"/>
    <n v="3"/>
    <x v="0"/>
    <n v="61"/>
    <n v="252.5"/>
    <n v="1555.33"/>
    <n v="1323.5"/>
    <n v="1"/>
    <n v="231.82999999999993"/>
  </r>
  <r>
    <n v="5100"/>
    <n v="13"/>
    <n v="45"/>
    <n v="1"/>
    <x v="5"/>
    <n v="663"/>
    <n v="2295"/>
    <n v="4666"/>
    <n v="8058"/>
    <n v="0"/>
    <n v="0"/>
  </r>
  <r>
    <n v="447"/>
    <n v="12"/>
    <n v="25"/>
    <n v="9"/>
    <x v="4"/>
    <n v="54"/>
    <n v="111.75"/>
    <n v="518.44000000000005"/>
    <n v="612.75"/>
    <n v="0"/>
    <n v="0"/>
  </r>
  <r>
    <n v="3790"/>
    <n v="2"/>
    <n v="40"/>
    <n v="1"/>
    <x v="2"/>
    <n v="76"/>
    <n v="1516"/>
    <n v="4666"/>
    <n v="5382"/>
    <n v="0"/>
    <n v="0"/>
  </r>
  <r>
    <n v="1320"/>
    <n v="18"/>
    <n v="25"/>
    <n v="5"/>
    <x v="5"/>
    <n v="238"/>
    <n v="330"/>
    <n v="933.2"/>
    <n v="1888"/>
    <n v="0"/>
    <n v="0"/>
  </r>
  <r>
    <n v="808"/>
    <n v="7"/>
    <n v="45"/>
    <n v="6"/>
    <x v="5"/>
    <n v="57"/>
    <n v="363.6"/>
    <n v="777.67"/>
    <n v="1228.5999999999999"/>
    <n v="0"/>
    <n v="0"/>
  </r>
  <r>
    <n v="1318"/>
    <n v="16"/>
    <n v="30"/>
    <n v="5"/>
    <x v="4"/>
    <n v="211"/>
    <n v="395.4"/>
    <n v="933.2"/>
    <n v="1924.4"/>
    <n v="0"/>
    <n v="0"/>
  </r>
  <r>
    <n v="4690"/>
    <n v="7"/>
    <n v="0"/>
    <n v="1"/>
    <x v="6"/>
    <n v="329"/>
    <n v="0"/>
    <n v="4666"/>
    <n v="5019"/>
    <n v="0"/>
    <n v="0"/>
  </r>
  <r>
    <n v="401"/>
    <n v="4"/>
    <n v="50"/>
    <n v="7"/>
    <x v="6"/>
    <n v="17"/>
    <n v="200.5"/>
    <n v="666.57"/>
    <n v="618.5"/>
    <n v="1"/>
    <n v="48.07000000000005"/>
  </r>
  <r>
    <n v="420"/>
    <n v="15"/>
    <n v="10"/>
    <n v="8"/>
    <x v="4"/>
    <n v="63"/>
    <n v="42"/>
    <n v="583.25"/>
    <n v="525"/>
    <n v="1"/>
    <n v="58.25"/>
  </r>
  <r>
    <n v="5490"/>
    <n v="10"/>
    <n v="45"/>
    <n v="1"/>
    <x v="2"/>
    <n v="549"/>
    <n v="2470.5"/>
    <n v="4666"/>
    <n v="8509.5"/>
    <n v="0"/>
    <n v="0"/>
  </r>
  <r>
    <n v="647"/>
    <n v="17"/>
    <n v="10"/>
    <n v="9"/>
    <x v="1"/>
    <n v="110"/>
    <n v="64.7"/>
    <n v="518.44000000000005"/>
    <n v="821.7"/>
    <n v="0"/>
    <n v="0"/>
  </r>
  <r>
    <n v="6240"/>
    <n v="5"/>
    <n v="50"/>
    <n v="1"/>
    <x v="2"/>
    <n v="312"/>
    <n v="3120"/>
    <n v="4666"/>
    <n v="9672"/>
    <n v="0"/>
    <n v="0"/>
  </r>
  <r>
    <n v="677.1"/>
    <n v="6"/>
    <n v="45"/>
    <n v="6"/>
    <x v="2"/>
    <n v="41"/>
    <n v="304.7"/>
    <n v="777.67"/>
    <n v="1022.8"/>
    <n v="0"/>
    <n v="0"/>
  </r>
  <r>
    <n v="1324"/>
    <n v="1"/>
    <n v="10"/>
    <n v="5"/>
    <x v="5"/>
    <n v="14"/>
    <n v="132.4"/>
    <n v="933.2"/>
    <n v="1470.4"/>
    <n v="0"/>
    <n v="0"/>
  </r>
  <r>
    <n v="1525"/>
    <n v="17"/>
    <n v="20"/>
    <n v="2"/>
    <x v="6"/>
    <n v="260"/>
    <n v="305"/>
    <n v="2333"/>
    <n v="2090"/>
    <n v="1"/>
    <n v="243"/>
  </r>
  <r>
    <n v="4090"/>
    <n v="9"/>
    <n v="5"/>
    <n v="1"/>
    <x v="1"/>
    <n v="369"/>
    <n v="204.5"/>
    <n v="4666"/>
    <n v="4663.5"/>
    <n v="1"/>
    <n v="2.5"/>
  </r>
  <r>
    <n v="4050"/>
    <n v="14"/>
    <n v="50"/>
    <n v="1"/>
    <x v="2"/>
    <n v="567"/>
    <n v="2025"/>
    <n v="4666"/>
    <n v="6642"/>
    <n v="0"/>
    <n v="0"/>
  </r>
  <r>
    <n v="371"/>
    <n v="12"/>
    <n v="50"/>
    <n v="10"/>
    <x v="0"/>
    <n v="45"/>
    <n v="185.5"/>
    <n v="466.6"/>
    <n v="601.5"/>
    <n v="0"/>
    <n v="0"/>
  </r>
  <r>
    <n v="1014"/>
    <n v="3"/>
    <n v="0"/>
    <n v="5"/>
    <x v="1"/>
    <n v="31"/>
    <n v="0"/>
    <n v="933.2"/>
    <n v="1045"/>
    <n v="0"/>
    <n v="0"/>
  </r>
  <r>
    <n v="517"/>
    <n v="12"/>
    <n v="15"/>
    <n v="10"/>
    <x v="1"/>
    <n v="63"/>
    <n v="77.55"/>
    <n v="466.6"/>
    <n v="657.55"/>
    <n v="0"/>
    <n v="0"/>
  </r>
  <r>
    <n v="5340"/>
    <n v="4"/>
    <n v="30"/>
    <n v="1"/>
    <x v="1"/>
    <n v="214"/>
    <n v="1602"/>
    <n v="4666"/>
    <n v="7156"/>
    <n v="0"/>
    <n v="0"/>
  </r>
  <r>
    <n v="589"/>
    <n v="3"/>
    <n v="15"/>
    <n v="7"/>
    <x v="1"/>
    <n v="18"/>
    <n v="88.35"/>
    <n v="666.57"/>
    <n v="695.35"/>
    <n v="0"/>
    <n v="0"/>
  </r>
  <r>
    <n v="6900"/>
    <n v="2"/>
    <n v="10"/>
    <n v="1"/>
    <x v="4"/>
    <n v="138"/>
    <n v="690"/>
    <n v="4666"/>
    <n v="7728"/>
    <n v="0"/>
    <n v="0"/>
  </r>
  <r>
    <n v="1963"/>
    <n v="20"/>
    <n v="45"/>
    <n v="3"/>
    <x v="0"/>
    <n v="393"/>
    <n v="883.35"/>
    <n v="1555.33"/>
    <n v="3239.35"/>
    <n v="0"/>
    <n v="0"/>
  </r>
  <r>
    <n v="3490"/>
    <n v="16"/>
    <n v="35"/>
    <n v="1"/>
    <x v="2"/>
    <n v="559"/>
    <n v="1221.5"/>
    <n v="4666"/>
    <n v="5270.5"/>
    <n v="0"/>
    <n v="0"/>
  </r>
  <r>
    <n v="6690"/>
    <n v="7"/>
    <n v="50"/>
    <n v="1"/>
    <x v="4"/>
    <n v="469"/>
    <n v="3345"/>
    <n v="4666"/>
    <n v="10504"/>
    <n v="0"/>
    <n v="0"/>
  </r>
  <r>
    <n v="3830"/>
    <n v="4"/>
    <n v="5"/>
    <n v="1"/>
    <x v="1"/>
    <n v="154"/>
    <n v="191.5"/>
    <n v="4666"/>
    <n v="4175.5"/>
    <n v="1"/>
    <n v="490.5"/>
  </r>
  <r>
    <n v="2095"/>
    <n v="4"/>
    <n v="15"/>
    <n v="2"/>
    <x v="3"/>
    <n v="84"/>
    <n v="314.25"/>
    <n v="2333"/>
    <n v="2493.25"/>
    <n v="0"/>
    <n v="0"/>
  </r>
  <r>
    <n v="410"/>
    <n v="12"/>
    <n v="10"/>
    <n v="8"/>
    <x v="5"/>
    <n v="50"/>
    <n v="41"/>
    <n v="583.25"/>
    <n v="501"/>
    <n v="1"/>
    <n v="82.25"/>
  </r>
  <r>
    <n v="3160"/>
    <n v="8"/>
    <n v="50"/>
    <n v="1"/>
    <x v="5"/>
    <n v="253"/>
    <n v="1580"/>
    <n v="4666"/>
    <n v="4993"/>
    <n v="0"/>
    <n v="0"/>
  </r>
  <r>
    <n v="1174"/>
    <n v="9"/>
    <n v="35"/>
    <n v="5"/>
    <x v="6"/>
    <n v="106"/>
    <n v="410.9"/>
    <n v="933.2"/>
    <n v="1690.9"/>
    <n v="0"/>
    <n v="0"/>
  </r>
  <r>
    <n v="5570"/>
    <n v="10"/>
    <n v="40"/>
    <n v="1"/>
    <x v="4"/>
    <n v="557"/>
    <n v="2228"/>
    <n v="4666"/>
    <n v="8355"/>
    <n v="0"/>
    <n v="0"/>
  </r>
  <r>
    <n v="794"/>
    <n v="16"/>
    <n v="50"/>
    <n v="7"/>
    <x v="1"/>
    <n v="128"/>
    <n v="397"/>
    <n v="666.57"/>
    <n v="1319"/>
    <n v="0"/>
    <n v="0"/>
  </r>
  <r>
    <n v="339"/>
    <n v="19"/>
    <n v="45"/>
    <n v="9"/>
    <x v="5"/>
    <n v="65"/>
    <n v="152.55000000000001"/>
    <n v="518.44000000000005"/>
    <n v="556.54999999999995"/>
    <n v="0"/>
    <n v="0"/>
  </r>
  <r>
    <n v="500"/>
    <n v="11"/>
    <n v="20"/>
    <n v="6"/>
    <x v="5"/>
    <n v="55"/>
    <n v="100"/>
    <n v="777.67"/>
    <n v="655"/>
    <n v="1"/>
    <n v="122.66999999999996"/>
  </r>
  <r>
    <n v="1186"/>
    <n v="11"/>
    <n v="10"/>
    <n v="5"/>
    <x v="2"/>
    <n v="131"/>
    <n v="118.6"/>
    <n v="933.2"/>
    <n v="1435.6"/>
    <n v="0"/>
    <n v="0"/>
  </r>
  <r>
    <n v="1815"/>
    <n v="5"/>
    <n v="35"/>
    <n v="2"/>
    <x v="2"/>
    <n v="91"/>
    <n v="635.25"/>
    <n v="2333"/>
    <n v="2541.25"/>
    <n v="0"/>
    <n v="0"/>
  </r>
  <r>
    <n v="1236"/>
    <n v="8"/>
    <n v="15"/>
    <n v="5"/>
    <x v="1"/>
    <n v="99"/>
    <n v="185.4"/>
    <n v="933.2"/>
    <n v="1520.4"/>
    <n v="0"/>
    <n v="0"/>
  </r>
  <r>
    <n v="324"/>
    <n v="18"/>
    <n v="30"/>
    <n v="9"/>
    <x v="1"/>
    <n v="59"/>
    <n v="97.2"/>
    <n v="518.44000000000005"/>
    <n v="480.2"/>
    <n v="1"/>
    <n v="38.240000000000066"/>
  </r>
  <r>
    <n v="504"/>
    <n v="9"/>
    <n v="20"/>
    <n v="9"/>
    <x v="5"/>
    <n v="46"/>
    <n v="100.8"/>
    <n v="518.44000000000005"/>
    <n v="650.79999999999995"/>
    <n v="0"/>
    <n v="0"/>
  </r>
  <r>
    <n v="475"/>
    <n v="11"/>
    <n v="40"/>
    <n v="10"/>
    <x v="5"/>
    <n v="53"/>
    <n v="190"/>
    <n v="466.6"/>
    <n v="718"/>
    <n v="0"/>
    <n v="0"/>
  </r>
  <r>
    <n v="360"/>
    <n v="4"/>
    <n v="35"/>
    <n v="8"/>
    <x v="2"/>
    <n v="15"/>
    <n v="126"/>
    <n v="583.25"/>
    <n v="501"/>
    <n v="1"/>
    <n v="82.25"/>
  </r>
  <r>
    <n v="1340"/>
    <n v="0"/>
    <n v="5"/>
    <n v="5"/>
    <x v="4"/>
    <n v="0"/>
    <n v="67"/>
    <n v="933.2"/>
    <n v="1407"/>
    <n v="0"/>
    <n v="0"/>
  </r>
  <r>
    <n v="1067"/>
    <n v="2"/>
    <n v="30"/>
    <n v="3"/>
    <x v="6"/>
    <n v="22"/>
    <n v="320.10000000000002"/>
    <n v="1555.33"/>
    <n v="1409.1"/>
    <n v="1"/>
    <n v="146.23000000000002"/>
  </r>
  <r>
    <n v="4330"/>
    <n v="7"/>
    <n v="50"/>
    <n v="1"/>
    <x v="0"/>
    <n v="304"/>
    <n v="2165"/>
    <n v="4666"/>
    <n v="6799"/>
    <n v="0"/>
    <n v="0"/>
  </r>
  <r>
    <n v="4170"/>
    <n v="12"/>
    <n v="35"/>
    <n v="1"/>
    <x v="3"/>
    <n v="501"/>
    <n v="1459.5"/>
    <n v="4666"/>
    <n v="6130.5"/>
    <n v="0"/>
    <n v="0"/>
  </r>
  <r>
    <n v="1860"/>
    <n v="8"/>
    <n v="30"/>
    <n v="3"/>
    <x v="2"/>
    <n v="149"/>
    <n v="558"/>
    <n v="1555.33"/>
    <n v="2567"/>
    <n v="0"/>
    <n v="0"/>
  </r>
  <r>
    <n v="6550"/>
    <n v="8"/>
    <n v="30"/>
    <n v="1"/>
    <x v="4"/>
    <n v="524"/>
    <n v="1965"/>
    <n v="4666"/>
    <n v="9039"/>
    <n v="0"/>
    <n v="0"/>
  </r>
  <r>
    <n v="6790"/>
    <n v="13"/>
    <n v="40"/>
    <n v="1"/>
    <x v="4"/>
    <n v="883"/>
    <n v="2716"/>
    <n v="4666"/>
    <n v="10389"/>
    <n v="0"/>
    <n v="0"/>
  </r>
  <r>
    <n v="4600"/>
    <n v="11"/>
    <n v="30"/>
    <n v="1"/>
    <x v="1"/>
    <n v="506"/>
    <n v="1380"/>
    <n v="4666"/>
    <n v="6486"/>
    <n v="0"/>
    <n v="0"/>
  </r>
  <r>
    <n v="5720"/>
    <n v="15"/>
    <n v="0"/>
    <n v="1"/>
    <x v="4"/>
    <n v="858"/>
    <n v="0"/>
    <n v="4666"/>
    <n v="6578"/>
    <n v="0"/>
    <n v="0"/>
  </r>
  <r>
    <n v="1102"/>
    <n v="12"/>
    <n v="10"/>
    <n v="5"/>
    <x v="0"/>
    <n v="133"/>
    <n v="110.2"/>
    <n v="933.2"/>
    <n v="1345.2"/>
    <n v="0"/>
    <n v="0"/>
  </r>
  <r>
    <n v="999"/>
    <n v="20"/>
    <n v="50"/>
    <n v="7"/>
    <x v="2"/>
    <n v="200"/>
    <n v="499.5"/>
    <n v="666.57"/>
    <n v="1698.5"/>
    <n v="0"/>
    <n v="0"/>
  </r>
  <r>
    <n v="5130"/>
    <n v="17"/>
    <n v="45"/>
    <n v="1"/>
    <x v="6"/>
    <n v="873"/>
    <n v="2308.5"/>
    <n v="4666"/>
    <n v="8311.5"/>
    <n v="0"/>
    <n v="0"/>
  </r>
  <r>
    <n v="2115"/>
    <n v="10"/>
    <n v="50"/>
    <n v="2"/>
    <x v="2"/>
    <n v="212"/>
    <n v="1057.5"/>
    <n v="2333"/>
    <n v="3384.5"/>
    <n v="0"/>
    <n v="0"/>
  </r>
  <r>
    <n v="1455"/>
    <n v="13"/>
    <n v="40"/>
    <n v="4"/>
    <x v="0"/>
    <n v="190"/>
    <n v="582"/>
    <n v="1166.5"/>
    <n v="2227"/>
    <n v="0"/>
    <n v="0"/>
  </r>
  <r>
    <n v="1138"/>
    <n v="13"/>
    <n v="10"/>
    <n v="5"/>
    <x v="5"/>
    <n v="148"/>
    <n v="113.8"/>
    <n v="933.2"/>
    <n v="1399.8"/>
    <n v="0"/>
    <n v="0"/>
  </r>
  <r>
    <n v="490"/>
    <n v="10"/>
    <n v="30"/>
    <n v="7"/>
    <x v="4"/>
    <n v="49"/>
    <n v="147"/>
    <n v="666.57"/>
    <n v="686"/>
    <n v="0"/>
    <n v="0"/>
  </r>
  <r>
    <n v="2800"/>
    <n v="7"/>
    <n v="30"/>
    <n v="2"/>
    <x v="6"/>
    <n v="196"/>
    <n v="840"/>
    <n v="2333"/>
    <n v="3836"/>
    <n v="0"/>
    <n v="0"/>
  </r>
  <r>
    <n v="3770"/>
    <n v="13"/>
    <n v="5"/>
    <n v="1"/>
    <x v="5"/>
    <n v="491"/>
    <n v="188.5"/>
    <n v="4666"/>
    <n v="4449.5"/>
    <n v="1"/>
    <n v="216.5"/>
  </r>
  <r>
    <n v="917"/>
    <n v="8"/>
    <n v="5"/>
    <n v="7"/>
    <x v="5"/>
    <n v="74"/>
    <n v="45.85"/>
    <n v="666.57"/>
    <n v="1036.8499999999999"/>
    <n v="0"/>
    <n v="0"/>
  </r>
  <r>
    <n v="776"/>
    <n v="12"/>
    <n v="20"/>
    <n v="7"/>
    <x v="1"/>
    <n v="94"/>
    <n v="155.19999999999999"/>
    <n v="666.57"/>
    <n v="1025.2"/>
    <n v="0"/>
    <n v="0"/>
  </r>
  <r>
    <n v="5030"/>
    <n v="9"/>
    <n v="0"/>
    <n v="1"/>
    <x v="3"/>
    <n v="453"/>
    <n v="0"/>
    <n v="4666"/>
    <n v="5483"/>
    <n v="0"/>
    <n v="0"/>
  </r>
  <r>
    <n v="773"/>
    <n v="9"/>
    <n v="5"/>
    <n v="8"/>
    <x v="4"/>
    <n v="70"/>
    <n v="38.65"/>
    <n v="583.25"/>
    <n v="881.65"/>
    <n v="0"/>
    <n v="0"/>
  </r>
  <r>
    <n v="1727"/>
    <n v="19"/>
    <n v="25"/>
    <n v="3"/>
    <x v="3"/>
    <n v="329"/>
    <n v="431.75"/>
    <n v="1555.33"/>
    <n v="2487.75"/>
    <n v="0"/>
    <n v="0"/>
  </r>
  <r>
    <n v="1588"/>
    <n v="6"/>
    <n v="15"/>
    <n v="4"/>
    <x v="6"/>
    <n v="96"/>
    <n v="238.2"/>
    <n v="1166.5"/>
    <n v="1922.2"/>
    <n v="0"/>
    <n v="0"/>
  </r>
  <r>
    <n v="5340"/>
    <n v="16"/>
    <n v="30"/>
    <n v="1"/>
    <x v="5"/>
    <n v="855"/>
    <n v="1602"/>
    <n v="4666"/>
    <n v="7797"/>
    <n v="0"/>
    <n v="0"/>
  </r>
  <r>
    <n v="424"/>
    <n v="2"/>
    <n v="15"/>
    <n v="8"/>
    <x v="3"/>
    <n v="9"/>
    <n v="63.6"/>
    <n v="583.25"/>
    <n v="496.6"/>
    <n v="1"/>
    <n v="86.649999999999977"/>
  </r>
  <r>
    <n v="2255"/>
    <n v="9"/>
    <n v="30"/>
    <n v="2"/>
    <x v="4"/>
    <n v="203"/>
    <n v="676.5"/>
    <n v="2333"/>
    <n v="3134.5"/>
    <n v="0"/>
    <n v="0"/>
  </r>
  <r>
    <n v="3280"/>
    <n v="10"/>
    <n v="20"/>
    <n v="1"/>
    <x v="5"/>
    <n v="328"/>
    <n v="656"/>
    <n v="4666"/>
    <n v="4264"/>
    <n v="1"/>
    <n v="402"/>
  </r>
  <r>
    <n v="1197"/>
    <n v="14"/>
    <n v="5"/>
    <n v="3"/>
    <x v="6"/>
    <n v="168"/>
    <n v="59.85"/>
    <n v="1555.33"/>
    <n v="1424.85"/>
    <n v="1"/>
    <n v="130.48000000000002"/>
  </r>
  <r>
    <n v="710.1"/>
    <n v="2"/>
    <n v="10"/>
    <n v="5"/>
    <x v="6"/>
    <n v="15"/>
    <n v="71.010000000000005"/>
    <n v="933.2"/>
    <n v="796.11"/>
    <n v="1"/>
    <n v="137.09000000000003"/>
  </r>
  <r>
    <n v="6320"/>
    <n v="2"/>
    <n v="50"/>
    <n v="1"/>
    <x v="6"/>
    <n v="127"/>
    <n v="3160"/>
    <n v="4666"/>
    <n v="9607"/>
    <n v="0"/>
    <n v="0"/>
  </r>
  <r>
    <n v="5250"/>
    <n v="2"/>
    <n v="50"/>
    <n v="1"/>
    <x v="1"/>
    <n v="105"/>
    <n v="2625"/>
    <n v="4666"/>
    <n v="7980"/>
    <n v="0"/>
    <n v="0"/>
  </r>
  <r>
    <n v="2005"/>
    <n v="18"/>
    <n v="45"/>
    <n v="2"/>
    <x v="5"/>
    <n v="361"/>
    <n v="902.25"/>
    <n v="2333"/>
    <n v="3268.25"/>
    <n v="0"/>
    <n v="0"/>
  </r>
  <r>
    <n v="973.3"/>
    <n v="16"/>
    <n v="35"/>
    <n v="7"/>
    <x v="5"/>
    <n v="156"/>
    <n v="340.66"/>
    <n v="666.57"/>
    <n v="1469.96"/>
    <n v="0"/>
    <n v="0"/>
  </r>
  <r>
    <n v="1890"/>
    <n v="0"/>
    <n v="45"/>
    <n v="3"/>
    <x v="2"/>
    <n v="0"/>
    <n v="850.5"/>
    <n v="1555.33"/>
    <n v="2740.5"/>
    <n v="0"/>
    <n v="0"/>
  </r>
  <r>
    <n v="815"/>
    <n v="8"/>
    <n v="20"/>
    <n v="8"/>
    <x v="1"/>
    <n v="66"/>
    <n v="163"/>
    <n v="583.25"/>
    <n v="1044"/>
    <n v="0"/>
    <n v="0"/>
  </r>
  <r>
    <n v="2960"/>
    <n v="15"/>
    <n v="20"/>
    <n v="1"/>
    <x v="5"/>
    <n v="444"/>
    <n v="592"/>
    <n v="4666"/>
    <n v="3996"/>
    <n v="1"/>
    <n v="670"/>
  </r>
  <r>
    <n v="5430"/>
    <n v="19"/>
    <n v="15"/>
    <n v="1"/>
    <x v="3"/>
    <n v="1032"/>
    <n v="814.5"/>
    <n v="4666"/>
    <n v="7276.5"/>
    <n v="0"/>
    <n v="0"/>
  </r>
  <r>
    <n v="2115"/>
    <n v="6"/>
    <n v="45"/>
    <n v="2"/>
    <x v="2"/>
    <n v="127"/>
    <n v="951.75"/>
    <n v="2333"/>
    <n v="3193.75"/>
    <n v="0"/>
    <n v="0"/>
  </r>
  <r>
    <n v="1643"/>
    <n v="1"/>
    <n v="35"/>
    <n v="3"/>
    <x v="2"/>
    <n v="17"/>
    <n v="575.04999999999995"/>
    <n v="1555.33"/>
    <n v="2235.0500000000002"/>
    <n v="0"/>
    <n v="0"/>
  </r>
  <r>
    <n v="2320"/>
    <n v="10"/>
    <n v="25"/>
    <n v="3"/>
    <x v="1"/>
    <n v="232"/>
    <n v="580"/>
    <n v="1555.33"/>
    <n v="3132"/>
    <n v="0"/>
    <n v="0"/>
  </r>
  <r>
    <n v="1183"/>
    <n v="19"/>
    <n v="20"/>
    <n v="4"/>
    <x v="3"/>
    <n v="225"/>
    <n v="236.6"/>
    <n v="1166.5"/>
    <n v="1644.6"/>
    <n v="0"/>
    <n v="0"/>
  </r>
  <r>
    <n v="676"/>
    <n v="11"/>
    <n v="50"/>
    <n v="7"/>
    <x v="5"/>
    <n v="75"/>
    <n v="338"/>
    <n v="666.57"/>
    <n v="1089"/>
    <n v="0"/>
    <n v="0"/>
  </r>
  <r>
    <n v="375"/>
    <n v="0"/>
    <n v="10"/>
    <n v="10"/>
    <x v="5"/>
    <n v="0"/>
    <n v="37.5"/>
    <n v="466.6"/>
    <n v="412.5"/>
    <n v="1"/>
    <n v="54.100000000000023"/>
  </r>
  <r>
    <n v="666"/>
    <n v="18"/>
    <n v="35"/>
    <n v="9"/>
    <x v="2"/>
    <n v="120"/>
    <n v="233.1"/>
    <n v="518.44000000000005"/>
    <n v="1019.1"/>
    <n v="0"/>
    <n v="0"/>
  </r>
  <r>
    <n v="1020"/>
    <n v="4"/>
    <n v="50"/>
    <n v="6"/>
    <x v="0"/>
    <n v="41"/>
    <n v="510"/>
    <n v="777.67"/>
    <n v="1571"/>
    <n v="0"/>
    <n v="0"/>
  </r>
  <r>
    <n v="705"/>
    <n v="16"/>
    <n v="30"/>
    <n v="8"/>
    <x v="1"/>
    <n v="113"/>
    <n v="211.5"/>
    <n v="583.25"/>
    <n v="1029.5"/>
    <n v="0"/>
    <n v="0"/>
  </r>
  <r>
    <n v="676"/>
    <n v="9"/>
    <n v="0"/>
    <n v="7"/>
    <x v="4"/>
    <n v="61"/>
    <n v="0"/>
    <n v="666.57"/>
    <n v="737"/>
    <n v="0"/>
    <n v="0"/>
  </r>
  <r>
    <n v="560"/>
    <n v="8"/>
    <n v="30"/>
    <n v="8"/>
    <x v="0"/>
    <n v="45"/>
    <n v="168"/>
    <n v="583.25"/>
    <n v="773"/>
    <n v="0"/>
    <n v="0"/>
  </r>
  <r>
    <n v="1455"/>
    <n v="17"/>
    <n v="0"/>
    <n v="4"/>
    <x v="3"/>
    <n v="248"/>
    <n v="0"/>
    <n v="1166.5"/>
    <n v="1703"/>
    <n v="0"/>
    <n v="0"/>
  </r>
  <r>
    <n v="727"/>
    <n v="14"/>
    <n v="50"/>
    <n v="6"/>
    <x v="3"/>
    <n v="102"/>
    <n v="363.5"/>
    <n v="777.67"/>
    <n v="1192.5"/>
    <n v="0"/>
    <n v="0"/>
  </r>
  <r>
    <n v="497"/>
    <n v="13"/>
    <n v="40"/>
    <n v="9"/>
    <x v="4"/>
    <n v="65"/>
    <n v="198.8"/>
    <n v="518.44000000000005"/>
    <n v="760.8"/>
    <n v="0"/>
    <n v="0"/>
  </r>
  <r>
    <n v="1113"/>
    <n v="18"/>
    <n v="20"/>
    <n v="4"/>
    <x v="6"/>
    <n v="201"/>
    <n v="222.6"/>
    <n v="1166.5"/>
    <n v="1536.6"/>
    <n v="0"/>
    <n v="0"/>
  </r>
  <r>
    <n v="6370"/>
    <n v="0"/>
    <n v="15"/>
    <n v="1"/>
    <x v="2"/>
    <n v="0"/>
    <n v="955.5"/>
    <n v="4666"/>
    <n v="7325.5"/>
    <n v="0"/>
    <n v="0"/>
  </r>
  <r>
    <n v="1268"/>
    <n v="5"/>
    <n v="0"/>
    <n v="5"/>
    <x v="0"/>
    <n v="64"/>
    <n v="0"/>
    <n v="933.2"/>
    <n v="1332"/>
    <n v="0"/>
    <n v="0"/>
  </r>
  <r>
    <n v="5390"/>
    <n v="9"/>
    <n v="35"/>
    <n v="1"/>
    <x v="1"/>
    <n v="486"/>
    <n v="1886.5"/>
    <n v="4666"/>
    <n v="7762.5"/>
    <n v="0"/>
    <n v="0"/>
  </r>
  <r>
    <n v="306"/>
    <n v="13"/>
    <n v="45"/>
    <n v="9"/>
    <x v="3"/>
    <n v="40"/>
    <n v="137.69999999999999"/>
    <n v="518.44000000000005"/>
    <n v="483.7"/>
    <n v="1"/>
    <n v="34.740000000000066"/>
  </r>
  <r>
    <n v="3530"/>
    <n v="14"/>
    <n v="25"/>
    <n v="1"/>
    <x v="1"/>
    <n v="495"/>
    <n v="882.5"/>
    <n v="4666"/>
    <n v="4907.5"/>
    <n v="0"/>
    <n v="0"/>
  </r>
  <r>
    <n v="5130"/>
    <n v="19"/>
    <n v="20"/>
    <n v="1"/>
    <x v="2"/>
    <n v="975"/>
    <n v="1026"/>
    <n v="4666"/>
    <n v="7131"/>
    <n v="0"/>
    <n v="0"/>
  </r>
  <r>
    <n v="521"/>
    <n v="7"/>
    <n v="50"/>
    <n v="7"/>
    <x v="1"/>
    <n v="37"/>
    <n v="260.5"/>
    <n v="666.57"/>
    <n v="818.5"/>
    <n v="0"/>
    <n v="0"/>
  </r>
  <r>
    <n v="845"/>
    <n v="13"/>
    <n v="50"/>
    <n v="8"/>
    <x v="3"/>
    <n v="110"/>
    <n v="422.5"/>
    <n v="583.25"/>
    <n v="1377.5"/>
    <n v="0"/>
    <n v="0"/>
  </r>
  <r>
    <n v="713"/>
    <n v="16"/>
    <n v="5"/>
    <n v="9"/>
    <x v="5"/>
    <n v="115"/>
    <n v="35.65"/>
    <n v="518.44000000000005"/>
    <n v="863.65"/>
    <n v="0"/>
    <n v="0"/>
  </r>
  <r>
    <n v="560"/>
    <n v="16"/>
    <n v="25"/>
    <n v="9"/>
    <x v="4"/>
    <n v="90"/>
    <n v="140"/>
    <n v="518.44000000000005"/>
    <n v="790"/>
    <n v="0"/>
    <n v="0"/>
  </r>
  <r>
    <n v="3000"/>
    <n v="10"/>
    <n v="30"/>
    <n v="1"/>
    <x v="5"/>
    <n v="300"/>
    <n v="900"/>
    <n v="4666"/>
    <n v="4200"/>
    <n v="1"/>
    <n v="466"/>
  </r>
  <r>
    <n v="651"/>
    <n v="10"/>
    <n v="25"/>
    <n v="10"/>
    <x v="4"/>
    <n v="66"/>
    <n v="162.75"/>
    <n v="466.6"/>
    <n v="879.75"/>
    <n v="0"/>
    <n v="0"/>
  </r>
  <r>
    <n v="5970"/>
    <n v="7"/>
    <n v="25"/>
    <n v="1"/>
    <x v="0"/>
    <n v="418"/>
    <n v="1492.5"/>
    <n v="4666"/>
    <n v="7880.5"/>
    <n v="0"/>
    <n v="0"/>
  </r>
  <r>
    <n v="1423"/>
    <n v="0"/>
    <n v="15"/>
    <n v="3"/>
    <x v="3"/>
    <n v="0"/>
    <n v="213.45"/>
    <n v="1555.33"/>
    <n v="1636.45"/>
    <n v="0"/>
    <n v="0"/>
  </r>
  <r>
    <n v="5330"/>
    <n v="10"/>
    <n v="5"/>
    <n v="1"/>
    <x v="1"/>
    <n v="533"/>
    <n v="266.5"/>
    <n v="4666"/>
    <n v="6129.5"/>
    <n v="0"/>
    <n v="0"/>
  </r>
  <r>
    <n v="4730"/>
    <n v="13"/>
    <n v="15"/>
    <n v="1"/>
    <x v="5"/>
    <n v="615"/>
    <n v="709.5"/>
    <n v="4666"/>
    <n v="6054.5"/>
    <n v="0"/>
    <n v="0"/>
  </r>
  <r>
    <n v="789"/>
    <n v="10"/>
    <n v="40"/>
    <n v="8"/>
    <x v="0"/>
    <n v="79"/>
    <n v="315.60000000000002"/>
    <n v="583.25"/>
    <n v="1183.5999999999999"/>
    <n v="0"/>
    <n v="0"/>
  </r>
  <r>
    <n v="773"/>
    <n v="6"/>
    <n v="45"/>
    <n v="8"/>
    <x v="3"/>
    <n v="47"/>
    <n v="347.85"/>
    <n v="583.25"/>
    <n v="1167.8499999999999"/>
    <n v="0"/>
    <n v="0"/>
  </r>
  <r>
    <n v="6380"/>
    <n v="14"/>
    <n v="5"/>
    <n v="1"/>
    <x v="0"/>
    <n v="894"/>
    <n v="319"/>
    <n v="4666"/>
    <n v="7593"/>
    <n v="0"/>
    <n v="0"/>
  </r>
  <r>
    <n v="459"/>
    <n v="13"/>
    <n v="30"/>
    <n v="10"/>
    <x v="2"/>
    <n v="60"/>
    <n v="137.69999999999999"/>
    <n v="466.6"/>
    <n v="656.7"/>
    <n v="0"/>
    <n v="0"/>
  </r>
  <r>
    <n v="6360"/>
    <n v="1"/>
    <n v="20"/>
    <n v="1"/>
    <x v="1"/>
    <n v="64"/>
    <n v="1272"/>
    <n v="4666"/>
    <n v="7696"/>
    <n v="0"/>
    <n v="0"/>
  </r>
  <r>
    <n v="3355"/>
    <n v="14"/>
    <n v="25"/>
    <n v="2"/>
    <x v="6"/>
    <n v="470"/>
    <n v="838.75"/>
    <n v="2333"/>
    <n v="4663.75"/>
    <n v="0"/>
    <n v="0"/>
  </r>
  <r>
    <n v="1200"/>
    <n v="9"/>
    <n v="10"/>
    <n v="3"/>
    <x v="6"/>
    <n v="108"/>
    <n v="120"/>
    <n v="1555.33"/>
    <n v="1428"/>
    <n v="1"/>
    <n v="127.32999999999993"/>
  </r>
  <r>
    <n v="763"/>
    <n v="10"/>
    <n v="25"/>
    <n v="4"/>
    <x v="4"/>
    <n v="77"/>
    <n v="190.75"/>
    <n v="1166.5"/>
    <n v="1030.75"/>
    <n v="1"/>
    <n v="135.75"/>
  </r>
  <r>
    <n v="3180"/>
    <n v="8"/>
    <n v="35"/>
    <n v="1"/>
    <x v="2"/>
    <n v="255"/>
    <n v="1113"/>
    <n v="4666"/>
    <n v="4548"/>
    <n v="1"/>
    <n v="118"/>
  </r>
  <r>
    <n v="1013.3"/>
    <n v="0"/>
    <n v="35"/>
    <n v="3"/>
    <x v="6"/>
    <n v="0"/>
    <n v="354.66"/>
    <n v="1555.33"/>
    <n v="1367.96"/>
    <n v="1"/>
    <n v="187.36999999999989"/>
  </r>
  <r>
    <n v="5100"/>
    <n v="9"/>
    <n v="45"/>
    <n v="1"/>
    <x v="2"/>
    <n v="459"/>
    <n v="2295"/>
    <n v="4666"/>
    <n v="7854"/>
    <n v="0"/>
    <n v="0"/>
  </r>
  <r>
    <n v="1657"/>
    <n v="3"/>
    <n v="20"/>
    <n v="3"/>
    <x v="3"/>
    <n v="50"/>
    <n v="331.4"/>
    <n v="1555.33"/>
    <n v="2038.4"/>
    <n v="0"/>
    <n v="0"/>
  </r>
  <r>
    <n v="5470"/>
    <n v="15"/>
    <n v="5"/>
    <n v="1"/>
    <x v="1"/>
    <n v="821"/>
    <n v="273.5"/>
    <n v="4666"/>
    <n v="6564.5"/>
    <n v="0"/>
    <n v="0"/>
  </r>
  <r>
    <n v="296"/>
    <n v="20"/>
    <n v="15"/>
    <n v="10"/>
    <x v="2"/>
    <n v="60"/>
    <n v="44.4"/>
    <n v="466.6"/>
    <n v="400.4"/>
    <n v="1"/>
    <n v="66.200000000000045"/>
  </r>
  <r>
    <n v="2313"/>
    <n v="5"/>
    <n v="25"/>
    <n v="3"/>
    <x v="3"/>
    <n v="116"/>
    <n v="578.25"/>
    <n v="1555.33"/>
    <n v="3007.25"/>
    <n v="0"/>
    <n v="0"/>
  </r>
  <r>
    <n v="4100"/>
    <n v="14"/>
    <n v="30"/>
    <n v="1"/>
    <x v="6"/>
    <n v="574"/>
    <n v="1230"/>
    <n v="4666"/>
    <n v="5904"/>
    <n v="0"/>
    <n v="0"/>
  </r>
  <r>
    <n v="914"/>
    <n v="8"/>
    <n v="30"/>
    <n v="7"/>
    <x v="0"/>
    <n v="74"/>
    <n v="274.2"/>
    <n v="666.57"/>
    <n v="1262.2"/>
    <n v="0"/>
    <n v="0"/>
  </r>
  <r>
    <n v="4920"/>
    <n v="6"/>
    <n v="25"/>
    <n v="1"/>
    <x v="4"/>
    <n v="296"/>
    <n v="1230"/>
    <n v="4666"/>
    <n v="6446"/>
    <n v="0"/>
    <n v="0"/>
  </r>
  <r>
    <n v="574"/>
    <n v="5"/>
    <n v="40"/>
    <n v="7"/>
    <x v="0"/>
    <n v="29"/>
    <n v="229.6"/>
    <n v="666.57"/>
    <n v="832.6"/>
    <n v="0"/>
    <n v="0"/>
  </r>
  <r>
    <n v="1880"/>
    <n v="8"/>
    <n v="50"/>
    <n v="3"/>
    <x v="0"/>
    <n v="151"/>
    <n v="940"/>
    <n v="1555.33"/>
    <n v="2971"/>
    <n v="0"/>
    <n v="0"/>
  </r>
  <r>
    <n v="5090"/>
    <n v="11"/>
    <n v="0"/>
    <n v="1"/>
    <x v="5"/>
    <n v="560"/>
    <n v="0"/>
    <n v="4666"/>
    <n v="5650"/>
    <n v="0"/>
    <n v="0"/>
  </r>
  <r>
    <n v="2950"/>
    <n v="10"/>
    <n v="25"/>
    <n v="1"/>
    <x v="6"/>
    <n v="295"/>
    <n v="737.5"/>
    <n v="4666"/>
    <n v="3982.5"/>
    <n v="1"/>
    <n v="683.5"/>
  </r>
  <r>
    <n v="409"/>
    <n v="12"/>
    <n v="40"/>
    <n v="10"/>
    <x v="6"/>
    <n v="50"/>
    <n v="163.6"/>
    <n v="466.6"/>
    <n v="622.6"/>
    <n v="0"/>
    <n v="0"/>
  </r>
  <r>
    <n v="997"/>
    <n v="2"/>
    <n v="35"/>
    <n v="3"/>
    <x v="4"/>
    <n v="20"/>
    <n v="348.95"/>
    <n v="1555.33"/>
    <n v="1365.95"/>
    <n v="1"/>
    <n v="189.37999999999988"/>
  </r>
  <r>
    <n v="993"/>
    <n v="19"/>
    <n v="10"/>
    <n v="6"/>
    <x v="4"/>
    <n v="189"/>
    <n v="99.3"/>
    <n v="777.67"/>
    <n v="1281.3"/>
    <n v="0"/>
    <n v="0"/>
  </r>
  <r>
    <n v="1017"/>
    <n v="4"/>
    <n v="5"/>
    <n v="6"/>
    <x v="5"/>
    <n v="41"/>
    <n v="50.85"/>
    <n v="777.67"/>
    <n v="1108.8499999999999"/>
    <n v="0"/>
    <n v="0"/>
  </r>
  <r>
    <n v="683"/>
    <n v="8"/>
    <n v="5"/>
    <n v="10"/>
    <x v="5"/>
    <n v="55"/>
    <n v="34.15"/>
    <n v="466.6"/>
    <n v="772.15"/>
    <n v="0"/>
    <n v="0"/>
  </r>
  <r>
    <n v="880"/>
    <n v="17"/>
    <n v="10"/>
    <n v="7"/>
    <x v="5"/>
    <n v="150"/>
    <n v="88"/>
    <n v="666.57"/>
    <n v="1118"/>
    <n v="0"/>
    <n v="0"/>
  </r>
  <r>
    <n v="576"/>
    <n v="3"/>
    <n v="20"/>
    <n v="8"/>
    <x v="4"/>
    <n v="18"/>
    <n v="115.2"/>
    <n v="583.25"/>
    <n v="709.2"/>
    <n v="0"/>
    <n v="0"/>
  </r>
  <r>
    <n v="281"/>
    <n v="0"/>
    <n v="50"/>
    <n v="10"/>
    <x v="4"/>
    <n v="0"/>
    <n v="140.5"/>
    <n v="466.6"/>
    <n v="421.5"/>
    <n v="1"/>
    <n v="45.100000000000023"/>
  </r>
  <r>
    <n v="434"/>
    <n v="19"/>
    <n v="15"/>
    <n v="9"/>
    <x v="0"/>
    <n v="83"/>
    <n v="65.099999999999994"/>
    <n v="518.44000000000005"/>
    <n v="582.1"/>
    <n v="0"/>
    <n v="0"/>
  </r>
  <r>
    <n v="1473"/>
    <n v="1"/>
    <n v="5"/>
    <n v="4"/>
    <x v="6"/>
    <n v="15"/>
    <n v="73.650000000000006"/>
    <n v="1166.5"/>
    <n v="1561.65"/>
    <n v="0"/>
    <n v="0"/>
  </r>
  <r>
    <n v="618"/>
    <n v="4"/>
    <n v="15"/>
    <n v="9"/>
    <x v="3"/>
    <n v="25"/>
    <n v="92.7"/>
    <n v="518.44000000000005"/>
    <n v="735.7"/>
    <n v="0"/>
    <n v="0"/>
  </r>
  <r>
    <n v="401.9"/>
    <n v="13"/>
    <n v="5"/>
    <n v="10"/>
    <x v="5"/>
    <n v="53"/>
    <n v="20.100000000000001"/>
    <n v="466.6"/>
    <n v="475"/>
    <n v="0"/>
    <n v="0"/>
  </r>
  <r>
    <n v="905"/>
    <n v="2"/>
    <n v="15"/>
    <n v="4"/>
    <x v="6"/>
    <n v="19"/>
    <n v="135.75"/>
    <n v="1166.5"/>
    <n v="1059.75"/>
    <n v="1"/>
    <n v="106.75"/>
  </r>
  <r>
    <n v="1900"/>
    <n v="15"/>
    <n v="0"/>
    <n v="2"/>
    <x v="0"/>
    <n v="285"/>
    <n v="0"/>
    <n v="2333"/>
    <n v="2185"/>
    <n v="1"/>
    <n v="148"/>
  </r>
  <r>
    <n v="2100"/>
    <n v="17"/>
    <n v="5"/>
    <n v="2"/>
    <x v="0"/>
    <n v="357"/>
    <n v="105"/>
    <n v="2333"/>
    <n v="2562"/>
    <n v="0"/>
    <n v="0"/>
  </r>
  <r>
    <n v="1847"/>
    <n v="16"/>
    <n v="15"/>
    <n v="3"/>
    <x v="2"/>
    <n v="296"/>
    <n v="277.05"/>
    <n v="1555.33"/>
    <n v="2420.0500000000002"/>
    <n v="0"/>
    <n v="0"/>
  </r>
  <r>
    <n v="3600"/>
    <n v="12"/>
    <n v="5"/>
    <n v="1"/>
    <x v="2"/>
    <n v="432"/>
    <n v="180"/>
    <n v="4666"/>
    <n v="4212"/>
    <n v="1"/>
    <n v="454"/>
  </r>
  <r>
    <n v="5880"/>
    <n v="13"/>
    <n v="25"/>
    <n v="1"/>
    <x v="3"/>
    <n v="765"/>
    <n v="1470"/>
    <n v="4666"/>
    <n v="8115"/>
    <n v="0"/>
    <n v="0"/>
  </r>
  <r>
    <n v="5140"/>
    <n v="13"/>
    <n v="45"/>
    <n v="1"/>
    <x v="1"/>
    <n v="669"/>
    <n v="2313"/>
    <n v="4666"/>
    <n v="8122"/>
    <n v="0"/>
    <n v="0"/>
  </r>
  <r>
    <n v="320"/>
    <n v="19"/>
    <n v="25"/>
    <n v="9"/>
    <x v="6"/>
    <n v="61"/>
    <n v="80"/>
    <n v="518.44000000000005"/>
    <n v="461"/>
    <n v="1"/>
    <n v="57.440000000000055"/>
  </r>
  <r>
    <n v="819"/>
    <n v="12"/>
    <n v="20"/>
    <n v="7"/>
    <x v="1"/>
    <n v="99"/>
    <n v="163.80000000000001"/>
    <n v="666.57"/>
    <n v="1081.8"/>
    <n v="0"/>
    <n v="0"/>
  </r>
  <r>
    <n v="6370"/>
    <n v="13"/>
    <n v="45"/>
    <n v="1"/>
    <x v="5"/>
    <n v="829"/>
    <n v="2866.5"/>
    <n v="4666"/>
    <n v="10065.5"/>
    <n v="0"/>
    <n v="0"/>
  </r>
  <r>
    <n v="4770"/>
    <n v="3"/>
    <n v="35"/>
    <n v="1"/>
    <x v="2"/>
    <n v="144"/>
    <n v="1669.5"/>
    <n v="4666"/>
    <n v="6583.5"/>
    <n v="0"/>
    <n v="0"/>
  </r>
  <r>
    <n v="377"/>
    <n v="20"/>
    <n v="25"/>
    <n v="9"/>
    <x v="3"/>
    <n v="76"/>
    <n v="94.25"/>
    <n v="518.44000000000005"/>
    <n v="547.25"/>
    <n v="0"/>
    <n v="0"/>
  </r>
  <r>
    <n v="6690"/>
    <n v="2"/>
    <n v="20"/>
    <n v="1"/>
    <x v="1"/>
    <n v="134"/>
    <n v="1338"/>
    <n v="4666"/>
    <n v="8162"/>
    <n v="0"/>
    <n v="0"/>
  </r>
  <r>
    <n v="2790"/>
    <n v="16"/>
    <n v="40"/>
    <n v="1"/>
    <x v="5"/>
    <n v="447"/>
    <n v="1116"/>
    <n v="4666"/>
    <n v="4353"/>
    <n v="1"/>
    <n v="313"/>
  </r>
  <r>
    <n v="6090"/>
    <n v="17"/>
    <n v="50"/>
    <n v="1"/>
    <x v="4"/>
    <n v="1036"/>
    <n v="3045"/>
    <n v="4666"/>
    <n v="10171"/>
    <n v="0"/>
    <n v="0"/>
  </r>
  <r>
    <n v="1158"/>
    <n v="14"/>
    <n v="40"/>
    <n v="4"/>
    <x v="3"/>
    <n v="163"/>
    <n v="463.2"/>
    <n v="1166.5"/>
    <n v="1784.2"/>
    <n v="0"/>
    <n v="0"/>
  </r>
  <r>
    <n v="5440"/>
    <n v="6"/>
    <n v="30"/>
    <n v="1"/>
    <x v="2"/>
    <n v="327"/>
    <n v="1632"/>
    <n v="4666"/>
    <n v="7399"/>
    <n v="0"/>
    <n v="0"/>
  </r>
  <r>
    <n v="471"/>
    <n v="5"/>
    <n v="35"/>
    <n v="10"/>
    <x v="5"/>
    <n v="24"/>
    <n v="164.85"/>
    <n v="466.6"/>
    <n v="659.85"/>
    <n v="0"/>
    <n v="0"/>
  </r>
  <r>
    <n v="340"/>
    <n v="5"/>
    <n v="10"/>
    <n v="10"/>
    <x v="0"/>
    <n v="17"/>
    <n v="34"/>
    <n v="466.6"/>
    <n v="391"/>
    <n v="1"/>
    <n v="75.600000000000023"/>
  </r>
  <r>
    <n v="1825"/>
    <n v="19"/>
    <n v="15"/>
    <n v="2"/>
    <x v="1"/>
    <n v="347"/>
    <n v="273.75"/>
    <n v="2333"/>
    <n v="2445.75"/>
    <n v="0"/>
    <n v="0"/>
  </r>
  <r>
    <n v="1510"/>
    <n v="10"/>
    <n v="20"/>
    <n v="2"/>
    <x v="0"/>
    <n v="151"/>
    <n v="302"/>
    <n v="2333"/>
    <n v="1963"/>
    <n v="1"/>
    <n v="370"/>
  </r>
  <r>
    <n v="1175"/>
    <n v="14"/>
    <n v="30"/>
    <n v="4"/>
    <x v="2"/>
    <n v="165"/>
    <n v="352.5"/>
    <n v="1166.5"/>
    <n v="1692.5"/>
    <n v="0"/>
    <n v="0"/>
  </r>
  <r>
    <n v="3780"/>
    <n v="19"/>
    <n v="15"/>
    <n v="1"/>
    <x v="3"/>
    <n v="719"/>
    <n v="567"/>
    <n v="4666"/>
    <n v="5066"/>
    <n v="0"/>
    <n v="0"/>
  </r>
  <r>
    <n v="2915"/>
    <n v="15"/>
    <n v="45"/>
    <n v="2"/>
    <x v="5"/>
    <n v="438"/>
    <n v="1311.75"/>
    <n v="2333"/>
    <n v="4664.75"/>
    <n v="0"/>
    <n v="0"/>
  </r>
  <r>
    <n v="4220"/>
    <n v="6"/>
    <n v="50"/>
    <n v="1"/>
    <x v="2"/>
    <n v="254"/>
    <n v="2110"/>
    <n v="4666"/>
    <n v="6584"/>
    <n v="0"/>
    <n v="0"/>
  </r>
  <r>
    <n v="552"/>
    <n v="18"/>
    <n v="25"/>
    <n v="5"/>
    <x v="4"/>
    <n v="100"/>
    <n v="138"/>
    <n v="933.2"/>
    <n v="790"/>
    <n v="1"/>
    <n v="143.20000000000005"/>
  </r>
  <r>
    <n v="6160"/>
    <n v="5"/>
    <n v="20"/>
    <n v="1"/>
    <x v="5"/>
    <n v="308"/>
    <n v="1232"/>
    <n v="4666"/>
    <n v="7700"/>
    <n v="0"/>
    <n v="0"/>
  </r>
  <r>
    <n v="1437"/>
    <n v="9"/>
    <n v="40"/>
    <n v="3"/>
    <x v="5"/>
    <n v="130"/>
    <n v="574.79999999999995"/>
    <n v="1555.33"/>
    <n v="2141.8000000000002"/>
    <n v="0"/>
    <n v="0"/>
  </r>
  <r>
    <n v="952"/>
    <n v="5"/>
    <n v="45"/>
    <n v="6"/>
    <x v="4"/>
    <n v="48"/>
    <n v="428.4"/>
    <n v="777.67"/>
    <n v="1428.4"/>
    <n v="0"/>
    <n v="0"/>
  </r>
  <r>
    <n v="404"/>
    <n v="14"/>
    <n v="20"/>
    <n v="8"/>
    <x v="3"/>
    <n v="57"/>
    <n v="80.8"/>
    <n v="583.25"/>
    <n v="541.79999999999995"/>
    <n v="1"/>
    <n v="41.450000000000045"/>
  </r>
  <r>
    <n v="828"/>
    <n v="11"/>
    <n v="40"/>
    <n v="5"/>
    <x v="0"/>
    <n v="92"/>
    <n v="331.2"/>
    <n v="933.2"/>
    <n v="1251.2"/>
    <n v="0"/>
    <n v="0"/>
  </r>
  <r>
    <n v="906"/>
    <n v="17"/>
    <n v="35"/>
    <n v="7"/>
    <x v="5"/>
    <n v="155"/>
    <n v="317.10000000000002"/>
    <n v="666.57"/>
    <n v="1378.1"/>
    <n v="0"/>
    <n v="0"/>
  </r>
  <r>
    <n v="981"/>
    <n v="11"/>
    <n v="0"/>
    <n v="7"/>
    <x v="3"/>
    <n v="108"/>
    <n v="0"/>
    <n v="666.57"/>
    <n v="1089"/>
    <n v="0"/>
    <n v="0"/>
  </r>
  <r>
    <n v="1510"/>
    <n v="20"/>
    <n v="10"/>
    <n v="3"/>
    <x v="5"/>
    <n v="302"/>
    <n v="151"/>
    <n v="1555.33"/>
    <n v="1963"/>
    <n v="0"/>
    <n v="0"/>
  </r>
  <r>
    <n v="1563"/>
    <n v="13"/>
    <n v="35"/>
    <n v="4"/>
    <x v="4"/>
    <n v="204"/>
    <n v="547.04999999999995"/>
    <n v="1166.5"/>
    <n v="2314.0500000000002"/>
    <n v="0"/>
    <n v="0"/>
  </r>
  <r>
    <n v="531"/>
    <n v="19"/>
    <n v="10"/>
    <n v="7"/>
    <x v="2"/>
    <n v="101"/>
    <n v="53.1"/>
    <n v="666.57"/>
    <n v="685.1"/>
    <n v="0"/>
    <n v="0"/>
  </r>
  <r>
    <n v="839"/>
    <n v="11"/>
    <n v="20"/>
    <n v="8"/>
    <x v="1"/>
    <n v="93"/>
    <n v="167.8"/>
    <n v="583.25"/>
    <n v="1099.8"/>
    <n v="0"/>
    <n v="0"/>
  </r>
  <r>
    <n v="3650"/>
    <n v="6"/>
    <n v="5"/>
    <n v="1"/>
    <x v="2"/>
    <n v="219"/>
    <n v="182.5"/>
    <n v="4666"/>
    <n v="4051.5"/>
    <n v="1"/>
    <n v="614.5"/>
  </r>
  <r>
    <n v="1100"/>
    <n v="4"/>
    <n v="5"/>
    <n v="4"/>
    <x v="0"/>
    <n v="44"/>
    <n v="55"/>
    <n v="1166.5"/>
    <n v="1199"/>
    <n v="0"/>
    <n v="0"/>
  </r>
  <r>
    <n v="584"/>
    <n v="6"/>
    <n v="10"/>
    <n v="8"/>
    <x v="1"/>
    <n v="36"/>
    <n v="58.4"/>
    <n v="583.25"/>
    <n v="678.4"/>
    <n v="0"/>
    <n v="0"/>
  </r>
  <r>
    <n v="5250"/>
    <n v="16"/>
    <n v="20"/>
    <n v="1"/>
    <x v="6"/>
    <n v="840"/>
    <n v="1050"/>
    <n v="4666"/>
    <n v="7140"/>
    <n v="0"/>
    <n v="0"/>
  </r>
  <r>
    <n v="905"/>
    <n v="11"/>
    <n v="15"/>
    <n v="4"/>
    <x v="6"/>
    <n v="100"/>
    <n v="135.75"/>
    <n v="1166.5"/>
    <n v="1140.75"/>
    <n v="1"/>
    <n v="25.75"/>
  </r>
  <r>
    <n v="3800"/>
    <n v="9"/>
    <n v="35"/>
    <n v="1"/>
    <x v="4"/>
    <n v="342"/>
    <n v="1330"/>
    <n v="4666"/>
    <n v="5472"/>
    <n v="0"/>
    <n v="0"/>
  </r>
  <r>
    <n v="2095"/>
    <n v="9"/>
    <n v="35"/>
    <n v="2"/>
    <x v="6"/>
    <n v="189"/>
    <n v="733.25"/>
    <n v="2333"/>
    <n v="3017.25"/>
    <n v="0"/>
    <n v="0"/>
  </r>
  <r>
    <n v="6890"/>
    <n v="19"/>
    <n v="0"/>
    <n v="1"/>
    <x v="0"/>
    <n v="1310"/>
    <n v="0"/>
    <n v="4666"/>
    <n v="8200"/>
    <n v="0"/>
    <n v="0"/>
  </r>
  <r>
    <n v="1117"/>
    <n v="10"/>
    <n v="45"/>
    <n v="3"/>
    <x v="4"/>
    <n v="112"/>
    <n v="502.65"/>
    <n v="1555.33"/>
    <n v="1731.65"/>
    <n v="0"/>
    <n v="0"/>
  </r>
  <r>
    <n v="5900"/>
    <n v="11"/>
    <n v="15"/>
    <n v="1"/>
    <x v="2"/>
    <n v="649"/>
    <n v="885"/>
    <n v="4666"/>
    <n v="7434"/>
    <n v="0"/>
    <n v="0"/>
  </r>
  <r>
    <n v="3240"/>
    <n v="18"/>
    <n v="15"/>
    <n v="2"/>
    <x v="4"/>
    <n v="584"/>
    <n v="486"/>
    <n v="2333"/>
    <n v="4310"/>
    <n v="0"/>
    <n v="0"/>
  </r>
  <r>
    <n v="1530"/>
    <n v="6"/>
    <n v="0"/>
    <n v="3"/>
    <x v="0"/>
    <n v="92"/>
    <n v="0"/>
    <n v="1555.33"/>
    <n v="1622"/>
    <n v="0"/>
    <n v="0"/>
  </r>
  <r>
    <n v="388"/>
    <n v="18"/>
    <n v="30"/>
    <n v="8"/>
    <x v="1"/>
    <n v="70"/>
    <n v="116.4"/>
    <n v="583.25"/>
    <n v="574.4"/>
    <n v="1"/>
    <n v="8.8500000000000227"/>
  </r>
  <r>
    <n v="3360"/>
    <n v="3"/>
    <n v="30"/>
    <n v="1"/>
    <x v="4"/>
    <n v="101"/>
    <n v="1008"/>
    <n v="4666"/>
    <n v="4469"/>
    <n v="1"/>
    <n v="197"/>
  </r>
  <r>
    <n v="608"/>
    <n v="19"/>
    <n v="10"/>
    <n v="9"/>
    <x v="5"/>
    <n v="116"/>
    <n v="60.8"/>
    <n v="518.44000000000005"/>
    <n v="784.8"/>
    <n v="0"/>
    <n v="0"/>
  </r>
  <r>
    <n v="904"/>
    <n v="9"/>
    <n v="25"/>
    <n v="7"/>
    <x v="1"/>
    <n v="82"/>
    <n v="226"/>
    <n v="666.57"/>
    <n v="1212"/>
    <n v="0"/>
    <n v="0"/>
  </r>
  <r>
    <n v="1028"/>
    <n v="11"/>
    <n v="5"/>
    <n v="6"/>
    <x v="2"/>
    <n v="114"/>
    <n v="51.4"/>
    <n v="777.67"/>
    <n v="1193.4000000000001"/>
    <n v="0"/>
    <n v="0"/>
  </r>
  <r>
    <n v="6790"/>
    <n v="5"/>
    <n v="10"/>
    <n v="1"/>
    <x v="0"/>
    <n v="340"/>
    <n v="679"/>
    <n v="4666"/>
    <n v="7809"/>
    <n v="0"/>
    <n v="0"/>
  </r>
  <r>
    <n v="852"/>
    <n v="18"/>
    <n v="45"/>
    <n v="5"/>
    <x v="4"/>
    <n v="154"/>
    <n v="383.4"/>
    <n v="933.2"/>
    <n v="1389.4"/>
    <n v="0"/>
    <n v="0"/>
  </r>
  <r>
    <n v="918"/>
    <n v="5"/>
    <n v="10"/>
    <n v="6"/>
    <x v="6"/>
    <n v="46"/>
    <n v="91.8"/>
    <n v="777.67"/>
    <n v="1055.8"/>
    <n v="0"/>
    <n v="0"/>
  </r>
  <r>
    <n v="1527"/>
    <n v="10"/>
    <n v="45"/>
    <n v="3"/>
    <x v="1"/>
    <n v="153"/>
    <n v="687.15"/>
    <n v="1555.33"/>
    <n v="2367.15"/>
    <n v="0"/>
    <n v="0"/>
  </r>
  <r>
    <n v="6640"/>
    <n v="18"/>
    <n v="35"/>
    <n v="1"/>
    <x v="5"/>
    <n v="1196"/>
    <n v="2324"/>
    <n v="4666"/>
    <n v="10160"/>
    <n v="0"/>
    <n v="0"/>
  </r>
  <r>
    <n v="3200"/>
    <n v="1"/>
    <n v="25"/>
    <n v="1"/>
    <x v="6"/>
    <n v="32"/>
    <n v="800"/>
    <n v="4666"/>
    <n v="4032"/>
    <n v="1"/>
    <n v="634"/>
  </r>
  <r>
    <n v="6310"/>
    <n v="6"/>
    <n v="30"/>
    <n v="1"/>
    <x v="5"/>
    <n v="379"/>
    <n v="1893"/>
    <n v="4666"/>
    <n v="8582"/>
    <n v="0"/>
    <n v="0"/>
  </r>
  <r>
    <n v="403"/>
    <n v="20"/>
    <n v="20"/>
    <n v="8"/>
    <x v="6"/>
    <n v="81"/>
    <n v="80.599999999999994"/>
    <n v="583.25"/>
    <n v="564.6"/>
    <n v="1"/>
    <n v="18.649999999999977"/>
  </r>
  <r>
    <n v="648"/>
    <n v="18"/>
    <n v="30"/>
    <n v="9"/>
    <x v="2"/>
    <n v="117"/>
    <n v="194.4"/>
    <n v="518.44000000000005"/>
    <n v="959.4"/>
    <n v="0"/>
    <n v="0"/>
  </r>
  <r>
    <n v="4930"/>
    <n v="10"/>
    <n v="10"/>
    <n v="1"/>
    <x v="3"/>
    <n v="493"/>
    <n v="493"/>
    <n v="4666"/>
    <n v="5916"/>
    <n v="0"/>
    <n v="0"/>
  </r>
  <r>
    <n v="496"/>
    <n v="17"/>
    <n v="35"/>
    <n v="10"/>
    <x v="0"/>
    <n v="85"/>
    <n v="173.6"/>
    <n v="466.6"/>
    <n v="754.6"/>
    <n v="0"/>
    <n v="0"/>
  </r>
  <r>
    <n v="1338"/>
    <n v="20"/>
    <n v="30"/>
    <n v="4"/>
    <x v="3"/>
    <n v="268"/>
    <n v="401.4"/>
    <n v="1166.5"/>
    <n v="2007.4"/>
    <n v="0"/>
    <n v="0"/>
  </r>
  <r>
    <n v="4190"/>
    <n v="13"/>
    <n v="0"/>
    <n v="1"/>
    <x v="4"/>
    <n v="545"/>
    <n v="0"/>
    <n v="4666"/>
    <n v="4735"/>
    <n v="0"/>
    <n v="0"/>
  </r>
  <r>
    <n v="610"/>
    <n v="17"/>
    <n v="0"/>
    <n v="10"/>
    <x v="0"/>
    <n v="104"/>
    <n v="0"/>
    <n v="466.6"/>
    <n v="714"/>
    <n v="0"/>
    <n v="0"/>
  </r>
  <r>
    <n v="5220"/>
    <n v="0"/>
    <n v="15"/>
    <n v="1"/>
    <x v="6"/>
    <n v="0"/>
    <n v="783"/>
    <n v="4666"/>
    <n v="6003"/>
    <n v="0"/>
    <n v="0"/>
  </r>
  <r>
    <n v="457"/>
    <n v="7"/>
    <n v="20"/>
    <n v="9"/>
    <x v="2"/>
    <n v="32"/>
    <n v="91.4"/>
    <n v="518.44000000000005"/>
    <n v="580.4"/>
    <n v="0"/>
    <n v="0"/>
  </r>
  <r>
    <n v="991"/>
    <n v="18"/>
    <n v="5"/>
    <n v="7"/>
    <x v="6"/>
    <n v="179"/>
    <n v="49.55"/>
    <n v="666.57"/>
    <n v="1219.55"/>
    <n v="0"/>
    <n v="0"/>
  </r>
  <r>
    <n v="1083"/>
    <n v="2"/>
    <n v="35"/>
    <n v="3"/>
    <x v="6"/>
    <n v="22"/>
    <n v="379.05"/>
    <n v="1555.33"/>
    <n v="1484.05"/>
    <n v="1"/>
    <n v="71.279999999999973"/>
  </r>
  <r>
    <n v="380"/>
    <n v="20"/>
    <n v="10"/>
    <n v="8"/>
    <x v="1"/>
    <n v="76"/>
    <n v="38"/>
    <n v="583.25"/>
    <n v="494"/>
    <n v="1"/>
    <n v="89.25"/>
  </r>
  <r>
    <n v="849"/>
    <n v="13"/>
    <n v="50"/>
    <n v="8"/>
    <x v="0"/>
    <n v="111"/>
    <n v="424.5"/>
    <n v="583.25"/>
    <n v="1384.5"/>
    <n v="0"/>
    <n v="0"/>
  </r>
  <r>
    <n v="1453"/>
    <n v="5"/>
    <n v="50"/>
    <n v="3"/>
    <x v="0"/>
    <n v="73"/>
    <n v="726.5"/>
    <n v="1555.33"/>
    <n v="2252.5"/>
    <n v="0"/>
    <n v="0"/>
  </r>
  <r>
    <n v="4060"/>
    <n v="5"/>
    <n v="30"/>
    <n v="1"/>
    <x v="3"/>
    <n v="203"/>
    <n v="1218"/>
    <n v="4666"/>
    <n v="5481"/>
    <n v="0"/>
    <n v="0"/>
  </r>
  <r>
    <n v="997"/>
    <n v="11"/>
    <n v="10"/>
    <n v="6"/>
    <x v="1"/>
    <n v="110"/>
    <n v="99.7"/>
    <n v="777.67"/>
    <n v="1206.7"/>
    <n v="0"/>
    <n v="0"/>
  </r>
  <r>
    <n v="3445"/>
    <n v="10"/>
    <n v="50"/>
    <n v="2"/>
    <x v="6"/>
    <n v="345"/>
    <n v="1722.5"/>
    <n v="2333"/>
    <n v="5512.5"/>
    <n v="0"/>
    <n v="0"/>
  </r>
  <r>
    <n v="1158"/>
    <n v="12"/>
    <n v="25"/>
    <n v="5"/>
    <x v="5"/>
    <n v="139"/>
    <n v="289.5"/>
    <n v="933.2"/>
    <n v="1586.5"/>
    <n v="0"/>
    <n v="0"/>
  </r>
  <r>
    <n v="3250"/>
    <n v="10"/>
    <n v="15"/>
    <n v="1"/>
    <x v="3"/>
    <n v="325"/>
    <n v="487.5"/>
    <n v="4666"/>
    <n v="4062.5"/>
    <n v="1"/>
    <n v="603.5"/>
  </r>
  <r>
    <n v="6940"/>
    <n v="18"/>
    <n v="35"/>
    <n v="1"/>
    <x v="6"/>
    <n v="1250"/>
    <n v="2429"/>
    <n v="4666"/>
    <n v="10619"/>
    <n v="0"/>
    <n v="0"/>
  </r>
  <r>
    <n v="2725"/>
    <n v="11"/>
    <n v="45"/>
    <n v="2"/>
    <x v="3"/>
    <n v="300"/>
    <n v="1226.25"/>
    <n v="2333"/>
    <n v="4251.25"/>
    <n v="0"/>
    <n v="0"/>
  </r>
  <r>
    <n v="6000"/>
    <n v="19"/>
    <n v="15"/>
    <n v="1"/>
    <x v="5"/>
    <n v="1140"/>
    <n v="900"/>
    <n v="4666"/>
    <n v="8040"/>
    <n v="0"/>
    <n v="0"/>
  </r>
  <r>
    <n v="628"/>
    <n v="12"/>
    <n v="15"/>
    <n v="8"/>
    <x v="6"/>
    <n v="76"/>
    <n v="94.2"/>
    <n v="583.25"/>
    <n v="798.2"/>
    <n v="0"/>
    <n v="0"/>
  </r>
  <r>
    <n v="3250"/>
    <n v="17"/>
    <n v="10"/>
    <n v="2"/>
    <x v="1"/>
    <n v="553"/>
    <n v="325"/>
    <n v="2333"/>
    <n v="4128"/>
    <n v="0"/>
    <n v="0"/>
  </r>
  <r>
    <n v="469"/>
    <n v="15"/>
    <n v="15"/>
    <n v="7"/>
    <x v="0"/>
    <n v="71"/>
    <n v="70.349999999999994"/>
    <n v="666.57"/>
    <n v="610.35"/>
    <n v="1"/>
    <n v="56.220000000000027"/>
  </r>
  <r>
    <n v="5590"/>
    <n v="13"/>
    <n v="0"/>
    <n v="1"/>
    <x v="1"/>
    <n v="727"/>
    <n v="0"/>
    <n v="4666"/>
    <n v="6317"/>
    <n v="0"/>
    <n v="0"/>
  </r>
  <r>
    <n v="1680"/>
    <n v="10"/>
    <n v="35"/>
    <n v="4"/>
    <x v="5"/>
    <n v="168"/>
    <n v="588"/>
    <n v="1166.5"/>
    <n v="2436"/>
    <n v="0"/>
    <n v="0"/>
  </r>
  <r>
    <n v="526"/>
    <n v="16"/>
    <n v="45"/>
    <n v="7"/>
    <x v="0"/>
    <n v="85"/>
    <n v="236.7"/>
    <n v="666.57"/>
    <n v="847.7"/>
    <n v="0"/>
    <n v="0"/>
  </r>
  <r>
    <n v="4240"/>
    <n v="1"/>
    <n v="40"/>
    <n v="1"/>
    <x v="6"/>
    <n v="43"/>
    <n v="1696"/>
    <n v="4666"/>
    <n v="5979"/>
    <n v="0"/>
    <n v="0"/>
  </r>
  <r>
    <n v="622"/>
    <n v="10"/>
    <n v="10"/>
    <n v="10"/>
    <x v="1"/>
    <n v="63"/>
    <n v="62.2"/>
    <n v="466.6"/>
    <n v="747.2"/>
    <n v="0"/>
    <n v="0"/>
  </r>
  <r>
    <n v="372"/>
    <n v="15"/>
    <n v="40"/>
    <n v="9"/>
    <x v="1"/>
    <n v="56"/>
    <n v="148.80000000000001"/>
    <n v="518.44000000000005"/>
    <n v="576.79999999999995"/>
    <n v="0"/>
    <n v="0"/>
  </r>
  <r>
    <n v="509"/>
    <n v="4"/>
    <n v="10"/>
    <n v="10"/>
    <x v="5"/>
    <n v="21"/>
    <n v="50.9"/>
    <n v="466.6"/>
    <n v="580.9"/>
    <n v="0"/>
    <n v="0"/>
  </r>
  <r>
    <n v="1228"/>
    <n v="0"/>
    <n v="5"/>
    <n v="4"/>
    <x v="1"/>
    <n v="0"/>
    <n v="61.4"/>
    <n v="1166.5"/>
    <n v="1289.4000000000001"/>
    <n v="0"/>
    <n v="0"/>
  </r>
  <r>
    <n v="1360"/>
    <n v="12"/>
    <n v="25"/>
    <n v="3"/>
    <x v="2"/>
    <n v="164"/>
    <n v="340"/>
    <n v="1555.33"/>
    <n v="1864"/>
    <n v="0"/>
    <n v="0"/>
  </r>
  <r>
    <n v="4650"/>
    <n v="2"/>
    <n v="50"/>
    <n v="1"/>
    <x v="2"/>
    <n v="93"/>
    <n v="2325"/>
    <n v="4666"/>
    <n v="7068"/>
    <n v="0"/>
    <n v="0"/>
  </r>
  <r>
    <n v="2860"/>
    <n v="14"/>
    <n v="35"/>
    <n v="1"/>
    <x v="0"/>
    <n v="401"/>
    <n v="1001"/>
    <n v="4666"/>
    <n v="4262"/>
    <n v="1"/>
    <n v="404"/>
  </r>
  <r>
    <n v="1615"/>
    <n v="2"/>
    <n v="5"/>
    <n v="4"/>
    <x v="4"/>
    <n v="33"/>
    <n v="80.75"/>
    <n v="1166.5"/>
    <n v="1728.75"/>
    <n v="0"/>
    <n v="0"/>
  </r>
  <r>
    <n v="1650"/>
    <n v="10"/>
    <n v="15"/>
    <n v="2"/>
    <x v="0"/>
    <n v="165"/>
    <n v="247.5"/>
    <n v="2333"/>
    <n v="2062.5"/>
    <n v="1"/>
    <n v="270.5"/>
  </r>
  <r>
    <n v="5870"/>
    <n v="19"/>
    <n v="45"/>
    <n v="1"/>
    <x v="5"/>
    <n v="1116"/>
    <n v="2641.5"/>
    <n v="4666"/>
    <n v="9627.5"/>
    <n v="0"/>
    <n v="0"/>
  </r>
  <r>
    <n v="4450"/>
    <n v="10"/>
    <n v="25"/>
    <n v="1"/>
    <x v="2"/>
    <n v="445"/>
    <n v="1112.5"/>
    <n v="4666"/>
    <n v="6007.5"/>
    <n v="0"/>
    <n v="0"/>
  </r>
  <r>
    <n v="6830"/>
    <n v="3"/>
    <n v="25"/>
    <n v="1"/>
    <x v="3"/>
    <n v="205"/>
    <n v="1707.5"/>
    <n v="4666"/>
    <n v="8742.5"/>
    <n v="0"/>
    <n v="0"/>
  </r>
  <r>
    <n v="3940"/>
    <n v="9"/>
    <n v="30"/>
    <n v="1"/>
    <x v="4"/>
    <n v="355"/>
    <n v="1182"/>
    <n v="4666"/>
    <n v="5477"/>
    <n v="0"/>
    <n v="0"/>
  </r>
  <r>
    <n v="2480"/>
    <n v="15"/>
    <n v="35"/>
    <n v="2"/>
    <x v="2"/>
    <n v="372"/>
    <n v="868"/>
    <n v="2333"/>
    <n v="3720"/>
    <n v="0"/>
    <n v="0"/>
  </r>
  <r>
    <n v="1285"/>
    <n v="8"/>
    <n v="40"/>
    <n v="4"/>
    <x v="1"/>
    <n v="103"/>
    <n v="514"/>
    <n v="1166.5"/>
    <n v="1902"/>
    <n v="0"/>
    <n v="0"/>
  </r>
  <r>
    <n v="2870"/>
    <n v="17"/>
    <n v="50"/>
    <n v="1"/>
    <x v="0"/>
    <n v="488"/>
    <n v="1435"/>
    <n v="4666"/>
    <n v="4793"/>
    <n v="0"/>
    <n v="0"/>
  </r>
  <r>
    <n v="1483.5"/>
    <n v="1"/>
    <n v="45"/>
    <n v="3"/>
    <x v="4"/>
    <n v="15"/>
    <n v="667.58"/>
    <n v="1555.33"/>
    <n v="2166.08"/>
    <n v="0"/>
    <n v="0"/>
  </r>
  <r>
    <n v="4590"/>
    <n v="1"/>
    <n v="40"/>
    <n v="1"/>
    <x v="1"/>
    <n v="46"/>
    <n v="1836"/>
    <n v="4666"/>
    <n v="6472"/>
    <n v="0"/>
    <n v="0"/>
  </r>
  <r>
    <n v="3350"/>
    <n v="9"/>
    <n v="45"/>
    <n v="1"/>
    <x v="0"/>
    <n v="302"/>
    <n v="1507.5"/>
    <n v="4666"/>
    <n v="5159.5"/>
    <n v="0"/>
    <n v="0"/>
  </r>
  <r>
    <n v="5940"/>
    <n v="8"/>
    <n v="35"/>
    <n v="1"/>
    <x v="4"/>
    <n v="476"/>
    <n v="2079"/>
    <n v="4666"/>
    <n v="8495"/>
    <n v="0"/>
    <n v="0"/>
  </r>
  <r>
    <n v="1137"/>
    <n v="20"/>
    <n v="30"/>
    <n v="6"/>
    <x v="3"/>
    <n v="228"/>
    <n v="341.1"/>
    <n v="777.67"/>
    <n v="1706.1"/>
    <n v="0"/>
    <n v="0"/>
  </r>
  <r>
    <n v="1396"/>
    <n v="2"/>
    <n v="45"/>
    <n v="5"/>
    <x v="2"/>
    <n v="28"/>
    <n v="628.20000000000005"/>
    <n v="933.2"/>
    <n v="2052.1999999999998"/>
    <n v="0"/>
    <n v="0"/>
  </r>
  <r>
    <n v="6490"/>
    <n v="1"/>
    <n v="50"/>
    <n v="1"/>
    <x v="4"/>
    <n v="65"/>
    <n v="3245"/>
    <n v="4666"/>
    <n v="9800"/>
    <n v="0"/>
    <n v="0"/>
  </r>
  <r>
    <n v="326"/>
    <n v="17"/>
    <n v="40"/>
    <n v="9"/>
    <x v="0"/>
    <n v="56"/>
    <n v="130.4"/>
    <n v="518.44000000000005"/>
    <n v="512.4"/>
    <n v="1"/>
    <n v="6.0400000000000773"/>
  </r>
  <r>
    <n v="5900"/>
    <n v="6"/>
    <n v="5"/>
    <n v="1"/>
    <x v="2"/>
    <n v="354"/>
    <n v="295"/>
    <n v="4666"/>
    <n v="6549"/>
    <n v="0"/>
    <n v="0"/>
  </r>
  <r>
    <n v="1897"/>
    <n v="16"/>
    <n v="5"/>
    <n v="3"/>
    <x v="0"/>
    <n v="304"/>
    <n v="94.85"/>
    <n v="1555.33"/>
    <n v="2295.85"/>
    <n v="0"/>
    <n v="0"/>
  </r>
  <r>
    <n v="835"/>
    <n v="15"/>
    <n v="5"/>
    <n v="4"/>
    <x v="4"/>
    <n v="126"/>
    <n v="41.75"/>
    <n v="1166.5"/>
    <n v="1002.75"/>
    <n v="1"/>
    <n v="163.75"/>
  </r>
  <r>
    <n v="1022"/>
    <n v="4"/>
    <n v="5"/>
    <n v="6"/>
    <x v="3"/>
    <n v="41"/>
    <n v="51.1"/>
    <n v="777.67"/>
    <n v="1114.0999999999999"/>
    <n v="0"/>
    <n v="0"/>
  </r>
  <r>
    <n v="1680"/>
    <n v="6"/>
    <n v="15"/>
    <n v="3"/>
    <x v="0"/>
    <n v="101"/>
    <n v="252"/>
    <n v="1555.33"/>
    <n v="2033"/>
    <n v="0"/>
    <n v="0"/>
  </r>
  <r>
    <n v="510"/>
    <n v="5"/>
    <n v="0"/>
    <n v="8"/>
    <x v="2"/>
    <n v="26"/>
    <n v="0"/>
    <n v="583.25"/>
    <n v="536"/>
    <n v="1"/>
    <n v="47.25"/>
  </r>
  <r>
    <n v="1893"/>
    <n v="5"/>
    <n v="40"/>
    <n v="3"/>
    <x v="5"/>
    <n v="95"/>
    <n v="757.2"/>
    <n v="1555.33"/>
    <n v="2745.2"/>
    <n v="0"/>
    <n v="0"/>
  </r>
  <r>
    <n v="4620"/>
    <n v="20"/>
    <n v="20"/>
    <n v="1"/>
    <x v="3"/>
    <n v="924"/>
    <n v="924"/>
    <n v="4666"/>
    <n v="6468"/>
    <n v="0"/>
    <n v="0"/>
  </r>
  <r>
    <n v="3500"/>
    <n v="7"/>
    <n v="20"/>
    <n v="1"/>
    <x v="0"/>
    <n v="245"/>
    <n v="700"/>
    <n v="4666"/>
    <n v="4445"/>
    <n v="1"/>
    <n v="221"/>
  </r>
  <r>
    <n v="5890"/>
    <n v="6"/>
    <n v="45"/>
    <n v="1"/>
    <x v="6"/>
    <n v="354"/>
    <n v="2650.5"/>
    <n v="4666"/>
    <n v="8894.5"/>
    <n v="0"/>
    <n v="0"/>
  </r>
  <r>
    <n v="636"/>
    <n v="20"/>
    <n v="40"/>
    <n v="8"/>
    <x v="5"/>
    <n v="128"/>
    <n v="254.4"/>
    <n v="583.25"/>
    <n v="1018.4"/>
    <n v="0"/>
    <n v="0"/>
  </r>
  <r>
    <n v="1543"/>
    <n v="9"/>
    <n v="45"/>
    <n v="4"/>
    <x v="4"/>
    <n v="139"/>
    <n v="694.35"/>
    <n v="1166.5"/>
    <n v="2376.35"/>
    <n v="0"/>
    <n v="0"/>
  </r>
  <r>
    <n v="306"/>
    <n v="3"/>
    <n v="45"/>
    <n v="9"/>
    <x v="0"/>
    <n v="10"/>
    <n v="137.69999999999999"/>
    <n v="518.44000000000005"/>
    <n v="453.7"/>
    <n v="1"/>
    <n v="64.740000000000066"/>
  </r>
  <r>
    <n v="1690"/>
    <n v="11"/>
    <n v="40"/>
    <n v="3"/>
    <x v="1"/>
    <n v="186"/>
    <n v="676"/>
    <n v="1555.33"/>
    <n v="2552"/>
    <n v="0"/>
    <n v="0"/>
  </r>
  <r>
    <n v="606"/>
    <n v="16"/>
    <n v="30"/>
    <n v="7"/>
    <x v="6"/>
    <n v="97"/>
    <n v="181.8"/>
    <n v="666.57"/>
    <n v="884.8"/>
    <n v="0"/>
    <n v="0"/>
  </r>
  <r>
    <n v="5910"/>
    <n v="17"/>
    <n v="5"/>
    <n v="1"/>
    <x v="4"/>
    <n v="1005"/>
    <n v="295.5"/>
    <n v="4666"/>
    <n v="7210.5"/>
    <n v="0"/>
    <n v="0"/>
  </r>
  <r>
    <n v="339"/>
    <n v="18"/>
    <n v="25"/>
    <n v="10"/>
    <x v="6"/>
    <n v="62"/>
    <n v="84.75"/>
    <n v="466.6"/>
    <n v="485.75"/>
    <n v="0"/>
    <n v="0"/>
  </r>
  <r>
    <n v="4060"/>
    <n v="4"/>
    <n v="25"/>
    <n v="1"/>
    <x v="4"/>
    <n v="163"/>
    <n v="1015"/>
    <n v="4666"/>
    <n v="5238"/>
    <n v="0"/>
    <n v="0"/>
  </r>
  <r>
    <n v="1160"/>
    <n v="0"/>
    <n v="25"/>
    <n v="6"/>
    <x v="0"/>
    <n v="0"/>
    <n v="290"/>
    <n v="777.67"/>
    <n v="1450"/>
    <n v="0"/>
    <n v="0"/>
  </r>
  <r>
    <n v="394"/>
    <n v="12"/>
    <n v="30"/>
    <n v="9"/>
    <x v="2"/>
    <n v="48"/>
    <n v="118.2"/>
    <n v="518.44000000000005"/>
    <n v="560.20000000000005"/>
    <n v="0"/>
    <n v="0"/>
  </r>
  <r>
    <n v="930"/>
    <n v="7"/>
    <n v="35"/>
    <n v="7"/>
    <x v="4"/>
    <n v="66"/>
    <n v="325.5"/>
    <n v="666.57"/>
    <n v="1321.5"/>
    <n v="0"/>
    <n v="0"/>
  </r>
  <r>
    <n v="366"/>
    <n v="7"/>
    <n v="35"/>
    <n v="10"/>
    <x v="2"/>
    <n v="26"/>
    <n v="128.1"/>
    <n v="466.6"/>
    <n v="520.1"/>
    <n v="0"/>
    <n v="0"/>
  </r>
  <r>
    <n v="413"/>
    <n v="11"/>
    <n v="10"/>
    <n v="9"/>
    <x v="3"/>
    <n v="46"/>
    <n v="41.3"/>
    <n v="518.44000000000005"/>
    <n v="500.3"/>
    <n v="1"/>
    <n v="18.140000000000043"/>
  </r>
  <r>
    <n v="357.5"/>
    <n v="10"/>
    <n v="25"/>
    <n v="9"/>
    <x v="0"/>
    <n v="36"/>
    <n v="89.38"/>
    <n v="518.44000000000005"/>
    <n v="482.88"/>
    <n v="1"/>
    <n v="35.560000000000059"/>
  </r>
  <r>
    <n v="2825"/>
    <n v="2"/>
    <n v="10"/>
    <n v="2"/>
    <x v="6"/>
    <n v="57"/>
    <n v="282.5"/>
    <n v="2333"/>
    <n v="3164.5"/>
    <n v="0"/>
    <n v="0"/>
  </r>
  <r>
    <n v="608"/>
    <n v="1"/>
    <n v="15"/>
    <n v="6"/>
    <x v="1"/>
    <n v="7"/>
    <n v="91.2"/>
    <n v="777.67"/>
    <n v="706.2"/>
    <n v="1"/>
    <n v="71.469999999999914"/>
  </r>
  <r>
    <n v="4130"/>
    <n v="18"/>
    <n v="0"/>
    <n v="1"/>
    <x v="4"/>
    <n v="744"/>
    <n v="0"/>
    <n v="4666"/>
    <n v="4874"/>
    <n v="0"/>
    <n v="0"/>
  </r>
  <r>
    <n v="851"/>
    <n v="15"/>
    <n v="30"/>
    <n v="8"/>
    <x v="2"/>
    <n v="128"/>
    <n v="255.3"/>
    <n v="583.25"/>
    <n v="1234.3"/>
    <n v="0"/>
    <n v="0"/>
  </r>
  <r>
    <n v="422"/>
    <n v="20"/>
    <n v="10"/>
    <n v="9"/>
    <x v="2"/>
    <n v="85"/>
    <n v="42.2"/>
    <n v="518.44000000000005"/>
    <n v="549.20000000000005"/>
    <n v="0"/>
    <n v="0"/>
  </r>
  <r>
    <n v="698"/>
    <n v="15"/>
    <n v="0"/>
    <n v="9"/>
    <x v="5"/>
    <n v="105"/>
    <n v="0"/>
    <n v="518.44000000000005"/>
    <n v="803"/>
    <n v="0"/>
    <n v="0"/>
  </r>
  <r>
    <n v="657"/>
    <n v="2"/>
    <n v="45"/>
    <n v="7"/>
    <x v="3"/>
    <n v="14"/>
    <n v="295.64999999999998"/>
    <n v="666.57"/>
    <n v="966.65"/>
    <n v="0"/>
    <n v="0"/>
  </r>
  <r>
    <n v="957"/>
    <n v="5"/>
    <n v="35"/>
    <n v="3"/>
    <x v="3"/>
    <n v="48"/>
    <n v="334.95"/>
    <n v="1555.33"/>
    <n v="1339.95"/>
    <n v="1"/>
    <n v="215.37999999999988"/>
  </r>
  <r>
    <n v="2790"/>
    <n v="18"/>
    <n v="30"/>
    <n v="1"/>
    <x v="3"/>
    <n v="503"/>
    <n v="837"/>
    <n v="4666"/>
    <n v="4130"/>
    <n v="1"/>
    <n v="536"/>
  </r>
  <r>
    <n v="585"/>
    <n v="6"/>
    <n v="5"/>
    <n v="10"/>
    <x v="2"/>
    <n v="36"/>
    <n v="29.25"/>
    <n v="466.6"/>
    <n v="650.25"/>
    <n v="0"/>
    <n v="0"/>
  </r>
  <r>
    <n v="1323"/>
    <n v="2"/>
    <n v="50"/>
    <n v="4"/>
    <x v="4"/>
    <n v="27"/>
    <n v="661.5"/>
    <n v="1166.5"/>
    <n v="2011.5"/>
    <n v="0"/>
    <n v="0"/>
  </r>
  <r>
    <n v="5490"/>
    <n v="17"/>
    <n v="0"/>
    <n v="1"/>
    <x v="3"/>
    <n v="934"/>
    <n v="0"/>
    <n v="4666"/>
    <n v="6424"/>
    <n v="0"/>
    <n v="0"/>
  </r>
  <r>
    <n v="484"/>
    <n v="8"/>
    <n v="0"/>
    <n v="9"/>
    <x v="6"/>
    <n v="39"/>
    <n v="0"/>
    <n v="518.44000000000005"/>
    <n v="523"/>
    <n v="0"/>
    <n v="0"/>
  </r>
  <r>
    <n v="950"/>
    <n v="8"/>
    <n v="30"/>
    <n v="3"/>
    <x v="3"/>
    <n v="76"/>
    <n v="285"/>
    <n v="1555.33"/>
    <n v="1311"/>
    <n v="1"/>
    <n v="244.32999999999993"/>
  </r>
  <r>
    <n v="672"/>
    <n v="14"/>
    <n v="20"/>
    <n v="5"/>
    <x v="3"/>
    <n v="95"/>
    <n v="134.4"/>
    <n v="933.2"/>
    <n v="901.4"/>
    <n v="1"/>
    <n v="31.800000000000068"/>
  </r>
  <r>
    <n v="315"/>
    <n v="13"/>
    <n v="15"/>
    <n v="10"/>
    <x v="1"/>
    <n v="41"/>
    <n v="47.25"/>
    <n v="466.6"/>
    <n v="403.25"/>
    <n v="1"/>
    <n v="63.350000000000023"/>
  </r>
  <r>
    <n v="513"/>
    <n v="2"/>
    <n v="50"/>
    <n v="10"/>
    <x v="1"/>
    <n v="11"/>
    <n v="256.5"/>
    <n v="466.6"/>
    <n v="780.5"/>
    <n v="0"/>
    <n v="0"/>
  </r>
  <r>
    <n v="417"/>
    <n v="12"/>
    <n v="0"/>
    <n v="9"/>
    <x v="1"/>
    <n v="51"/>
    <n v="0"/>
    <n v="518.44000000000005"/>
    <n v="468"/>
    <n v="1"/>
    <n v="50.440000000000055"/>
  </r>
  <r>
    <n v="3485"/>
    <n v="20"/>
    <n v="25"/>
    <n v="2"/>
    <x v="1"/>
    <n v="697"/>
    <n v="871.25"/>
    <n v="2333"/>
    <n v="5053.25"/>
    <n v="0"/>
    <n v="0"/>
  </r>
  <r>
    <n v="2165"/>
    <n v="16"/>
    <n v="0"/>
    <n v="2"/>
    <x v="5"/>
    <n v="347"/>
    <n v="0"/>
    <n v="2333"/>
    <n v="2512"/>
    <n v="0"/>
    <n v="0"/>
  </r>
  <r>
    <n v="4870"/>
    <n v="11"/>
    <n v="0"/>
    <n v="1"/>
    <x v="2"/>
    <n v="536"/>
    <n v="0"/>
    <n v="4666"/>
    <n v="5406"/>
    <n v="0"/>
    <n v="0"/>
  </r>
  <r>
    <n v="3820"/>
    <n v="14"/>
    <n v="25"/>
    <n v="1"/>
    <x v="0"/>
    <n v="535"/>
    <n v="955"/>
    <n v="4666"/>
    <n v="5310"/>
    <n v="0"/>
    <n v="0"/>
  </r>
  <r>
    <n v="822"/>
    <n v="7"/>
    <n v="35"/>
    <n v="6"/>
    <x v="0"/>
    <n v="58"/>
    <n v="287.7"/>
    <n v="777.67"/>
    <n v="1167.7"/>
    <n v="0"/>
    <n v="0"/>
  </r>
  <r>
    <n v="714"/>
    <n v="2"/>
    <n v="30"/>
    <n v="7"/>
    <x v="2"/>
    <n v="15"/>
    <n v="214.2"/>
    <n v="666.57"/>
    <n v="943.2"/>
    <n v="0"/>
    <n v="0"/>
  </r>
  <r>
    <n v="3710"/>
    <n v="2"/>
    <n v="40"/>
    <n v="1"/>
    <x v="0"/>
    <n v="75"/>
    <n v="1484"/>
    <n v="4666"/>
    <n v="5269"/>
    <n v="0"/>
    <n v="0"/>
  </r>
  <r>
    <n v="474"/>
    <n v="13"/>
    <n v="40"/>
    <n v="7"/>
    <x v="5"/>
    <n v="62"/>
    <n v="189.6"/>
    <n v="666.57"/>
    <n v="725.6"/>
    <n v="0"/>
    <n v="0"/>
  </r>
  <r>
    <n v="3220"/>
    <n v="12"/>
    <n v="40"/>
    <n v="1"/>
    <x v="0"/>
    <n v="387"/>
    <n v="1288"/>
    <n v="4666"/>
    <n v="4895"/>
    <n v="0"/>
    <n v="0"/>
  </r>
  <r>
    <n v="6270"/>
    <n v="14"/>
    <n v="5"/>
    <n v="1"/>
    <x v="6"/>
    <n v="878"/>
    <n v="313.5"/>
    <n v="4666"/>
    <n v="7461.5"/>
    <n v="0"/>
    <n v="0"/>
  </r>
  <r>
    <n v="773"/>
    <n v="12"/>
    <n v="30"/>
    <n v="8"/>
    <x v="0"/>
    <n v="93"/>
    <n v="231.9"/>
    <n v="583.25"/>
    <n v="1097.9000000000001"/>
    <n v="0"/>
    <n v="0"/>
  </r>
  <r>
    <n v="590"/>
    <n v="0"/>
    <n v="45"/>
    <n v="10"/>
    <x v="6"/>
    <n v="0"/>
    <n v="265.5"/>
    <n v="466.6"/>
    <n v="855.5"/>
    <n v="0"/>
    <n v="0"/>
  </r>
  <r>
    <n v="569"/>
    <n v="2"/>
    <n v="20"/>
    <n v="10"/>
    <x v="2"/>
    <n v="12"/>
    <n v="113.8"/>
    <n v="466.6"/>
    <n v="694.8"/>
    <n v="0"/>
    <n v="0"/>
  </r>
  <r>
    <n v="3730"/>
    <n v="17"/>
    <n v="40"/>
    <n v="1"/>
    <x v="2"/>
    <n v="635"/>
    <n v="1492"/>
    <n v="4666"/>
    <n v="5857"/>
    <n v="0"/>
    <n v="0"/>
  </r>
  <r>
    <n v="3160"/>
    <n v="11"/>
    <n v="20"/>
    <n v="1"/>
    <x v="1"/>
    <n v="348"/>
    <n v="632"/>
    <n v="4666"/>
    <n v="4140"/>
    <n v="1"/>
    <n v="526"/>
  </r>
  <r>
    <n v="596"/>
    <n v="6"/>
    <n v="25"/>
    <n v="7"/>
    <x v="4"/>
    <n v="36"/>
    <n v="149"/>
    <n v="666.57"/>
    <n v="781"/>
    <n v="0"/>
    <n v="0"/>
  </r>
  <r>
    <n v="6170"/>
    <n v="14"/>
    <n v="20"/>
    <n v="1"/>
    <x v="3"/>
    <n v="864"/>
    <n v="1234"/>
    <n v="4666"/>
    <n v="8268"/>
    <n v="0"/>
    <n v="0"/>
  </r>
  <r>
    <n v="1300"/>
    <n v="14"/>
    <n v="40"/>
    <n v="4"/>
    <x v="5"/>
    <n v="182"/>
    <n v="520"/>
    <n v="1166.5"/>
    <n v="2002"/>
    <n v="0"/>
    <n v="0"/>
  </r>
  <r>
    <n v="345"/>
    <n v="7"/>
    <n v="10"/>
    <n v="10"/>
    <x v="5"/>
    <n v="25"/>
    <n v="34.5"/>
    <n v="466.6"/>
    <n v="404.5"/>
    <n v="1"/>
    <n v="62.100000000000023"/>
  </r>
  <r>
    <n v="1623"/>
    <n v="6"/>
    <n v="35"/>
    <n v="4"/>
    <x v="2"/>
    <n v="98"/>
    <n v="568.04999999999995"/>
    <n v="1166.5"/>
    <n v="2289.0500000000002"/>
    <n v="0"/>
    <n v="0"/>
  </r>
  <r>
    <n v="6450"/>
    <n v="3"/>
    <n v="25"/>
    <n v="1"/>
    <x v="6"/>
    <n v="194"/>
    <n v="1612.5"/>
    <n v="4666"/>
    <n v="8256.5"/>
    <n v="0"/>
    <n v="0"/>
  </r>
  <r>
    <n v="6140"/>
    <n v="19"/>
    <n v="45"/>
    <n v="1"/>
    <x v="5"/>
    <n v="1167"/>
    <n v="2763"/>
    <n v="4666"/>
    <n v="10070"/>
    <n v="0"/>
    <n v="0"/>
  </r>
  <r>
    <n v="1640"/>
    <n v="5"/>
    <n v="15"/>
    <n v="4"/>
    <x v="6"/>
    <n v="82"/>
    <n v="246"/>
    <n v="1166.5"/>
    <n v="1968"/>
    <n v="0"/>
    <n v="0"/>
  </r>
  <r>
    <n v="610"/>
    <n v="11"/>
    <n v="35"/>
    <n v="10"/>
    <x v="4"/>
    <n v="68"/>
    <n v="213.5"/>
    <n v="466.6"/>
    <n v="891.5"/>
    <n v="0"/>
    <n v="0"/>
  </r>
  <r>
    <n v="531"/>
    <n v="18"/>
    <n v="30"/>
    <n v="10"/>
    <x v="2"/>
    <n v="96"/>
    <n v="159.30000000000001"/>
    <n v="466.6"/>
    <n v="786.3"/>
    <n v="0"/>
    <n v="0"/>
  </r>
  <r>
    <n v="588"/>
    <n v="14"/>
    <n v="20"/>
    <n v="5"/>
    <x v="1"/>
    <n v="83"/>
    <n v="117.6"/>
    <n v="933.2"/>
    <n v="788.6"/>
    <n v="1"/>
    <n v="144.60000000000002"/>
  </r>
  <r>
    <n v="4630"/>
    <n v="18"/>
    <n v="25"/>
    <n v="1"/>
    <x v="1"/>
    <n v="834"/>
    <n v="1157.5"/>
    <n v="4666"/>
    <n v="6621.5"/>
    <n v="0"/>
    <n v="0"/>
  </r>
  <r>
    <n v="669.9"/>
    <n v="6"/>
    <n v="0"/>
    <n v="9"/>
    <x v="1"/>
    <n v="41"/>
    <n v="0"/>
    <n v="518.44000000000005"/>
    <n v="710.9"/>
    <n v="0"/>
    <n v="0"/>
  </r>
  <r>
    <n v="4250"/>
    <n v="19"/>
    <n v="35"/>
    <n v="1"/>
    <x v="6"/>
    <n v="808"/>
    <n v="1487.5"/>
    <n v="4666"/>
    <n v="6545.5"/>
    <n v="0"/>
    <n v="0"/>
  </r>
  <r>
    <n v="5970"/>
    <n v="5"/>
    <n v="20"/>
    <n v="1"/>
    <x v="5"/>
    <n v="299"/>
    <n v="1194"/>
    <n v="4666"/>
    <n v="7463"/>
    <n v="0"/>
    <n v="0"/>
  </r>
  <r>
    <n v="386"/>
    <n v="14"/>
    <n v="15"/>
    <n v="10"/>
    <x v="1"/>
    <n v="55"/>
    <n v="57.9"/>
    <n v="466.6"/>
    <n v="498.9"/>
    <n v="0"/>
    <n v="0"/>
  </r>
  <r>
    <n v="510"/>
    <n v="8"/>
    <n v="20"/>
    <n v="10"/>
    <x v="2"/>
    <n v="41"/>
    <n v="102"/>
    <n v="466.6"/>
    <n v="653"/>
    <n v="0"/>
    <n v="0"/>
  </r>
  <r>
    <n v="4490"/>
    <n v="1"/>
    <n v="5"/>
    <n v="1"/>
    <x v="3"/>
    <n v="45"/>
    <n v="224.5"/>
    <n v="4666"/>
    <n v="4759.5"/>
    <n v="0"/>
    <n v="0"/>
  </r>
  <r>
    <n v="6880"/>
    <n v="0"/>
    <n v="40"/>
    <n v="1"/>
    <x v="4"/>
    <n v="0"/>
    <n v="2752"/>
    <n v="4666"/>
    <n v="9632"/>
    <n v="0"/>
    <n v="0"/>
  </r>
  <r>
    <n v="1208"/>
    <n v="15"/>
    <n v="0"/>
    <n v="4"/>
    <x v="5"/>
    <n v="182"/>
    <n v="0"/>
    <n v="1166.5"/>
    <n v="1390"/>
    <n v="0"/>
    <n v="0"/>
  </r>
  <r>
    <n v="5100"/>
    <n v="13"/>
    <n v="45"/>
    <n v="1"/>
    <x v="2"/>
    <n v="663"/>
    <n v="2295"/>
    <n v="4666"/>
    <n v="8058"/>
    <n v="0"/>
    <n v="0"/>
  </r>
  <r>
    <n v="900"/>
    <n v="0"/>
    <n v="40"/>
    <n v="7"/>
    <x v="3"/>
    <n v="0"/>
    <n v="360"/>
    <n v="666.57"/>
    <n v="1260"/>
    <n v="0"/>
    <n v="0"/>
  </r>
  <r>
    <n v="911"/>
    <n v="5"/>
    <n v="10"/>
    <n v="7"/>
    <x v="5"/>
    <n v="46"/>
    <n v="91.1"/>
    <n v="666.57"/>
    <n v="1048.0999999999999"/>
    <n v="0"/>
    <n v="0"/>
  </r>
  <r>
    <n v="463"/>
    <n v="8"/>
    <n v="20"/>
    <n v="7"/>
    <x v="1"/>
    <n v="38"/>
    <n v="92.6"/>
    <n v="666.57"/>
    <n v="593.6"/>
    <n v="1"/>
    <n v="72.970000000000027"/>
  </r>
  <r>
    <n v="641.20000000000005"/>
    <n v="12"/>
    <n v="14"/>
    <n v="6"/>
    <x v="4"/>
    <n v="77"/>
    <n v="89.77"/>
    <n v="777.67"/>
    <n v="807.97"/>
    <n v="0"/>
    <n v="0"/>
  </r>
  <r>
    <n v="550"/>
    <n v="14"/>
    <n v="45"/>
    <n v="7"/>
    <x v="6"/>
    <n v="77"/>
    <n v="247.5"/>
    <n v="666.57"/>
    <n v="874.5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przestawna5" cacheId="21" applyNumberFormats="0" applyBorderFormats="0" applyFontFormats="0" applyPatternFormats="0" applyAlignmentFormats="0" applyWidthHeightFormats="1" dataCaption="Wartości" updatedVersion="6" minRefreshableVersion="3" useAutoFormatting="1" itemPrintTitles="1" createdVersion="6" indent="0" outline="1" outlineData="1" multipleFieldFilters="0">
  <location ref="L1:O9" firstHeaderRow="0" firstDataRow="1" firstDataCol="1"/>
  <pivotFields count="11">
    <pivotField numFmtId="44" showAll="0"/>
    <pivotField showAll="0"/>
    <pivotField showAll="0"/>
    <pivotField showAll="0"/>
    <pivotField axis="axisRow" showAll="0">
      <items count="8">
        <item x="1"/>
        <item x="0"/>
        <item x="3"/>
        <item x="6"/>
        <item x="2"/>
        <item x="4"/>
        <item x="5"/>
        <item t="default"/>
      </items>
    </pivotField>
    <pivotField numFmtId="44" showAll="0"/>
    <pivotField dataField="1" numFmtId="44" showAll="0"/>
    <pivotField numFmtId="44" showAll="0"/>
    <pivotField dataField="1" numFmtId="44" showAll="0"/>
    <pivotField dataField="1" showAll="0"/>
    <pivotField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z ile dostal" fld="8" baseField="0" baseItem="0" numFmtId="44"/>
    <dataField name="Średnia z premia" fld="6" subtotal="average" baseField="4" baseItem="0" numFmtId="44"/>
    <dataField name="Suma z czy wyrównanie" fld="9" baseField="0" baseItem="0" numFmtId="172"/>
  </dataFields>
  <formats count="5">
    <format dxfId="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7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8">
      <pivotArea collapsedLevelsAreSubtotals="1" fieldPosition="0">
        <references count="1">
          <reference field="4" count="0"/>
        </references>
      </pivotArea>
    </format>
    <format dxfId="9">
      <pivotArea dataOnly="0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przestawna2" cacheId="6" applyNumberFormats="0" applyBorderFormats="0" applyFontFormats="0" applyPatternFormats="0" applyAlignmentFormats="0" applyWidthHeightFormats="1" dataCaption="Wartości" updatedVersion="6" minRefreshableVersion="3" useAutoFormatting="1" itemPrintTitles="1" createdVersion="6" indent="0" outline="1" outlineData="1" multipleFieldFilters="0" chartFormat="1">
  <location ref="M3:N8" firstHeaderRow="1" firstDataRow="1" firstDataCol="1" rowPageCount="1" colPageCount="1"/>
  <pivotFields count="6">
    <pivotField numFmtId="44" showAll="0"/>
    <pivotField dataField="1" showAll="0"/>
    <pivotField showAll="0"/>
    <pivotField showAll="0"/>
    <pivotField axis="axisPage" multipleItemSelectionAllowed="1" showAll="0">
      <items count="8">
        <item h="1" x="1"/>
        <item h="1" x="0"/>
        <item x="3"/>
        <item h="1" x="6"/>
        <item h="1" x="2"/>
        <item h="1" x="4"/>
        <item h="1" x="5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4" hier="-1"/>
  </pageFields>
  <dataFields count="1">
    <dataField name="Średnia z  staż_pracy" fld="1" subtotal="average" baseField="5" baseItem="0" numFmtId="43"/>
  </dataFields>
  <formats count="3">
    <format dxfId="31">
      <pivotArea outline="0" collapsedLevelsAreSubtotals="1" fieldPosition="0"/>
    </format>
    <format dxfId="30">
      <pivotArea dataOnly="0" labelOnly="1" outline="0" axis="axisValues" fieldPosition="0"/>
    </format>
    <format dxfId="29">
      <pivotArea dataOnly="0" labelOnly="1" outline="0" axis="axisValues" fieldPosition="0"/>
    </format>
  </formats>
  <chartFormats count="5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przestawna1" cacheId="2" applyNumberFormats="0" applyBorderFormats="0" applyFontFormats="0" applyPatternFormats="0" applyAlignmentFormats="0" applyWidthHeightFormats="1" dataCaption="Wartości" updatedVersion="6" minRefreshableVersion="3" useAutoFormatting="1" itemPrintTitles="1" createdVersion="6" indent="0" outline="1" outlineData="1" multipleFieldFilters="0">
  <location ref="H3:K7" firstHeaderRow="0" firstDataRow="1" firstDataCol="1"/>
  <pivotFields count="2">
    <pivotField dataField="1" showAll="0"/>
    <pivotField axis="axisRow" showAll="0">
      <items count="4">
        <item n="[0,3]" x="0"/>
        <item x="1"/>
        <item x="2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Liczba z punkty" fld="0" subtotal="count" baseField="1" baseItem="0"/>
    <dataField name="Suma z punkty" fld="0" baseField="0" baseItem="0"/>
    <dataField name="Średnia z punkty2" fld="0" subtotal="average" baseField="1" baseItem="1"/>
  </dataFields>
  <formats count="1">
    <format dxfId="32">
      <pivotArea field="1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wynagrodzenie_1" connectionId="6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wynagrodzenie" connectionId="9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wynagrodzenie" connectionId="8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wynagrodzenie_1" connectionId="5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wynagrodzenie_1" connectionId="4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name="wynagrodzenie" connectionId="7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name="wynagrodzenie" connectionId="3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name="wynagrodzenie" connectionId="2" autoFormatId="16" applyNumberFormats="0" applyBorderFormats="0" applyFontFormats="0" applyPatternFormats="0" applyAlignmentFormats="0" applyWidthHeightFormats="0"/>
</file>

<file path=xl/queryTables/queryTable9.xml><?xml version="1.0" encoding="utf-8"?>
<queryTable xmlns="http://schemas.openxmlformats.org/spreadsheetml/2006/main" name="wynagrodzenie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Relationship Id="rId4" Type="http://schemas.openxmlformats.org/officeDocument/2006/relationships/queryTable" Target="../queryTables/query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6.xml"/><Relationship Id="rId2" Type="http://schemas.openxmlformats.org/officeDocument/2006/relationships/queryTable" Target="../queryTables/queryTable5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7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2.xml"/><Relationship Id="rId4" Type="http://schemas.openxmlformats.org/officeDocument/2006/relationships/queryTable" Target="../queryTables/query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9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1"/>
  <sheetViews>
    <sheetView tabSelected="1" topLeftCell="F1" workbookViewId="0">
      <selection activeCell="T13" sqref="T13"/>
    </sheetView>
  </sheetViews>
  <sheetFormatPr defaultRowHeight="14.4" x14ac:dyDescent="0.3"/>
  <cols>
    <col min="1" max="1" width="13.33203125" style="7" bestFit="1" customWidth="1"/>
    <col min="2" max="2" width="10.109375" bestFit="1" customWidth="1"/>
    <col min="3" max="3" width="12" bestFit="1" customWidth="1"/>
    <col min="4" max="4" width="4.77734375" bestFit="1" customWidth="1"/>
    <col min="5" max="5" width="6.77734375" bestFit="1" customWidth="1"/>
    <col min="6" max="6" width="11.88671875" customWidth="1"/>
    <col min="7" max="7" width="11.44140625" customWidth="1"/>
    <col min="8" max="8" width="11.109375" customWidth="1"/>
    <col min="9" max="9" width="12.5546875" customWidth="1"/>
    <col min="10" max="10" width="12" customWidth="1"/>
    <col min="11" max="11" width="11.88671875" customWidth="1"/>
    <col min="12" max="12" width="16.6640625" customWidth="1"/>
    <col min="13" max="13" width="11.88671875" bestFit="1" customWidth="1"/>
  </cols>
  <sheetData>
    <row r="1" spans="1:13" ht="28.8" x14ac:dyDescent="0.3">
      <c r="A1" s="11" t="s">
        <v>10</v>
      </c>
      <c r="B1" s="12" t="s">
        <v>29</v>
      </c>
      <c r="C1" s="12" t="s">
        <v>30</v>
      </c>
      <c r="D1" s="12" t="s">
        <v>13</v>
      </c>
      <c r="E1" s="12" t="s">
        <v>14</v>
      </c>
      <c r="F1" s="12" t="s">
        <v>28</v>
      </c>
      <c r="G1" s="12" t="s">
        <v>31</v>
      </c>
      <c r="H1" s="12" t="s">
        <v>36</v>
      </c>
      <c r="I1" s="12" t="s">
        <v>34</v>
      </c>
      <c r="J1" s="12" t="s">
        <v>35</v>
      </c>
      <c r="K1" s="12" t="s">
        <v>37</v>
      </c>
      <c r="L1" s="12" t="s">
        <v>43</v>
      </c>
      <c r="M1" s="15">
        <f>MAX(L2:L501)</f>
        <v>10873.5</v>
      </c>
    </row>
    <row r="2" spans="1:13" x14ac:dyDescent="0.3">
      <c r="A2" s="7">
        <v>1445.5</v>
      </c>
      <c r="B2">
        <v>3</v>
      </c>
      <c r="C2">
        <v>27</v>
      </c>
      <c r="D2">
        <v>4</v>
      </c>
      <c r="E2" t="s">
        <v>15</v>
      </c>
      <c r="F2" s="10">
        <f>ROUNDUP(0.01*B2*A2,0)</f>
        <v>44</v>
      </c>
      <c r="G2" s="14">
        <f>ROUND(C2/100*A2,2)</f>
        <v>390.29</v>
      </c>
      <c r="H2" s="7">
        <f>ROUND(4666/D2:D501,2)</f>
        <v>1166.5</v>
      </c>
      <c r="I2" s="10">
        <f>G2+A2+F2</f>
        <v>1879.79</v>
      </c>
      <c r="J2">
        <f>IF(H2&gt;I2,1,0)</f>
        <v>0</v>
      </c>
      <c r="K2">
        <f>IF(J2=1,H2-I2,0)</f>
        <v>0</v>
      </c>
      <c r="L2" s="10">
        <f>I2+K2</f>
        <v>1879.79</v>
      </c>
    </row>
    <row r="3" spans="1:13" x14ac:dyDescent="0.3">
      <c r="A3" s="7">
        <v>2690</v>
      </c>
      <c r="B3">
        <v>1</v>
      </c>
      <c r="C3">
        <v>5</v>
      </c>
      <c r="D3">
        <v>2</v>
      </c>
      <c r="E3" t="s">
        <v>16</v>
      </c>
      <c r="F3" s="10">
        <f t="shared" ref="F3:F66" si="0">ROUNDUP(0.01*B3*A3,0)</f>
        <v>27</v>
      </c>
      <c r="G3" s="14">
        <f t="shared" ref="G3:G66" si="1">ROUND(C3/100*A3,2)</f>
        <v>134.5</v>
      </c>
      <c r="H3" s="7">
        <f t="shared" ref="H3:H66" si="2">ROUND(4666/D3:D502,2)</f>
        <v>2333</v>
      </c>
      <c r="I3" s="10">
        <f t="shared" ref="I3:I66" si="3">G3+A3+F3</f>
        <v>2851.5</v>
      </c>
      <c r="J3">
        <f t="shared" ref="J3:J66" si="4">IF(H3&gt;I3,1,0)</f>
        <v>0</v>
      </c>
      <c r="K3">
        <f t="shared" ref="K3:K66" si="5">IF(J3=1,H3-I3,0)</f>
        <v>0</v>
      </c>
      <c r="L3" s="10">
        <f t="shared" ref="L3:L66" si="6">I3+K3</f>
        <v>2851.5</v>
      </c>
    </row>
    <row r="4" spans="1:13" x14ac:dyDescent="0.3">
      <c r="A4" s="7">
        <v>3300</v>
      </c>
      <c r="B4">
        <v>19</v>
      </c>
      <c r="C4">
        <v>30</v>
      </c>
      <c r="D4">
        <v>1</v>
      </c>
      <c r="E4" t="s">
        <v>15</v>
      </c>
      <c r="F4" s="10">
        <f t="shared" si="0"/>
        <v>627</v>
      </c>
      <c r="G4" s="14">
        <f t="shared" si="1"/>
        <v>990</v>
      </c>
      <c r="H4" s="7">
        <f t="shared" si="2"/>
        <v>4666</v>
      </c>
      <c r="I4" s="10">
        <f t="shared" si="3"/>
        <v>4917</v>
      </c>
      <c r="J4">
        <f t="shared" si="4"/>
        <v>0</v>
      </c>
      <c r="K4">
        <f t="shared" si="5"/>
        <v>0</v>
      </c>
      <c r="L4" s="10">
        <f t="shared" si="6"/>
        <v>4917</v>
      </c>
    </row>
    <row r="5" spans="1:13" x14ac:dyDescent="0.3">
      <c r="A5" s="7">
        <v>3900</v>
      </c>
      <c r="B5">
        <v>1</v>
      </c>
      <c r="C5">
        <v>10</v>
      </c>
      <c r="D5">
        <v>1</v>
      </c>
      <c r="E5" t="s">
        <v>16</v>
      </c>
      <c r="F5" s="10">
        <f t="shared" si="0"/>
        <v>39</v>
      </c>
      <c r="G5" s="14">
        <f t="shared" si="1"/>
        <v>390</v>
      </c>
      <c r="H5" s="7">
        <f t="shared" si="2"/>
        <v>4666</v>
      </c>
      <c r="I5" s="10">
        <f t="shared" si="3"/>
        <v>4329</v>
      </c>
      <c r="J5">
        <f t="shared" si="4"/>
        <v>1</v>
      </c>
      <c r="K5">
        <f t="shared" si="5"/>
        <v>337</v>
      </c>
      <c r="L5" s="10">
        <f t="shared" si="6"/>
        <v>4666</v>
      </c>
    </row>
    <row r="6" spans="1:13" x14ac:dyDescent="0.3">
      <c r="A6" s="7">
        <v>3560</v>
      </c>
      <c r="B6">
        <v>17</v>
      </c>
      <c r="C6">
        <v>29</v>
      </c>
      <c r="D6">
        <v>1</v>
      </c>
      <c r="E6" t="s">
        <v>17</v>
      </c>
      <c r="F6" s="10">
        <f t="shared" si="0"/>
        <v>606</v>
      </c>
      <c r="G6" s="14">
        <f t="shared" si="1"/>
        <v>1032.4000000000001</v>
      </c>
      <c r="H6" s="7">
        <f t="shared" si="2"/>
        <v>4666</v>
      </c>
      <c r="I6" s="10">
        <f t="shared" si="3"/>
        <v>5198.3999999999996</v>
      </c>
      <c r="J6">
        <f t="shared" si="4"/>
        <v>0</v>
      </c>
      <c r="K6">
        <f t="shared" si="5"/>
        <v>0</v>
      </c>
      <c r="L6" s="10">
        <f t="shared" si="6"/>
        <v>5198.3999999999996</v>
      </c>
    </row>
    <row r="7" spans="1:13" x14ac:dyDescent="0.3">
      <c r="A7" s="7">
        <v>586</v>
      </c>
      <c r="B7">
        <v>10</v>
      </c>
      <c r="C7">
        <v>1</v>
      </c>
      <c r="D7">
        <v>7</v>
      </c>
      <c r="E7" t="s">
        <v>16</v>
      </c>
      <c r="F7" s="10">
        <f t="shared" si="0"/>
        <v>59</v>
      </c>
      <c r="G7" s="14">
        <f t="shared" si="1"/>
        <v>5.86</v>
      </c>
      <c r="H7" s="7">
        <f t="shared" si="2"/>
        <v>666.57</v>
      </c>
      <c r="I7" s="10">
        <f t="shared" si="3"/>
        <v>650.86</v>
      </c>
      <c r="J7">
        <f t="shared" si="4"/>
        <v>1</v>
      </c>
      <c r="K7">
        <f t="shared" si="5"/>
        <v>15.710000000000036</v>
      </c>
      <c r="L7" s="10">
        <f t="shared" si="6"/>
        <v>666.57</v>
      </c>
    </row>
    <row r="8" spans="1:13" x14ac:dyDescent="0.3">
      <c r="A8" s="7">
        <v>520</v>
      </c>
      <c r="B8">
        <v>9</v>
      </c>
      <c r="C8">
        <v>40</v>
      </c>
      <c r="D8">
        <v>9</v>
      </c>
      <c r="E8" t="s">
        <v>18</v>
      </c>
      <c r="F8" s="10">
        <f t="shared" si="0"/>
        <v>47</v>
      </c>
      <c r="G8" s="14">
        <f t="shared" si="1"/>
        <v>208</v>
      </c>
      <c r="H8" s="7">
        <f t="shared" si="2"/>
        <v>518.44000000000005</v>
      </c>
      <c r="I8" s="10">
        <f t="shared" si="3"/>
        <v>775</v>
      </c>
      <c r="J8">
        <f t="shared" si="4"/>
        <v>0</v>
      </c>
      <c r="K8">
        <f t="shared" si="5"/>
        <v>0</v>
      </c>
      <c r="L8" s="10">
        <f t="shared" si="6"/>
        <v>775</v>
      </c>
    </row>
    <row r="9" spans="1:13" x14ac:dyDescent="0.3">
      <c r="A9" s="7">
        <v>3980</v>
      </c>
      <c r="B9">
        <v>3</v>
      </c>
      <c r="C9">
        <v>25</v>
      </c>
      <c r="D9">
        <v>1</v>
      </c>
      <c r="E9" t="s">
        <v>19</v>
      </c>
      <c r="F9" s="10">
        <f t="shared" si="0"/>
        <v>120</v>
      </c>
      <c r="G9" s="14">
        <f t="shared" si="1"/>
        <v>995</v>
      </c>
      <c r="H9" s="7">
        <f t="shared" si="2"/>
        <v>4666</v>
      </c>
      <c r="I9" s="10">
        <f t="shared" si="3"/>
        <v>5095</v>
      </c>
      <c r="J9">
        <f t="shared" si="4"/>
        <v>0</v>
      </c>
      <c r="K9">
        <f t="shared" si="5"/>
        <v>0</v>
      </c>
      <c r="L9" s="10">
        <f t="shared" si="6"/>
        <v>5095</v>
      </c>
    </row>
    <row r="10" spans="1:13" x14ac:dyDescent="0.3">
      <c r="A10" s="7">
        <v>409.5</v>
      </c>
      <c r="B10">
        <v>0</v>
      </c>
      <c r="C10">
        <v>30</v>
      </c>
      <c r="D10">
        <v>9</v>
      </c>
      <c r="E10" t="s">
        <v>16</v>
      </c>
      <c r="F10" s="10">
        <f t="shared" si="0"/>
        <v>0</v>
      </c>
      <c r="G10" s="14">
        <f t="shared" si="1"/>
        <v>122.85</v>
      </c>
      <c r="H10" s="7">
        <f t="shared" si="2"/>
        <v>518.44000000000005</v>
      </c>
      <c r="I10" s="10">
        <f t="shared" si="3"/>
        <v>532.35</v>
      </c>
      <c r="J10">
        <f t="shared" si="4"/>
        <v>0</v>
      </c>
      <c r="K10">
        <f t="shared" si="5"/>
        <v>0</v>
      </c>
      <c r="L10" s="10">
        <f t="shared" si="6"/>
        <v>532.35</v>
      </c>
    </row>
    <row r="11" spans="1:13" x14ac:dyDescent="0.3">
      <c r="A11" s="7">
        <v>1475</v>
      </c>
      <c r="B11">
        <v>5</v>
      </c>
      <c r="C11">
        <v>15</v>
      </c>
      <c r="D11">
        <v>4</v>
      </c>
      <c r="E11" t="s">
        <v>20</v>
      </c>
      <c r="F11" s="10">
        <f t="shared" si="0"/>
        <v>74</v>
      </c>
      <c r="G11" s="14">
        <f t="shared" si="1"/>
        <v>221.25</v>
      </c>
      <c r="H11" s="7">
        <f t="shared" si="2"/>
        <v>1166.5</v>
      </c>
      <c r="I11" s="10">
        <f t="shared" si="3"/>
        <v>1770.25</v>
      </c>
      <c r="J11">
        <f t="shared" si="4"/>
        <v>0</v>
      </c>
      <c r="K11">
        <f t="shared" si="5"/>
        <v>0</v>
      </c>
      <c r="L11" s="10">
        <f t="shared" si="6"/>
        <v>1770.25</v>
      </c>
    </row>
    <row r="12" spans="1:13" x14ac:dyDescent="0.3">
      <c r="A12" s="7">
        <v>906</v>
      </c>
      <c r="B12">
        <v>14</v>
      </c>
      <c r="C12">
        <v>5</v>
      </c>
      <c r="D12">
        <v>5</v>
      </c>
      <c r="E12" t="s">
        <v>17</v>
      </c>
      <c r="F12" s="10">
        <f t="shared" si="0"/>
        <v>127</v>
      </c>
      <c r="G12" s="14">
        <f t="shared" si="1"/>
        <v>45.3</v>
      </c>
      <c r="H12" s="7">
        <f t="shared" si="2"/>
        <v>933.2</v>
      </c>
      <c r="I12" s="10">
        <f t="shared" si="3"/>
        <v>1078.3</v>
      </c>
      <c r="J12">
        <f t="shared" si="4"/>
        <v>0</v>
      </c>
      <c r="K12">
        <f t="shared" si="5"/>
        <v>0</v>
      </c>
      <c r="L12" s="10">
        <f t="shared" si="6"/>
        <v>1078.3</v>
      </c>
    </row>
    <row r="13" spans="1:13" x14ac:dyDescent="0.3">
      <c r="A13" s="7">
        <v>2825</v>
      </c>
      <c r="B13">
        <v>12</v>
      </c>
      <c r="C13">
        <v>15</v>
      </c>
      <c r="D13">
        <v>2</v>
      </c>
      <c r="E13" t="s">
        <v>20</v>
      </c>
      <c r="F13" s="10">
        <f t="shared" si="0"/>
        <v>339</v>
      </c>
      <c r="G13" s="14">
        <f t="shared" si="1"/>
        <v>423.75</v>
      </c>
      <c r="H13" s="7">
        <f t="shared" si="2"/>
        <v>2333</v>
      </c>
      <c r="I13" s="10">
        <f t="shared" si="3"/>
        <v>3587.75</v>
      </c>
      <c r="J13">
        <f t="shared" si="4"/>
        <v>0</v>
      </c>
      <c r="K13">
        <f t="shared" si="5"/>
        <v>0</v>
      </c>
      <c r="L13" s="10">
        <f t="shared" si="6"/>
        <v>3587.75</v>
      </c>
    </row>
    <row r="14" spans="1:13" x14ac:dyDescent="0.3">
      <c r="A14" s="7">
        <v>5810</v>
      </c>
      <c r="B14">
        <v>2</v>
      </c>
      <c r="C14">
        <v>5</v>
      </c>
      <c r="D14">
        <v>1</v>
      </c>
      <c r="E14" t="s">
        <v>18</v>
      </c>
      <c r="F14" s="10">
        <f t="shared" si="0"/>
        <v>117</v>
      </c>
      <c r="G14" s="14">
        <f t="shared" si="1"/>
        <v>290.5</v>
      </c>
      <c r="H14" s="7">
        <f t="shared" si="2"/>
        <v>4666</v>
      </c>
      <c r="I14" s="10">
        <f t="shared" si="3"/>
        <v>6217.5</v>
      </c>
      <c r="J14">
        <f t="shared" si="4"/>
        <v>0</v>
      </c>
      <c r="K14">
        <f t="shared" si="5"/>
        <v>0</v>
      </c>
      <c r="L14" s="10">
        <f t="shared" si="6"/>
        <v>6217.5</v>
      </c>
    </row>
    <row r="15" spans="1:13" x14ac:dyDescent="0.3">
      <c r="A15" s="7">
        <v>889.7</v>
      </c>
      <c r="B15">
        <v>3</v>
      </c>
      <c r="C15">
        <v>45</v>
      </c>
      <c r="D15">
        <v>7</v>
      </c>
      <c r="E15" t="s">
        <v>17</v>
      </c>
      <c r="F15" s="10">
        <f t="shared" si="0"/>
        <v>27</v>
      </c>
      <c r="G15" s="14">
        <f t="shared" si="1"/>
        <v>400.37</v>
      </c>
      <c r="H15" s="7">
        <f t="shared" si="2"/>
        <v>666.57</v>
      </c>
      <c r="I15" s="10">
        <f t="shared" si="3"/>
        <v>1317.0700000000002</v>
      </c>
      <c r="J15">
        <f t="shared" si="4"/>
        <v>0</v>
      </c>
      <c r="K15">
        <f t="shared" si="5"/>
        <v>0</v>
      </c>
      <c r="L15" s="10">
        <f t="shared" si="6"/>
        <v>1317.0700000000002</v>
      </c>
    </row>
    <row r="16" spans="1:13" x14ac:dyDescent="0.3">
      <c r="A16" s="7">
        <v>5410</v>
      </c>
      <c r="B16">
        <v>7</v>
      </c>
      <c r="C16">
        <v>50</v>
      </c>
      <c r="D16">
        <v>1</v>
      </c>
      <c r="E16" t="s">
        <v>15</v>
      </c>
      <c r="F16" s="10">
        <f t="shared" si="0"/>
        <v>379</v>
      </c>
      <c r="G16" s="14">
        <f t="shared" si="1"/>
        <v>2705</v>
      </c>
      <c r="H16" s="7">
        <f t="shared" si="2"/>
        <v>4666</v>
      </c>
      <c r="I16" s="10">
        <f t="shared" si="3"/>
        <v>8494</v>
      </c>
      <c r="J16">
        <f t="shared" si="4"/>
        <v>0</v>
      </c>
      <c r="K16">
        <f t="shared" si="5"/>
        <v>0</v>
      </c>
      <c r="L16" s="10">
        <f t="shared" si="6"/>
        <v>8494</v>
      </c>
    </row>
    <row r="17" spans="1:12" x14ac:dyDescent="0.3">
      <c r="A17" s="7">
        <v>533</v>
      </c>
      <c r="B17">
        <v>6</v>
      </c>
      <c r="C17">
        <v>5</v>
      </c>
      <c r="D17">
        <v>8</v>
      </c>
      <c r="E17" t="s">
        <v>17</v>
      </c>
      <c r="F17" s="10">
        <f t="shared" si="0"/>
        <v>32</v>
      </c>
      <c r="G17" s="14">
        <f t="shared" si="1"/>
        <v>26.65</v>
      </c>
      <c r="H17" s="7">
        <f t="shared" si="2"/>
        <v>583.25</v>
      </c>
      <c r="I17" s="10">
        <f t="shared" si="3"/>
        <v>591.65</v>
      </c>
      <c r="J17">
        <f t="shared" si="4"/>
        <v>0</v>
      </c>
      <c r="K17">
        <f t="shared" si="5"/>
        <v>0</v>
      </c>
      <c r="L17" s="10">
        <f t="shared" si="6"/>
        <v>591.65</v>
      </c>
    </row>
    <row r="18" spans="1:12" x14ac:dyDescent="0.3">
      <c r="A18" s="7">
        <v>502</v>
      </c>
      <c r="B18">
        <v>1</v>
      </c>
      <c r="C18">
        <v>35</v>
      </c>
      <c r="D18">
        <v>6</v>
      </c>
      <c r="E18" t="s">
        <v>16</v>
      </c>
      <c r="F18" s="10">
        <f t="shared" si="0"/>
        <v>6</v>
      </c>
      <c r="G18" s="14">
        <f t="shared" si="1"/>
        <v>175.7</v>
      </c>
      <c r="H18" s="7">
        <f t="shared" si="2"/>
        <v>777.67</v>
      </c>
      <c r="I18" s="10">
        <f t="shared" si="3"/>
        <v>683.7</v>
      </c>
      <c r="J18">
        <f t="shared" si="4"/>
        <v>1</v>
      </c>
      <c r="K18">
        <f t="shared" si="5"/>
        <v>93.969999999999914</v>
      </c>
      <c r="L18" s="10">
        <f t="shared" si="6"/>
        <v>777.67</v>
      </c>
    </row>
    <row r="19" spans="1:12" x14ac:dyDescent="0.3">
      <c r="A19" s="7">
        <v>628</v>
      </c>
      <c r="B19">
        <v>15</v>
      </c>
      <c r="C19">
        <v>15</v>
      </c>
      <c r="D19">
        <v>8</v>
      </c>
      <c r="E19" t="s">
        <v>17</v>
      </c>
      <c r="F19" s="10">
        <f t="shared" si="0"/>
        <v>95</v>
      </c>
      <c r="G19" s="14">
        <f t="shared" si="1"/>
        <v>94.2</v>
      </c>
      <c r="H19" s="7">
        <f t="shared" si="2"/>
        <v>583.25</v>
      </c>
      <c r="I19" s="10">
        <f t="shared" si="3"/>
        <v>817.2</v>
      </c>
      <c r="J19">
        <f t="shared" si="4"/>
        <v>0</v>
      </c>
      <c r="K19">
        <f t="shared" si="5"/>
        <v>0</v>
      </c>
      <c r="L19" s="10">
        <f t="shared" si="6"/>
        <v>817.2</v>
      </c>
    </row>
    <row r="20" spans="1:12" x14ac:dyDescent="0.3">
      <c r="A20" s="7">
        <v>5640</v>
      </c>
      <c r="B20">
        <v>12</v>
      </c>
      <c r="C20">
        <v>40</v>
      </c>
      <c r="D20">
        <v>1</v>
      </c>
      <c r="E20" t="s">
        <v>16</v>
      </c>
      <c r="F20" s="10">
        <f t="shared" si="0"/>
        <v>677</v>
      </c>
      <c r="G20" s="14">
        <f t="shared" si="1"/>
        <v>2256</v>
      </c>
      <c r="H20" s="7">
        <f t="shared" si="2"/>
        <v>4666</v>
      </c>
      <c r="I20" s="10">
        <f t="shared" si="3"/>
        <v>8573</v>
      </c>
      <c r="J20">
        <f t="shared" si="4"/>
        <v>0</v>
      </c>
      <c r="K20">
        <f t="shared" si="5"/>
        <v>0</v>
      </c>
      <c r="L20" s="10">
        <f t="shared" si="6"/>
        <v>8573</v>
      </c>
    </row>
    <row r="21" spans="1:12" x14ac:dyDescent="0.3">
      <c r="A21" s="7">
        <v>4470</v>
      </c>
      <c r="B21">
        <v>3</v>
      </c>
      <c r="C21">
        <v>40</v>
      </c>
      <c r="D21">
        <v>1</v>
      </c>
      <c r="E21" t="s">
        <v>21</v>
      </c>
      <c r="F21" s="10">
        <f t="shared" si="0"/>
        <v>135</v>
      </c>
      <c r="G21" s="14">
        <f t="shared" si="1"/>
        <v>1788</v>
      </c>
      <c r="H21" s="7">
        <f t="shared" si="2"/>
        <v>4666</v>
      </c>
      <c r="I21" s="10">
        <f t="shared" si="3"/>
        <v>6393</v>
      </c>
      <c r="J21">
        <f t="shared" si="4"/>
        <v>0</v>
      </c>
      <c r="K21">
        <f t="shared" si="5"/>
        <v>0</v>
      </c>
      <c r="L21" s="10">
        <f t="shared" si="6"/>
        <v>6393</v>
      </c>
    </row>
    <row r="22" spans="1:12" x14ac:dyDescent="0.3">
      <c r="A22" s="7">
        <v>7000</v>
      </c>
      <c r="B22">
        <v>3</v>
      </c>
      <c r="C22">
        <v>40</v>
      </c>
      <c r="D22">
        <v>1</v>
      </c>
      <c r="E22" t="s">
        <v>19</v>
      </c>
      <c r="F22" s="10">
        <f t="shared" si="0"/>
        <v>210</v>
      </c>
      <c r="G22" s="14">
        <f t="shared" si="1"/>
        <v>2800</v>
      </c>
      <c r="H22" s="7">
        <f t="shared" si="2"/>
        <v>4666</v>
      </c>
      <c r="I22" s="10">
        <f t="shared" si="3"/>
        <v>10010</v>
      </c>
      <c r="J22">
        <f t="shared" si="4"/>
        <v>0</v>
      </c>
      <c r="K22">
        <f t="shared" si="5"/>
        <v>0</v>
      </c>
      <c r="L22" s="10">
        <f t="shared" si="6"/>
        <v>10010</v>
      </c>
    </row>
    <row r="23" spans="1:12" x14ac:dyDescent="0.3">
      <c r="A23" s="7">
        <v>1020</v>
      </c>
      <c r="B23">
        <v>15</v>
      </c>
      <c r="C23">
        <v>10</v>
      </c>
      <c r="D23">
        <v>5</v>
      </c>
      <c r="E23" t="s">
        <v>21</v>
      </c>
      <c r="F23" s="10">
        <f t="shared" si="0"/>
        <v>153</v>
      </c>
      <c r="G23" s="14">
        <f t="shared" si="1"/>
        <v>102</v>
      </c>
      <c r="H23" s="7">
        <f t="shared" si="2"/>
        <v>933.2</v>
      </c>
      <c r="I23" s="10">
        <f t="shared" si="3"/>
        <v>1275</v>
      </c>
      <c r="J23">
        <f t="shared" si="4"/>
        <v>0</v>
      </c>
      <c r="K23">
        <f t="shared" si="5"/>
        <v>0</v>
      </c>
      <c r="L23" s="10">
        <f t="shared" si="6"/>
        <v>1275</v>
      </c>
    </row>
    <row r="24" spans="1:12" x14ac:dyDescent="0.3">
      <c r="A24" s="7">
        <v>534.5</v>
      </c>
      <c r="B24">
        <v>15</v>
      </c>
      <c r="C24">
        <v>35</v>
      </c>
      <c r="D24">
        <v>8</v>
      </c>
      <c r="E24" t="s">
        <v>17</v>
      </c>
      <c r="F24" s="10">
        <f t="shared" si="0"/>
        <v>81</v>
      </c>
      <c r="G24" s="14">
        <f t="shared" si="1"/>
        <v>187.08</v>
      </c>
      <c r="H24" s="7">
        <f t="shared" si="2"/>
        <v>583.25</v>
      </c>
      <c r="I24" s="10">
        <f t="shared" si="3"/>
        <v>802.58</v>
      </c>
      <c r="J24">
        <f t="shared" si="4"/>
        <v>0</v>
      </c>
      <c r="K24">
        <f t="shared" si="5"/>
        <v>0</v>
      </c>
      <c r="L24" s="10">
        <f t="shared" si="6"/>
        <v>802.58</v>
      </c>
    </row>
    <row r="25" spans="1:12" x14ac:dyDescent="0.3">
      <c r="A25" s="7">
        <v>2113</v>
      </c>
      <c r="B25">
        <v>4</v>
      </c>
      <c r="C25">
        <v>20</v>
      </c>
      <c r="D25">
        <v>3</v>
      </c>
      <c r="E25" t="s">
        <v>15</v>
      </c>
      <c r="F25" s="10">
        <f t="shared" si="0"/>
        <v>85</v>
      </c>
      <c r="G25" s="14">
        <f t="shared" si="1"/>
        <v>422.6</v>
      </c>
      <c r="H25" s="7">
        <f t="shared" si="2"/>
        <v>1555.33</v>
      </c>
      <c r="I25" s="10">
        <f t="shared" si="3"/>
        <v>2620.6</v>
      </c>
      <c r="J25">
        <f t="shared" si="4"/>
        <v>0</v>
      </c>
      <c r="K25">
        <f t="shared" si="5"/>
        <v>0</v>
      </c>
      <c r="L25" s="10">
        <f t="shared" si="6"/>
        <v>2620.6</v>
      </c>
    </row>
    <row r="26" spans="1:12" x14ac:dyDescent="0.3">
      <c r="A26" s="7">
        <v>623</v>
      </c>
      <c r="B26">
        <v>5</v>
      </c>
      <c r="C26">
        <v>5</v>
      </c>
      <c r="D26">
        <v>7</v>
      </c>
      <c r="E26" t="s">
        <v>21</v>
      </c>
      <c r="F26" s="10">
        <f t="shared" si="0"/>
        <v>32</v>
      </c>
      <c r="G26" s="14">
        <f t="shared" si="1"/>
        <v>31.15</v>
      </c>
      <c r="H26" s="7">
        <f t="shared" si="2"/>
        <v>666.57</v>
      </c>
      <c r="I26" s="10">
        <f t="shared" si="3"/>
        <v>686.15</v>
      </c>
      <c r="J26">
        <f t="shared" si="4"/>
        <v>0</v>
      </c>
      <c r="K26">
        <f t="shared" si="5"/>
        <v>0</v>
      </c>
      <c r="L26" s="10">
        <f t="shared" si="6"/>
        <v>686.15</v>
      </c>
    </row>
    <row r="27" spans="1:12" x14ac:dyDescent="0.3">
      <c r="A27" s="7">
        <v>530</v>
      </c>
      <c r="B27">
        <v>8</v>
      </c>
      <c r="C27">
        <v>5</v>
      </c>
      <c r="D27">
        <v>9</v>
      </c>
      <c r="E27" t="s">
        <v>18</v>
      </c>
      <c r="F27" s="10">
        <f t="shared" si="0"/>
        <v>43</v>
      </c>
      <c r="G27" s="14">
        <f t="shared" si="1"/>
        <v>26.5</v>
      </c>
      <c r="H27" s="7">
        <f t="shared" si="2"/>
        <v>518.44000000000005</v>
      </c>
      <c r="I27" s="10">
        <f t="shared" si="3"/>
        <v>599.5</v>
      </c>
      <c r="J27">
        <f t="shared" si="4"/>
        <v>0</v>
      </c>
      <c r="K27">
        <f t="shared" si="5"/>
        <v>0</v>
      </c>
      <c r="L27" s="10">
        <f t="shared" si="6"/>
        <v>599.5</v>
      </c>
    </row>
    <row r="28" spans="1:12" x14ac:dyDescent="0.3">
      <c r="A28" s="7">
        <v>406</v>
      </c>
      <c r="B28">
        <v>15</v>
      </c>
      <c r="C28">
        <v>45</v>
      </c>
      <c r="D28">
        <v>9</v>
      </c>
      <c r="E28" t="s">
        <v>21</v>
      </c>
      <c r="F28" s="10">
        <f t="shared" si="0"/>
        <v>61</v>
      </c>
      <c r="G28" s="14">
        <f t="shared" si="1"/>
        <v>182.7</v>
      </c>
      <c r="H28" s="7">
        <f t="shared" si="2"/>
        <v>518.44000000000005</v>
      </c>
      <c r="I28" s="10">
        <f t="shared" si="3"/>
        <v>649.70000000000005</v>
      </c>
      <c r="J28">
        <f t="shared" si="4"/>
        <v>0</v>
      </c>
      <c r="K28">
        <f t="shared" si="5"/>
        <v>0</v>
      </c>
      <c r="L28" s="10">
        <f t="shared" si="6"/>
        <v>649.70000000000005</v>
      </c>
    </row>
    <row r="29" spans="1:12" x14ac:dyDescent="0.3">
      <c r="A29" s="7">
        <v>1047</v>
      </c>
      <c r="B29">
        <v>12</v>
      </c>
      <c r="C29">
        <v>30</v>
      </c>
      <c r="D29">
        <v>6</v>
      </c>
      <c r="E29" t="s">
        <v>17</v>
      </c>
      <c r="F29" s="10">
        <f t="shared" si="0"/>
        <v>126</v>
      </c>
      <c r="G29" s="14">
        <f t="shared" si="1"/>
        <v>314.10000000000002</v>
      </c>
      <c r="H29" s="7">
        <f t="shared" si="2"/>
        <v>777.67</v>
      </c>
      <c r="I29" s="10">
        <f t="shared" si="3"/>
        <v>1487.1</v>
      </c>
      <c r="J29">
        <f t="shared" si="4"/>
        <v>0</v>
      </c>
      <c r="K29">
        <f t="shared" si="5"/>
        <v>0</v>
      </c>
      <c r="L29" s="10">
        <f t="shared" si="6"/>
        <v>1487.1</v>
      </c>
    </row>
    <row r="30" spans="1:12" x14ac:dyDescent="0.3">
      <c r="A30" s="7">
        <v>4450</v>
      </c>
      <c r="B30">
        <v>8</v>
      </c>
      <c r="C30">
        <v>15</v>
      </c>
      <c r="D30">
        <v>1</v>
      </c>
      <c r="E30" t="s">
        <v>18</v>
      </c>
      <c r="F30" s="10">
        <f t="shared" si="0"/>
        <v>356</v>
      </c>
      <c r="G30" s="14">
        <f t="shared" si="1"/>
        <v>667.5</v>
      </c>
      <c r="H30" s="7">
        <f t="shared" si="2"/>
        <v>4666</v>
      </c>
      <c r="I30" s="10">
        <f t="shared" si="3"/>
        <v>5473.5</v>
      </c>
      <c r="J30">
        <f t="shared" si="4"/>
        <v>0</v>
      </c>
      <c r="K30">
        <f t="shared" si="5"/>
        <v>0</v>
      </c>
      <c r="L30" s="10">
        <f t="shared" si="6"/>
        <v>5473.5</v>
      </c>
    </row>
    <row r="31" spans="1:12" x14ac:dyDescent="0.3">
      <c r="A31" s="7">
        <v>3690</v>
      </c>
      <c r="B31">
        <v>16</v>
      </c>
      <c r="C31">
        <v>5</v>
      </c>
      <c r="D31">
        <v>1</v>
      </c>
      <c r="E31" t="s">
        <v>16</v>
      </c>
      <c r="F31" s="10">
        <f t="shared" si="0"/>
        <v>591</v>
      </c>
      <c r="G31" s="14">
        <f t="shared" si="1"/>
        <v>184.5</v>
      </c>
      <c r="H31" s="7">
        <f t="shared" si="2"/>
        <v>4666</v>
      </c>
      <c r="I31" s="10">
        <f t="shared" si="3"/>
        <v>4465.5</v>
      </c>
      <c r="J31">
        <f t="shared" si="4"/>
        <v>1</v>
      </c>
      <c r="K31">
        <f t="shared" si="5"/>
        <v>200.5</v>
      </c>
      <c r="L31" s="10">
        <f t="shared" si="6"/>
        <v>4666</v>
      </c>
    </row>
    <row r="32" spans="1:12" x14ac:dyDescent="0.3">
      <c r="A32" s="7">
        <v>688</v>
      </c>
      <c r="B32">
        <v>19</v>
      </c>
      <c r="C32">
        <v>20</v>
      </c>
      <c r="D32">
        <v>9</v>
      </c>
      <c r="E32" t="s">
        <v>19</v>
      </c>
      <c r="F32" s="10">
        <f t="shared" si="0"/>
        <v>131</v>
      </c>
      <c r="G32" s="14">
        <f t="shared" si="1"/>
        <v>137.6</v>
      </c>
      <c r="H32" s="7">
        <f t="shared" si="2"/>
        <v>518.44000000000005</v>
      </c>
      <c r="I32" s="10">
        <f t="shared" si="3"/>
        <v>956.6</v>
      </c>
      <c r="J32">
        <f t="shared" si="4"/>
        <v>0</v>
      </c>
      <c r="K32">
        <f t="shared" si="5"/>
        <v>0</v>
      </c>
      <c r="L32" s="10">
        <f t="shared" si="6"/>
        <v>956.6</v>
      </c>
    </row>
    <row r="33" spans="1:12" x14ac:dyDescent="0.3">
      <c r="A33" s="7">
        <v>6870</v>
      </c>
      <c r="B33">
        <v>20</v>
      </c>
      <c r="C33">
        <v>5</v>
      </c>
      <c r="D33">
        <v>1</v>
      </c>
      <c r="E33" t="s">
        <v>20</v>
      </c>
      <c r="F33" s="10">
        <f t="shared" si="0"/>
        <v>1374</v>
      </c>
      <c r="G33" s="14">
        <f t="shared" si="1"/>
        <v>343.5</v>
      </c>
      <c r="H33" s="7">
        <f t="shared" si="2"/>
        <v>4666</v>
      </c>
      <c r="I33" s="10">
        <f t="shared" si="3"/>
        <v>8587.5</v>
      </c>
      <c r="J33">
        <f t="shared" si="4"/>
        <v>0</v>
      </c>
      <c r="K33">
        <f t="shared" si="5"/>
        <v>0</v>
      </c>
      <c r="L33" s="10">
        <f t="shared" si="6"/>
        <v>8587.5</v>
      </c>
    </row>
    <row r="34" spans="1:12" x14ac:dyDescent="0.3">
      <c r="A34" s="7">
        <v>5550</v>
      </c>
      <c r="B34">
        <v>8</v>
      </c>
      <c r="C34">
        <v>40</v>
      </c>
      <c r="D34">
        <v>1</v>
      </c>
      <c r="E34" t="s">
        <v>18</v>
      </c>
      <c r="F34" s="10">
        <f t="shared" si="0"/>
        <v>444</v>
      </c>
      <c r="G34" s="14">
        <f t="shared" si="1"/>
        <v>2220</v>
      </c>
      <c r="H34" s="7">
        <f t="shared" si="2"/>
        <v>4666</v>
      </c>
      <c r="I34" s="10">
        <f t="shared" si="3"/>
        <v>8214</v>
      </c>
      <c r="J34">
        <f t="shared" si="4"/>
        <v>0</v>
      </c>
      <c r="K34">
        <f t="shared" si="5"/>
        <v>0</v>
      </c>
      <c r="L34" s="10">
        <f t="shared" si="6"/>
        <v>8214</v>
      </c>
    </row>
    <row r="35" spans="1:12" x14ac:dyDescent="0.3">
      <c r="A35" s="7">
        <v>423</v>
      </c>
      <c r="B35">
        <v>12</v>
      </c>
      <c r="C35">
        <v>25</v>
      </c>
      <c r="D35">
        <v>7</v>
      </c>
      <c r="E35" t="s">
        <v>18</v>
      </c>
      <c r="F35" s="10">
        <f t="shared" si="0"/>
        <v>51</v>
      </c>
      <c r="G35" s="14">
        <f t="shared" si="1"/>
        <v>105.75</v>
      </c>
      <c r="H35" s="7">
        <f t="shared" si="2"/>
        <v>666.57</v>
      </c>
      <c r="I35" s="10">
        <f t="shared" si="3"/>
        <v>579.75</v>
      </c>
      <c r="J35">
        <f t="shared" si="4"/>
        <v>1</v>
      </c>
      <c r="K35">
        <f t="shared" si="5"/>
        <v>86.82000000000005</v>
      </c>
      <c r="L35" s="10">
        <f t="shared" si="6"/>
        <v>666.57</v>
      </c>
    </row>
    <row r="36" spans="1:12" x14ac:dyDescent="0.3">
      <c r="A36" s="7">
        <v>4160</v>
      </c>
      <c r="B36">
        <v>6</v>
      </c>
      <c r="C36">
        <v>15</v>
      </c>
      <c r="D36">
        <v>1</v>
      </c>
      <c r="E36" t="s">
        <v>17</v>
      </c>
      <c r="F36" s="10">
        <f t="shared" si="0"/>
        <v>250</v>
      </c>
      <c r="G36" s="14">
        <f t="shared" si="1"/>
        <v>624</v>
      </c>
      <c r="H36" s="7">
        <f t="shared" si="2"/>
        <v>4666</v>
      </c>
      <c r="I36" s="10">
        <f t="shared" si="3"/>
        <v>5034</v>
      </c>
      <c r="J36">
        <f t="shared" si="4"/>
        <v>0</v>
      </c>
      <c r="K36">
        <f t="shared" si="5"/>
        <v>0</v>
      </c>
      <c r="L36" s="10">
        <f t="shared" si="6"/>
        <v>5034</v>
      </c>
    </row>
    <row r="37" spans="1:12" x14ac:dyDescent="0.3">
      <c r="A37" s="7">
        <v>1090</v>
      </c>
      <c r="B37">
        <v>16</v>
      </c>
      <c r="C37">
        <v>15</v>
      </c>
      <c r="D37">
        <v>3</v>
      </c>
      <c r="E37" t="s">
        <v>17</v>
      </c>
      <c r="F37" s="10">
        <f t="shared" si="0"/>
        <v>175</v>
      </c>
      <c r="G37" s="14">
        <f t="shared" si="1"/>
        <v>163.5</v>
      </c>
      <c r="H37" s="7">
        <f t="shared" si="2"/>
        <v>1555.33</v>
      </c>
      <c r="I37" s="10">
        <f t="shared" si="3"/>
        <v>1428.5</v>
      </c>
      <c r="J37">
        <f t="shared" si="4"/>
        <v>1</v>
      </c>
      <c r="K37">
        <f t="shared" si="5"/>
        <v>126.82999999999993</v>
      </c>
      <c r="L37" s="10">
        <f t="shared" si="6"/>
        <v>1555.33</v>
      </c>
    </row>
    <row r="38" spans="1:12" x14ac:dyDescent="0.3">
      <c r="A38" s="7">
        <v>6460</v>
      </c>
      <c r="B38">
        <v>4</v>
      </c>
      <c r="C38">
        <v>40</v>
      </c>
      <c r="D38">
        <v>1</v>
      </c>
      <c r="E38" t="s">
        <v>15</v>
      </c>
      <c r="F38" s="10">
        <f t="shared" si="0"/>
        <v>259</v>
      </c>
      <c r="G38" s="14">
        <f t="shared" si="1"/>
        <v>2584</v>
      </c>
      <c r="H38" s="7">
        <f t="shared" si="2"/>
        <v>4666</v>
      </c>
      <c r="I38" s="10">
        <f t="shared" si="3"/>
        <v>9303</v>
      </c>
      <c r="J38">
        <f t="shared" si="4"/>
        <v>0</v>
      </c>
      <c r="K38">
        <f t="shared" si="5"/>
        <v>0</v>
      </c>
      <c r="L38" s="10">
        <f t="shared" si="6"/>
        <v>9303</v>
      </c>
    </row>
    <row r="39" spans="1:12" x14ac:dyDescent="0.3">
      <c r="A39" s="7">
        <v>332</v>
      </c>
      <c r="B39">
        <v>12</v>
      </c>
      <c r="C39">
        <v>40</v>
      </c>
      <c r="D39">
        <v>9</v>
      </c>
      <c r="E39" t="s">
        <v>19</v>
      </c>
      <c r="F39" s="10">
        <f t="shared" si="0"/>
        <v>40</v>
      </c>
      <c r="G39" s="14">
        <f t="shared" si="1"/>
        <v>132.80000000000001</v>
      </c>
      <c r="H39" s="7">
        <f t="shared" si="2"/>
        <v>518.44000000000005</v>
      </c>
      <c r="I39" s="10">
        <f t="shared" si="3"/>
        <v>504.8</v>
      </c>
      <c r="J39">
        <f t="shared" si="4"/>
        <v>1</v>
      </c>
      <c r="K39">
        <f t="shared" si="5"/>
        <v>13.640000000000043</v>
      </c>
      <c r="L39" s="10">
        <f t="shared" si="6"/>
        <v>518.44000000000005</v>
      </c>
    </row>
    <row r="40" spans="1:12" x14ac:dyDescent="0.3">
      <c r="A40" s="7">
        <v>1950</v>
      </c>
      <c r="B40">
        <v>5</v>
      </c>
      <c r="C40">
        <v>45</v>
      </c>
      <c r="D40">
        <v>3</v>
      </c>
      <c r="E40" t="s">
        <v>18</v>
      </c>
      <c r="F40" s="10">
        <f t="shared" si="0"/>
        <v>98</v>
      </c>
      <c r="G40" s="14">
        <f t="shared" si="1"/>
        <v>877.5</v>
      </c>
      <c r="H40" s="7">
        <f t="shared" si="2"/>
        <v>1555.33</v>
      </c>
      <c r="I40" s="10">
        <f t="shared" si="3"/>
        <v>2925.5</v>
      </c>
      <c r="J40">
        <f t="shared" si="4"/>
        <v>0</v>
      </c>
      <c r="K40">
        <f t="shared" si="5"/>
        <v>0</v>
      </c>
      <c r="L40" s="10">
        <f t="shared" si="6"/>
        <v>2925.5</v>
      </c>
    </row>
    <row r="41" spans="1:12" x14ac:dyDescent="0.3">
      <c r="A41" s="7">
        <v>3880</v>
      </c>
      <c r="B41">
        <v>6</v>
      </c>
      <c r="C41">
        <v>40</v>
      </c>
      <c r="D41">
        <v>1</v>
      </c>
      <c r="E41" t="s">
        <v>20</v>
      </c>
      <c r="F41" s="10">
        <f t="shared" si="0"/>
        <v>233</v>
      </c>
      <c r="G41" s="14">
        <f t="shared" si="1"/>
        <v>1552</v>
      </c>
      <c r="H41" s="7">
        <f t="shared" si="2"/>
        <v>4666</v>
      </c>
      <c r="I41" s="10">
        <f t="shared" si="3"/>
        <v>5665</v>
      </c>
      <c r="J41">
        <f t="shared" si="4"/>
        <v>0</v>
      </c>
      <c r="K41">
        <f t="shared" si="5"/>
        <v>0</v>
      </c>
      <c r="L41" s="10">
        <f t="shared" si="6"/>
        <v>5665</v>
      </c>
    </row>
    <row r="42" spans="1:12" x14ac:dyDescent="0.3">
      <c r="A42" s="7">
        <v>1063</v>
      </c>
      <c r="B42">
        <v>4</v>
      </c>
      <c r="C42">
        <v>30</v>
      </c>
      <c r="D42">
        <v>6</v>
      </c>
      <c r="E42" t="s">
        <v>20</v>
      </c>
      <c r="F42" s="10">
        <f t="shared" si="0"/>
        <v>43</v>
      </c>
      <c r="G42" s="14">
        <f t="shared" si="1"/>
        <v>318.89999999999998</v>
      </c>
      <c r="H42" s="7">
        <f t="shared" si="2"/>
        <v>777.67</v>
      </c>
      <c r="I42" s="10">
        <f t="shared" si="3"/>
        <v>1424.9</v>
      </c>
      <c r="J42">
        <f t="shared" si="4"/>
        <v>0</v>
      </c>
      <c r="K42">
        <f t="shared" si="5"/>
        <v>0</v>
      </c>
      <c r="L42" s="10">
        <f t="shared" si="6"/>
        <v>1424.9</v>
      </c>
    </row>
    <row r="43" spans="1:12" x14ac:dyDescent="0.3">
      <c r="A43" s="7">
        <v>3660</v>
      </c>
      <c r="B43">
        <v>12</v>
      </c>
      <c r="C43">
        <v>10</v>
      </c>
      <c r="D43">
        <v>1</v>
      </c>
      <c r="E43" t="s">
        <v>20</v>
      </c>
      <c r="F43" s="10">
        <f t="shared" si="0"/>
        <v>440</v>
      </c>
      <c r="G43" s="14">
        <f t="shared" si="1"/>
        <v>366</v>
      </c>
      <c r="H43" s="7">
        <f t="shared" si="2"/>
        <v>4666</v>
      </c>
      <c r="I43" s="10">
        <f t="shared" si="3"/>
        <v>4466</v>
      </c>
      <c r="J43">
        <f t="shared" si="4"/>
        <v>1</v>
      </c>
      <c r="K43">
        <f t="shared" si="5"/>
        <v>200</v>
      </c>
      <c r="L43" s="10">
        <f t="shared" si="6"/>
        <v>4666</v>
      </c>
    </row>
    <row r="44" spans="1:12" x14ac:dyDescent="0.3">
      <c r="A44" s="7">
        <v>2165</v>
      </c>
      <c r="B44">
        <v>11</v>
      </c>
      <c r="C44">
        <v>15</v>
      </c>
      <c r="D44">
        <v>2</v>
      </c>
      <c r="E44" t="s">
        <v>15</v>
      </c>
      <c r="F44" s="10">
        <f t="shared" si="0"/>
        <v>239</v>
      </c>
      <c r="G44" s="14">
        <f t="shared" si="1"/>
        <v>324.75</v>
      </c>
      <c r="H44" s="7">
        <f t="shared" si="2"/>
        <v>2333</v>
      </c>
      <c r="I44" s="10">
        <f t="shared" si="3"/>
        <v>2728.75</v>
      </c>
      <c r="J44">
        <f t="shared" si="4"/>
        <v>0</v>
      </c>
      <c r="K44">
        <f t="shared" si="5"/>
        <v>0</v>
      </c>
      <c r="L44" s="10">
        <f t="shared" si="6"/>
        <v>2728.75</v>
      </c>
    </row>
    <row r="45" spans="1:12" x14ac:dyDescent="0.3">
      <c r="A45" s="7">
        <v>2000</v>
      </c>
      <c r="B45">
        <v>19</v>
      </c>
      <c r="C45">
        <v>0</v>
      </c>
      <c r="D45">
        <v>2</v>
      </c>
      <c r="E45" t="s">
        <v>17</v>
      </c>
      <c r="F45" s="10">
        <f t="shared" si="0"/>
        <v>380</v>
      </c>
      <c r="G45" s="14">
        <f t="shared" si="1"/>
        <v>0</v>
      </c>
      <c r="H45" s="7">
        <f t="shared" si="2"/>
        <v>2333</v>
      </c>
      <c r="I45" s="10">
        <f t="shared" si="3"/>
        <v>2380</v>
      </c>
      <c r="J45">
        <f t="shared" si="4"/>
        <v>0</v>
      </c>
      <c r="K45">
        <f t="shared" si="5"/>
        <v>0</v>
      </c>
      <c r="L45" s="10">
        <f t="shared" si="6"/>
        <v>2380</v>
      </c>
    </row>
    <row r="46" spans="1:12" x14ac:dyDescent="0.3">
      <c r="A46" s="7">
        <v>3550</v>
      </c>
      <c r="B46">
        <v>8</v>
      </c>
      <c r="C46">
        <v>10</v>
      </c>
      <c r="D46">
        <v>1</v>
      </c>
      <c r="E46" t="s">
        <v>20</v>
      </c>
      <c r="F46" s="10">
        <f t="shared" si="0"/>
        <v>284</v>
      </c>
      <c r="G46" s="14">
        <f t="shared" si="1"/>
        <v>355</v>
      </c>
      <c r="H46" s="7">
        <f t="shared" si="2"/>
        <v>4666</v>
      </c>
      <c r="I46" s="10">
        <f t="shared" si="3"/>
        <v>4189</v>
      </c>
      <c r="J46">
        <f t="shared" si="4"/>
        <v>1</v>
      </c>
      <c r="K46">
        <f t="shared" si="5"/>
        <v>477</v>
      </c>
      <c r="L46" s="10">
        <f t="shared" si="6"/>
        <v>4666</v>
      </c>
    </row>
    <row r="47" spans="1:12" x14ac:dyDescent="0.3">
      <c r="A47" s="7">
        <v>5530</v>
      </c>
      <c r="B47">
        <v>7</v>
      </c>
      <c r="C47">
        <v>35</v>
      </c>
      <c r="D47">
        <v>1</v>
      </c>
      <c r="E47" t="s">
        <v>18</v>
      </c>
      <c r="F47" s="10">
        <f t="shared" si="0"/>
        <v>388</v>
      </c>
      <c r="G47" s="14">
        <f t="shared" si="1"/>
        <v>1935.5</v>
      </c>
      <c r="H47" s="7">
        <f t="shared" si="2"/>
        <v>4666</v>
      </c>
      <c r="I47" s="10">
        <f t="shared" si="3"/>
        <v>7853.5</v>
      </c>
      <c r="J47">
        <f t="shared" si="4"/>
        <v>0</v>
      </c>
      <c r="K47">
        <f t="shared" si="5"/>
        <v>0</v>
      </c>
      <c r="L47" s="10">
        <f t="shared" si="6"/>
        <v>7853.5</v>
      </c>
    </row>
    <row r="48" spans="1:12" x14ac:dyDescent="0.3">
      <c r="A48" s="7">
        <v>1168</v>
      </c>
      <c r="B48">
        <v>5</v>
      </c>
      <c r="C48">
        <v>0</v>
      </c>
      <c r="D48">
        <v>5</v>
      </c>
      <c r="E48" t="s">
        <v>15</v>
      </c>
      <c r="F48" s="10">
        <f t="shared" si="0"/>
        <v>59</v>
      </c>
      <c r="G48" s="14">
        <f t="shared" si="1"/>
        <v>0</v>
      </c>
      <c r="H48" s="7">
        <f t="shared" si="2"/>
        <v>933.2</v>
      </c>
      <c r="I48" s="10">
        <f t="shared" si="3"/>
        <v>1227</v>
      </c>
      <c r="J48">
        <f t="shared" si="4"/>
        <v>0</v>
      </c>
      <c r="K48">
        <f t="shared" si="5"/>
        <v>0</v>
      </c>
      <c r="L48" s="10">
        <f t="shared" si="6"/>
        <v>1227</v>
      </c>
    </row>
    <row r="49" spans="1:12" x14ac:dyDescent="0.3">
      <c r="A49" s="7">
        <v>740</v>
      </c>
      <c r="B49">
        <v>0</v>
      </c>
      <c r="C49">
        <v>40</v>
      </c>
      <c r="D49">
        <v>4</v>
      </c>
      <c r="E49" t="s">
        <v>17</v>
      </c>
      <c r="F49" s="10">
        <f t="shared" si="0"/>
        <v>0</v>
      </c>
      <c r="G49" s="14">
        <f t="shared" si="1"/>
        <v>296</v>
      </c>
      <c r="H49" s="7">
        <f t="shared" si="2"/>
        <v>1166.5</v>
      </c>
      <c r="I49" s="10">
        <f t="shared" si="3"/>
        <v>1036</v>
      </c>
      <c r="J49">
        <f t="shared" si="4"/>
        <v>1</v>
      </c>
      <c r="K49">
        <f t="shared" si="5"/>
        <v>130.5</v>
      </c>
      <c r="L49" s="10">
        <f t="shared" si="6"/>
        <v>1166.5</v>
      </c>
    </row>
    <row r="50" spans="1:12" x14ac:dyDescent="0.3">
      <c r="A50" s="7">
        <v>651</v>
      </c>
      <c r="B50">
        <v>7</v>
      </c>
      <c r="C50">
        <v>20</v>
      </c>
      <c r="D50">
        <v>10</v>
      </c>
      <c r="E50" t="s">
        <v>15</v>
      </c>
      <c r="F50" s="10">
        <f t="shared" si="0"/>
        <v>46</v>
      </c>
      <c r="G50" s="14">
        <f t="shared" si="1"/>
        <v>130.19999999999999</v>
      </c>
      <c r="H50" s="7">
        <f t="shared" si="2"/>
        <v>466.6</v>
      </c>
      <c r="I50" s="10">
        <f t="shared" si="3"/>
        <v>827.2</v>
      </c>
      <c r="J50">
        <f t="shared" si="4"/>
        <v>0</v>
      </c>
      <c r="K50">
        <f t="shared" si="5"/>
        <v>0</v>
      </c>
      <c r="L50" s="10">
        <f t="shared" si="6"/>
        <v>827.2</v>
      </c>
    </row>
    <row r="51" spans="1:12" x14ac:dyDescent="0.3">
      <c r="A51" s="7">
        <v>1055</v>
      </c>
      <c r="B51">
        <v>19</v>
      </c>
      <c r="C51">
        <v>45</v>
      </c>
      <c r="D51">
        <v>4</v>
      </c>
      <c r="E51" t="s">
        <v>20</v>
      </c>
      <c r="F51" s="10">
        <f t="shared" si="0"/>
        <v>201</v>
      </c>
      <c r="G51" s="14">
        <f t="shared" si="1"/>
        <v>474.75</v>
      </c>
      <c r="H51" s="7">
        <f t="shared" si="2"/>
        <v>1166.5</v>
      </c>
      <c r="I51" s="10">
        <f t="shared" si="3"/>
        <v>1730.75</v>
      </c>
      <c r="J51">
        <f t="shared" si="4"/>
        <v>0</v>
      </c>
      <c r="K51">
        <f t="shared" si="5"/>
        <v>0</v>
      </c>
      <c r="L51" s="10">
        <f t="shared" si="6"/>
        <v>1730.75</v>
      </c>
    </row>
    <row r="52" spans="1:12" x14ac:dyDescent="0.3">
      <c r="A52" s="7">
        <v>900</v>
      </c>
      <c r="B52">
        <v>6</v>
      </c>
      <c r="C52">
        <v>20</v>
      </c>
      <c r="D52">
        <v>4</v>
      </c>
      <c r="E52" t="s">
        <v>15</v>
      </c>
      <c r="F52" s="10">
        <f t="shared" si="0"/>
        <v>54</v>
      </c>
      <c r="G52" s="14">
        <f t="shared" si="1"/>
        <v>180</v>
      </c>
      <c r="H52" s="7">
        <f t="shared" si="2"/>
        <v>1166.5</v>
      </c>
      <c r="I52" s="10">
        <f t="shared" si="3"/>
        <v>1134</v>
      </c>
      <c r="J52">
        <f t="shared" si="4"/>
        <v>1</v>
      </c>
      <c r="K52">
        <f t="shared" si="5"/>
        <v>32.5</v>
      </c>
      <c r="L52" s="10">
        <f t="shared" si="6"/>
        <v>1166.5</v>
      </c>
    </row>
    <row r="53" spans="1:12" x14ac:dyDescent="0.3">
      <c r="A53" s="7">
        <v>2177</v>
      </c>
      <c r="B53">
        <v>6</v>
      </c>
      <c r="C53">
        <v>25</v>
      </c>
      <c r="D53">
        <v>3</v>
      </c>
      <c r="E53" t="s">
        <v>21</v>
      </c>
      <c r="F53" s="10">
        <f t="shared" si="0"/>
        <v>131</v>
      </c>
      <c r="G53" s="14">
        <f t="shared" si="1"/>
        <v>544.25</v>
      </c>
      <c r="H53" s="7">
        <f t="shared" si="2"/>
        <v>1555.33</v>
      </c>
      <c r="I53" s="10">
        <f t="shared" si="3"/>
        <v>2852.25</v>
      </c>
      <c r="J53">
        <f t="shared" si="4"/>
        <v>0</v>
      </c>
      <c r="K53">
        <f t="shared" si="5"/>
        <v>0</v>
      </c>
      <c r="L53" s="10">
        <f t="shared" si="6"/>
        <v>2852.25</v>
      </c>
    </row>
    <row r="54" spans="1:12" x14ac:dyDescent="0.3">
      <c r="A54" s="7">
        <v>450</v>
      </c>
      <c r="B54">
        <v>20</v>
      </c>
      <c r="C54">
        <v>30</v>
      </c>
      <c r="D54">
        <v>10</v>
      </c>
      <c r="E54" t="s">
        <v>16</v>
      </c>
      <c r="F54" s="10">
        <f t="shared" si="0"/>
        <v>90</v>
      </c>
      <c r="G54" s="14">
        <f t="shared" si="1"/>
        <v>135</v>
      </c>
      <c r="H54" s="7">
        <f t="shared" si="2"/>
        <v>466.6</v>
      </c>
      <c r="I54" s="10">
        <f t="shared" si="3"/>
        <v>675</v>
      </c>
      <c r="J54">
        <f t="shared" si="4"/>
        <v>0</v>
      </c>
      <c r="K54">
        <f t="shared" si="5"/>
        <v>0</v>
      </c>
      <c r="L54" s="10">
        <f t="shared" si="6"/>
        <v>675</v>
      </c>
    </row>
    <row r="55" spans="1:12" x14ac:dyDescent="0.3">
      <c r="A55" s="7">
        <v>689</v>
      </c>
      <c r="B55">
        <v>7</v>
      </c>
      <c r="C55">
        <v>10</v>
      </c>
      <c r="D55">
        <v>9</v>
      </c>
      <c r="E55" t="s">
        <v>18</v>
      </c>
      <c r="F55" s="10">
        <f t="shared" si="0"/>
        <v>49</v>
      </c>
      <c r="G55" s="14">
        <f t="shared" si="1"/>
        <v>68.900000000000006</v>
      </c>
      <c r="H55" s="7">
        <f t="shared" si="2"/>
        <v>518.44000000000005</v>
      </c>
      <c r="I55" s="10">
        <f t="shared" si="3"/>
        <v>806.9</v>
      </c>
      <c r="J55">
        <f t="shared" si="4"/>
        <v>0</v>
      </c>
      <c r="K55">
        <f t="shared" si="5"/>
        <v>0</v>
      </c>
      <c r="L55" s="10">
        <f t="shared" si="6"/>
        <v>806.9</v>
      </c>
    </row>
    <row r="56" spans="1:12" x14ac:dyDescent="0.3">
      <c r="A56" s="7">
        <v>478</v>
      </c>
      <c r="B56">
        <v>9</v>
      </c>
      <c r="C56">
        <v>10</v>
      </c>
      <c r="D56">
        <v>8</v>
      </c>
      <c r="E56" t="s">
        <v>16</v>
      </c>
      <c r="F56" s="10">
        <f t="shared" si="0"/>
        <v>44</v>
      </c>
      <c r="G56" s="14">
        <f t="shared" si="1"/>
        <v>47.8</v>
      </c>
      <c r="H56" s="7">
        <f t="shared" si="2"/>
        <v>583.25</v>
      </c>
      <c r="I56" s="10">
        <f t="shared" si="3"/>
        <v>569.79999999999995</v>
      </c>
      <c r="J56">
        <f t="shared" si="4"/>
        <v>1</v>
      </c>
      <c r="K56">
        <f t="shared" si="5"/>
        <v>13.450000000000045</v>
      </c>
      <c r="L56" s="10">
        <f t="shared" si="6"/>
        <v>583.25</v>
      </c>
    </row>
    <row r="57" spans="1:12" x14ac:dyDescent="0.3">
      <c r="A57" s="7">
        <v>788</v>
      </c>
      <c r="B57">
        <v>9</v>
      </c>
      <c r="C57">
        <v>10</v>
      </c>
      <c r="D57">
        <v>5</v>
      </c>
      <c r="E57" t="s">
        <v>16</v>
      </c>
      <c r="F57" s="10">
        <f t="shared" si="0"/>
        <v>71</v>
      </c>
      <c r="G57" s="14">
        <f t="shared" si="1"/>
        <v>78.8</v>
      </c>
      <c r="H57" s="7">
        <f t="shared" si="2"/>
        <v>933.2</v>
      </c>
      <c r="I57" s="10">
        <f t="shared" si="3"/>
        <v>937.8</v>
      </c>
      <c r="J57">
        <f t="shared" si="4"/>
        <v>0</v>
      </c>
      <c r="K57">
        <f t="shared" si="5"/>
        <v>0</v>
      </c>
      <c r="L57" s="10">
        <f t="shared" si="6"/>
        <v>937.8</v>
      </c>
    </row>
    <row r="58" spans="1:12" x14ac:dyDescent="0.3">
      <c r="A58" s="7">
        <v>500</v>
      </c>
      <c r="B58">
        <v>7</v>
      </c>
      <c r="C58">
        <v>25</v>
      </c>
      <c r="D58">
        <v>9</v>
      </c>
      <c r="E58" t="s">
        <v>17</v>
      </c>
      <c r="F58" s="10">
        <f t="shared" si="0"/>
        <v>35</v>
      </c>
      <c r="G58" s="14">
        <f t="shared" si="1"/>
        <v>125</v>
      </c>
      <c r="H58" s="7">
        <f t="shared" si="2"/>
        <v>518.44000000000005</v>
      </c>
      <c r="I58" s="10">
        <f t="shared" si="3"/>
        <v>660</v>
      </c>
      <c r="J58">
        <f t="shared" si="4"/>
        <v>0</v>
      </c>
      <c r="K58">
        <f t="shared" si="5"/>
        <v>0</v>
      </c>
      <c r="L58" s="10">
        <f t="shared" si="6"/>
        <v>660</v>
      </c>
    </row>
    <row r="59" spans="1:12" x14ac:dyDescent="0.3">
      <c r="A59" s="7">
        <v>1347</v>
      </c>
      <c r="B59">
        <v>20</v>
      </c>
      <c r="C59">
        <v>45</v>
      </c>
      <c r="D59">
        <v>3</v>
      </c>
      <c r="E59" t="s">
        <v>16</v>
      </c>
      <c r="F59" s="10">
        <f t="shared" si="0"/>
        <v>270</v>
      </c>
      <c r="G59" s="14">
        <f t="shared" si="1"/>
        <v>606.15</v>
      </c>
      <c r="H59" s="7">
        <f t="shared" si="2"/>
        <v>1555.33</v>
      </c>
      <c r="I59" s="10">
        <f t="shared" si="3"/>
        <v>2223.15</v>
      </c>
      <c r="J59">
        <f t="shared" si="4"/>
        <v>0</v>
      </c>
      <c r="K59">
        <f t="shared" si="5"/>
        <v>0</v>
      </c>
      <c r="L59" s="10">
        <f t="shared" si="6"/>
        <v>2223.15</v>
      </c>
    </row>
    <row r="60" spans="1:12" x14ac:dyDescent="0.3">
      <c r="A60" s="7">
        <v>4460</v>
      </c>
      <c r="B60">
        <v>18</v>
      </c>
      <c r="C60">
        <v>35</v>
      </c>
      <c r="D60">
        <v>1</v>
      </c>
      <c r="E60" t="s">
        <v>18</v>
      </c>
      <c r="F60" s="10">
        <f t="shared" si="0"/>
        <v>803</v>
      </c>
      <c r="G60" s="14">
        <f t="shared" si="1"/>
        <v>1561</v>
      </c>
      <c r="H60" s="7">
        <f t="shared" si="2"/>
        <v>4666</v>
      </c>
      <c r="I60" s="10">
        <f t="shared" si="3"/>
        <v>6824</v>
      </c>
      <c r="J60">
        <f t="shared" si="4"/>
        <v>0</v>
      </c>
      <c r="K60">
        <f t="shared" si="5"/>
        <v>0</v>
      </c>
      <c r="L60" s="10">
        <f t="shared" si="6"/>
        <v>6824</v>
      </c>
    </row>
    <row r="61" spans="1:12" x14ac:dyDescent="0.3">
      <c r="A61" s="7">
        <v>796.5</v>
      </c>
      <c r="B61">
        <v>9</v>
      </c>
      <c r="C61">
        <v>7</v>
      </c>
      <c r="D61">
        <v>7</v>
      </c>
      <c r="E61" t="s">
        <v>15</v>
      </c>
      <c r="F61" s="10">
        <f t="shared" si="0"/>
        <v>72</v>
      </c>
      <c r="G61" s="14">
        <f t="shared" si="1"/>
        <v>55.76</v>
      </c>
      <c r="H61" s="7">
        <f t="shared" si="2"/>
        <v>666.57</v>
      </c>
      <c r="I61" s="10">
        <f t="shared" si="3"/>
        <v>924.26</v>
      </c>
      <c r="J61">
        <f t="shared" si="4"/>
        <v>0</v>
      </c>
      <c r="K61">
        <f t="shared" si="5"/>
        <v>0</v>
      </c>
      <c r="L61" s="10">
        <f t="shared" si="6"/>
        <v>924.26</v>
      </c>
    </row>
    <row r="62" spans="1:12" x14ac:dyDescent="0.3">
      <c r="A62" s="7">
        <v>4210</v>
      </c>
      <c r="B62">
        <v>19</v>
      </c>
      <c r="C62">
        <v>20</v>
      </c>
      <c r="D62">
        <v>1</v>
      </c>
      <c r="E62" t="s">
        <v>15</v>
      </c>
      <c r="F62" s="10">
        <f t="shared" si="0"/>
        <v>800</v>
      </c>
      <c r="G62" s="14">
        <f t="shared" si="1"/>
        <v>842</v>
      </c>
      <c r="H62" s="7">
        <f t="shared" si="2"/>
        <v>4666</v>
      </c>
      <c r="I62" s="10">
        <f t="shared" si="3"/>
        <v>5852</v>
      </c>
      <c r="J62">
        <f t="shared" si="4"/>
        <v>0</v>
      </c>
      <c r="K62">
        <f t="shared" si="5"/>
        <v>0</v>
      </c>
      <c r="L62" s="10">
        <f t="shared" si="6"/>
        <v>5852</v>
      </c>
    </row>
    <row r="63" spans="1:12" x14ac:dyDescent="0.3">
      <c r="A63" s="7">
        <v>460</v>
      </c>
      <c r="B63">
        <v>11</v>
      </c>
      <c r="C63">
        <v>40</v>
      </c>
      <c r="D63">
        <v>7</v>
      </c>
      <c r="E63" t="s">
        <v>20</v>
      </c>
      <c r="F63" s="10">
        <f t="shared" si="0"/>
        <v>51</v>
      </c>
      <c r="G63" s="14">
        <f t="shared" si="1"/>
        <v>184</v>
      </c>
      <c r="H63" s="7">
        <f t="shared" si="2"/>
        <v>666.57</v>
      </c>
      <c r="I63" s="10">
        <f t="shared" si="3"/>
        <v>695</v>
      </c>
      <c r="J63">
        <f t="shared" si="4"/>
        <v>0</v>
      </c>
      <c r="K63">
        <f t="shared" si="5"/>
        <v>0</v>
      </c>
      <c r="L63" s="10">
        <f t="shared" si="6"/>
        <v>695</v>
      </c>
    </row>
    <row r="64" spans="1:12" x14ac:dyDescent="0.3">
      <c r="A64" s="7">
        <v>1548</v>
      </c>
      <c r="B64">
        <v>17</v>
      </c>
      <c r="C64">
        <v>50</v>
      </c>
      <c r="D64">
        <v>4</v>
      </c>
      <c r="E64" t="s">
        <v>17</v>
      </c>
      <c r="F64" s="10">
        <f t="shared" si="0"/>
        <v>264</v>
      </c>
      <c r="G64" s="14">
        <f t="shared" si="1"/>
        <v>774</v>
      </c>
      <c r="H64" s="7">
        <f t="shared" si="2"/>
        <v>1166.5</v>
      </c>
      <c r="I64" s="10">
        <f t="shared" si="3"/>
        <v>2586</v>
      </c>
      <c r="J64">
        <f t="shared" si="4"/>
        <v>0</v>
      </c>
      <c r="K64">
        <f t="shared" si="5"/>
        <v>0</v>
      </c>
      <c r="L64" s="10">
        <f t="shared" si="6"/>
        <v>2586</v>
      </c>
    </row>
    <row r="65" spans="1:12" x14ac:dyDescent="0.3">
      <c r="A65" s="7">
        <v>870</v>
      </c>
      <c r="B65">
        <v>18</v>
      </c>
      <c r="C65">
        <v>40</v>
      </c>
      <c r="D65">
        <v>6</v>
      </c>
      <c r="E65" t="s">
        <v>19</v>
      </c>
      <c r="F65" s="10">
        <f t="shared" si="0"/>
        <v>157</v>
      </c>
      <c r="G65" s="14">
        <f t="shared" si="1"/>
        <v>348</v>
      </c>
      <c r="H65" s="7">
        <f t="shared" si="2"/>
        <v>777.67</v>
      </c>
      <c r="I65" s="10">
        <f t="shared" si="3"/>
        <v>1375</v>
      </c>
      <c r="J65">
        <f t="shared" si="4"/>
        <v>0</v>
      </c>
      <c r="K65">
        <f t="shared" si="5"/>
        <v>0</v>
      </c>
      <c r="L65" s="10">
        <f t="shared" si="6"/>
        <v>1375</v>
      </c>
    </row>
    <row r="66" spans="1:12" x14ac:dyDescent="0.3">
      <c r="A66" s="7">
        <v>2950</v>
      </c>
      <c r="B66">
        <v>5</v>
      </c>
      <c r="C66">
        <v>50</v>
      </c>
      <c r="D66">
        <v>1</v>
      </c>
      <c r="E66" t="s">
        <v>15</v>
      </c>
      <c r="F66" s="10">
        <f t="shared" si="0"/>
        <v>148</v>
      </c>
      <c r="G66" s="14">
        <f t="shared" si="1"/>
        <v>1475</v>
      </c>
      <c r="H66" s="7">
        <f t="shared" si="2"/>
        <v>4666</v>
      </c>
      <c r="I66" s="10">
        <f t="shared" si="3"/>
        <v>4573</v>
      </c>
      <c r="J66">
        <f t="shared" si="4"/>
        <v>1</v>
      </c>
      <c r="K66">
        <f t="shared" si="5"/>
        <v>93</v>
      </c>
      <c r="L66" s="10">
        <f t="shared" si="6"/>
        <v>4666</v>
      </c>
    </row>
    <row r="67" spans="1:12" x14ac:dyDescent="0.3">
      <c r="A67" s="7">
        <v>6490</v>
      </c>
      <c r="B67">
        <v>9</v>
      </c>
      <c r="C67">
        <v>25</v>
      </c>
      <c r="D67">
        <v>1</v>
      </c>
      <c r="E67" t="s">
        <v>21</v>
      </c>
      <c r="F67" s="10">
        <f t="shared" ref="F67:F130" si="7">ROUNDUP(0.01*B67*A67,0)</f>
        <v>585</v>
      </c>
      <c r="G67" s="14">
        <f t="shared" ref="G67:G130" si="8">ROUND(C67/100*A67,2)</f>
        <v>1622.5</v>
      </c>
      <c r="H67" s="7">
        <f t="shared" ref="H67:H130" si="9">ROUND(4666/D67:D566,2)</f>
        <v>4666</v>
      </c>
      <c r="I67" s="10">
        <f t="shared" ref="I67:I130" si="10">G67+A67+F67</f>
        <v>8697.5</v>
      </c>
      <c r="J67">
        <f t="shared" ref="J67:J130" si="11">IF(H67&gt;I67,1,0)</f>
        <v>0</v>
      </c>
      <c r="K67">
        <f t="shared" ref="K67:K130" si="12">IF(J67=1,H67-I67,0)</f>
        <v>0</v>
      </c>
      <c r="L67" s="10">
        <f t="shared" ref="L67:L130" si="13">I67+K67</f>
        <v>8697.5</v>
      </c>
    </row>
    <row r="68" spans="1:12" x14ac:dyDescent="0.3">
      <c r="A68" s="7">
        <v>4480</v>
      </c>
      <c r="B68">
        <v>4</v>
      </c>
      <c r="C68">
        <v>40</v>
      </c>
      <c r="D68">
        <v>1</v>
      </c>
      <c r="E68" t="s">
        <v>15</v>
      </c>
      <c r="F68" s="10">
        <f t="shared" si="7"/>
        <v>180</v>
      </c>
      <c r="G68" s="14">
        <f t="shared" si="8"/>
        <v>1792</v>
      </c>
      <c r="H68" s="7">
        <f t="shared" si="9"/>
        <v>4666</v>
      </c>
      <c r="I68" s="10">
        <f t="shared" si="10"/>
        <v>6452</v>
      </c>
      <c r="J68">
        <f t="shared" si="11"/>
        <v>0</v>
      </c>
      <c r="K68">
        <f t="shared" si="12"/>
        <v>0</v>
      </c>
      <c r="L68" s="10">
        <f t="shared" si="13"/>
        <v>6452</v>
      </c>
    </row>
    <row r="69" spans="1:12" x14ac:dyDescent="0.3">
      <c r="A69" s="7">
        <v>6590</v>
      </c>
      <c r="B69">
        <v>19</v>
      </c>
      <c r="C69">
        <v>5</v>
      </c>
      <c r="D69">
        <v>1</v>
      </c>
      <c r="E69" t="s">
        <v>20</v>
      </c>
      <c r="F69" s="10">
        <f t="shared" si="7"/>
        <v>1253</v>
      </c>
      <c r="G69" s="14">
        <f t="shared" si="8"/>
        <v>329.5</v>
      </c>
      <c r="H69" s="7">
        <f t="shared" si="9"/>
        <v>4666</v>
      </c>
      <c r="I69" s="10">
        <f t="shared" si="10"/>
        <v>8172.5</v>
      </c>
      <c r="J69">
        <f t="shared" si="11"/>
        <v>0</v>
      </c>
      <c r="K69">
        <f t="shared" si="12"/>
        <v>0</v>
      </c>
      <c r="L69" s="10">
        <f t="shared" si="13"/>
        <v>8172.5</v>
      </c>
    </row>
    <row r="70" spans="1:12" x14ac:dyDescent="0.3">
      <c r="A70" s="7">
        <v>3380</v>
      </c>
      <c r="B70">
        <v>15</v>
      </c>
      <c r="C70">
        <v>50</v>
      </c>
      <c r="D70">
        <v>1</v>
      </c>
      <c r="E70" t="s">
        <v>21</v>
      </c>
      <c r="F70" s="10">
        <f t="shared" si="7"/>
        <v>507</v>
      </c>
      <c r="G70" s="14">
        <f t="shared" si="8"/>
        <v>1690</v>
      </c>
      <c r="H70" s="7">
        <f t="shared" si="9"/>
        <v>4666</v>
      </c>
      <c r="I70" s="10">
        <f t="shared" si="10"/>
        <v>5577</v>
      </c>
      <c r="J70">
        <f t="shared" si="11"/>
        <v>0</v>
      </c>
      <c r="K70">
        <f t="shared" si="12"/>
        <v>0</v>
      </c>
      <c r="L70" s="10">
        <f t="shared" si="13"/>
        <v>5577</v>
      </c>
    </row>
    <row r="71" spans="1:12" x14ac:dyDescent="0.3">
      <c r="A71" s="7">
        <v>1085</v>
      </c>
      <c r="B71">
        <v>6</v>
      </c>
      <c r="C71">
        <v>35</v>
      </c>
      <c r="D71">
        <v>6</v>
      </c>
      <c r="E71" t="s">
        <v>15</v>
      </c>
      <c r="F71" s="10">
        <f t="shared" si="7"/>
        <v>66</v>
      </c>
      <c r="G71" s="14">
        <f t="shared" si="8"/>
        <v>379.75</v>
      </c>
      <c r="H71" s="7">
        <f t="shared" si="9"/>
        <v>777.67</v>
      </c>
      <c r="I71" s="10">
        <f t="shared" si="10"/>
        <v>1530.75</v>
      </c>
      <c r="J71">
        <f t="shared" si="11"/>
        <v>0</v>
      </c>
      <c r="K71">
        <f t="shared" si="12"/>
        <v>0</v>
      </c>
      <c r="L71" s="10">
        <f t="shared" si="13"/>
        <v>1530.75</v>
      </c>
    </row>
    <row r="72" spans="1:12" x14ac:dyDescent="0.3">
      <c r="A72" s="7">
        <v>546</v>
      </c>
      <c r="B72">
        <v>19</v>
      </c>
      <c r="C72">
        <v>45</v>
      </c>
      <c r="D72">
        <v>9</v>
      </c>
      <c r="E72" t="s">
        <v>20</v>
      </c>
      <c r="F72" s="10">
        <f t="shared" si="7"/>
        <v>104</v>
      </c>
      <c r="G72" s="14">
        <f t="shared" si="8"/>
        <v>245.7</v>
      </c>
      <c r="H72" s="7">
        <f t="shared" si="9"/>
        <v>518.44000000000005</v>
      </c>
      <c r="I72" s="10">
        <f t="shared" si="10"/>
        <v>895.7</v>
      </c>
      <c r="J72">
        <f t="shared" si="11"/>
        <v>0</v>
      </c>
      <c r="K72">
        <f t="shared" si="12"/>
        <v>0</v>
      </c>
      <c r="L72" s="10">
        <f t="shared" si="13"/>
        <v>895.7</v>
      </c>
    </row>
    <row r="73" spans="1:12" x14ac:dyDescent="0.3">
      <c r="A73" s="7">
        <v>5900</v>
      </c>
      <c r="B73">
        <v>14</v>
      </c>
      <c r="C73">
        <v>45</v>
      </c>
      <c r="D73">
        <v>1</v>
      </c>
      <c r="E73" t="s">
        <v>20</v>
      </c>
      <c r="F73" s="10">
        <f t="shared" si="7"/>
        <v>826</v>
      </c>
      <c r="G73" s="14">
        <f t="shared" si="8"/>
        <v>2655</v>
      </c>
      <c r="H73" s="7">
        <f t="shared" si="9"/>
        <v>4666</v>
      </c>
      <c r="I73" s="10">
        <f t="shared" si="10"/>
        <v>9381</v>
      </c>
      <c r="J73">
        <f t="shared" si="11"/>
        <v>0</v>
      </c>
      <c r="K73">
        <f t="shared" si="12"/>
        <v>0</v>
      </c>
      <c r="L73" s="10">
        <f t="shared" si="13"/>
        <v>9381</v>
      </c>
    </row>
    <row r="74" spans="1:12" x14ac:dyDescent="0.3">
      <c r="A74" s="7">
        <v>5000</v>
      </c>
      <c r="B74">
        <v>14</v>
      </c>
      <c r="C74">
        <v>40</v>
      </c>
      <c r="D74">
        <v>1</v>
      </c>
      <c r="E74" t="s">
        <v>17</v>
      </c>
      <c r="F74" s="10">
        <f t="shared" si="7"/>
        <v>700</v>
      </c>
      <c r="G74" s="14">
        <f t="shared" si="8"/>
        <v>2000</v>
      </c>
      <c r="H74" s="7">
        <f t="shared" si="9"/>
        <v>4666</v>
      </c>
      <c r="I74" s="10">
        <f t="shared" si="10"/>
        <v>7700</v>
      </c>
      <c r="J74">
        <f t="shared" si="11"/>
        <v>0</v>
      </c>
      <c r="K74">
        <f t="shared" si="12"/>
        <v>0</v>
      </c>
      <c r="L74" s="10">
        <f t="shared" si="13"/>
        <v>7700</v>
      </c>
    </row>
    <row r="75" spans="1:12" x14ac:dyDescent="0.3">
      <c r="A75" s="7">
        <v>6980</v>
      </c>
      <c r="B75">
        <v>20</v>
      </c>
      <c r="C75">
        <v>15</v>
      </c>
      <c r="D75">
        <v>1</v>
      </c>
      <c r="E75" t="s">
        <v>16</v>
      </c>
      <c r="F75" s="10">
        <f t="shared" si="7"/>
        <v>1396</v>
      </c>
      <c r="G75" s="14">
        <f t="shared" si="8"/>
        <v>1047</v>
      </c>
      <c r="H75" s="7">
        <f t="shared" si="9"/>
        <v>4666</v>
      </c>
      <c r="I75" s="10">
        <f t="shared" si="10"/>
        <v>9423</v>
      </c>
      <c r="J75">
        <f t="shared" si="11"/>
        <v>0</v>
      </c>
      <c r="K75">
        <f t="shared" si="12"/>
        <v>0</v>
      </c>
      <c r="L75" s="10">
        <f t="shared" si="13"/>
        <v>9423</v>
      </c>
    </row>
    <row r="76" spans="1:12" x14ac:dyDescent="0.3">
      <c r="A76" s="7">
        <v>1120</v>
      </c>
      <c r="B76">
        <v>7</v>
      </c>
      <c r="C76">
        <v>0</v>
      </c>
      <c r="D76">
        <v>6</v>
      </c>
      <c r="E76" t="s">
        <v>18</v>
      </c>
      <c r="F76" s="10">
        <f t="shared" si="7"/>
        <v>79</v>
      </c>
      <c r="G76" s="14">
        <f t="shared" si="8"/>
        <v>0</v>
      </c>
      <c r="H76" s="7">
        <f t="shared" si="9"/>
        <v>777.67</v>
      </c>
      <c r="I76" s="10">
        <f t="shared" si="10"/>
        <v>1199</v>
      </c>
      <c r="J76">
        <f t="shared" si="11"/>
        <v>0</v>
      </c>
      <c r="K76">
        <f t="shared" si="12"/>
        <v>0</v>
      </c>
      <c r="L76" s="10">
        <f t="shared" si="13"/>
        <v>1199</v>
      </c>
    </row>
    <row r="77" spans="1:12" x14ac:dyDescent="0.3">
      <c r="A77" s="7">
        <v>410</v>
      </c>
      <c r="B77">
        <v>7</v>
      </c>
      <c r="C77">
        <v>30</v>
      </c>
      <c r="D77">
        <v>10</v>
      </c>
      <c r="E77" t="s">
        <v>20</v>
      </c>
      <c r="F77" s="10">
        <f t="shared" si="7"/>
        <v>29</v>
      </c>
      <c r="G77" s="14">
        <f t="shared" si="8"/>
        <v>123</v>
      </c>
      <c r="H77" s="7">
        <f t="shared" si="9"/>
        <v>466.6</v>
      </c>
      <c r="I77" s="10">
        <f t="shared" si="10"/>
        <v>562</v>
      </c>
      <c r="J77">
        <f t="shared" si="11"/>
        <v>0</v>
      </c>
      <c r="K77">
        <f t="shared" si="12"/>
        <v>0</v>
      </c>
      <c r="L77" s="10">
        <f t="shared" si="13"/>
        <v>562</v>
      </c>
    </row>
    <row r="78" spans="1:12" x14ac:dyDescent="0.3">
      <c r="A78" s="7">
        <v>1098</v>
      </c>
      <c r="B78">
        <v>0</v>
      </c>
      <c r="C78">
        <v>15</v>
      </c>
      <c r="D78">
        <v>5</v>
      </c>
      <c r="E78" t="s">
        <v>15</v>
      </c>
      <c r="F78" s="10">
        <f t="shared" si="7"/>
        <v>0</v>
      </c>
      <c r="G78" s="14">
        <f t="shared" si="8"/>
        <v>164.7</v>
      </c>
      <c r="H78" s="7">
        <f t="shared" si="9"/>
        <v>933.2</v>
      </c>
      <c r="I78" s="10">
        <f t="shared" si="10"/>
        <v>1262.7</v>
      </c>
      <c r="J78">
        <f t="shared" si="11"/>
        <v>0</v>
      </c>
      <c r="K78">
        <f t="shared" si="12"/>
        <v>0</v>
      </c>
      <c r="L78" s="10">
        <f t="shared" si="13"/>
        <v>1262.7</v>
      </c>
    </row>
    <row r="79" spans="1:12" x14ac:dyDescent="0.3">
      <c r="A79" s="7">
        <v>696</v>
      </c>
      <c r="B79">
        <v>4</v>
      </c>
      <c r="C79">
        <v>40</v>
      </c>
      <c r="D79">
        <v>10</v>
      </c>
      <c r="E79" t="s">
        <v>21</v>
      </c>
      <c r="F79" s="10">
        <f t="shared" si="7"/>
        <v>28</v>
      </c>
      <c r="G79" s="14">
        <f t="shared" si="8"/>
        <v>278.39999999999998</v>
      </c>
      <c r="H79" s="7">
        <f t="shared" si="9"/>
        <v>466.6</v>
      </c>
      <c r="I79" s="10">
        <f t="shared" si="10"/>
        <v>1002.4</v>
      </c>
      <c r="J79">
        <f t="shared" si="11"/>
        <v>0</v>
      </c>
      <c r="K79">
        <f t="shared" si="12"/>
        <v>0</v>
      </c>
      <c r="L79" s="10">
        <f t="shared" si="13"/>
        <v>1002.4</v>
      </c>
    </row>
    <row r="80" spans="1:12" x14ac:dyDescent="0.3">
      <c r="A80" s="7">
        <v>860</v>
      </c>
      <c r="B80">
        <v>5</v>
      </c>
      <c r="C80">
        <v>15</v>
      </c>
      <c r="D80">
        <v>6</v>
      </c>
      <c r="E80" t="s">
        <v>19</v>
      </c>
      <c r="F80" s="10">
        <f t="shared" si="7"/>
        <v>43</v>
      </c>
      <c r="G80" s="14">
        <f t="shared" si="8"/>
        <v>129</v>
      </c>
      <c r="H80" s="7">
        <f t="shared" si="9"/>
        <v>777.67</v>
      </c>
      <c r="I80" s="10">
        <f t="shared" si="10"/>
        <v>1032</v>
      </c>
      <c r="J80">
        <f t="shared" si="11"/>
        <v>0</v>
      </c>
      <c r="K80">
        <f t="shared" si="12"/>
        <v>0</v>
      </c>
      <c r="L80" s="10">
        <f t="shared" si="13"/>
        <v>1032</v>
      </c>
    </row>
    <row r="81" spans="1:12" x14ac:dyDescent="0.3">
      <c r="A81" s="7">
        <v>6400</v>
      </c>
      <c r="B81">
        <v>3</v>
      </c>
      <c r="C81">
        <v>5</v>
      </c>
      <c r="D81">
        <v>1</v>
      </c>
      <c r="E81" t="s">
        <v>15</v>
      </c>
      <c r="F81" s="10">
        <f t="shared" si="7"/>
        <v>192</v>
      </c>
      <c r="G81" s="14">
        <f t="shared" si="8"/>
        <v>320</v>
      </c>
      <c r="H81" s="7">
        <f t="shared" si="9"/>
        <v>4666</v>
      </c>
      <c r="I81" s="10">
        <f t="shared" si="10"/>
        <v>6912</v>
      </c>
      <c r="J81">
        <f t="shared" si="11"/>
        <v>0</v>
      </c>
      <c r="K81">
        <f t="shared" si="12"/>
        <v>0</v>
      </c>
      <c r="L81" s="10">
        <f t="shared" si="13"/>
        <v>6912</v>
      </c>
    </row>
    <row r="82" spans="1:12" x14ac:dyDescent="0.3">
      <c r="A82" s="7">
        <v>4590</v>
      </c>
      <c r="B82">
        <v>18</v>
      </c>
      <c r="C82">
        <v>5</v>
      </c>
      <c r="D82">
        <v>1</v>
      </c>
      <c r="E82" t="s">
        <v>15</v>
      </c>
      <c r="F82" s="10">
        <f t="shared" si="7"/>
        <v>827</v>
      </c>
      <c r="G82" s="14">
        <f t="shared" si="8"/>
        <v>229.5</v>
      </c>
      <c r="H82" s="7">
        <f t="shared" si="9"/>
        <v>4666</v>
      </c>
      <c r="I82" s="10">
        <f t="shared" si="10"/>
        <v>5646.5</v>
      </c>
      <c r="J82">
        <f t="shared" si="11"/>
        <v>0</v>
      </c>
      <c r="K82">
        <f t="shared" si="12"/>
        <v>0</v>
      </c>
      <c r="L82" s="10">
        <f t="shared" si="13"/>
        <v>5646.5</v>
      </c>
    </row>
    <row r="83" spans="1:12" x14ac:dyDescent="0.3">
      <c r="A83" s="7">
        <v>505</v>
      </c>
      <c r="B83">
        <v>1</v>
      </c>
      <c r="C83">
        <v>50</v>
      </c>
      <c r="D83">
        <v>6</v>
      </c>
      <c r="E83" t="s">
        <v>19</v>
      </c>
      <c r="F83" s="10">
        <f t="shared" si="7"/>
        <v>6</v>
      </c>
      <c r="G83" s="14">
        <f t="shared" si="8"/>
        <v>252.5</v>
      </c>
      <c r="H83" s="7">
        <f t="shared" si="9"/>
        <v>777.67</v>
      </c>
      <c r="I83" s="10">
        <f t="shared" si="10"/>
        <v>763.5</v>
      </c>
      <c r="J83">
        <f t="shared" si="11"/>
        <v>1</v>
      </c>
      <c r="K83">
        <f t="shared" si="12"/>
        <v>14.169999999999959</v>
      </c>
      <c r="L83" s="10">
        <f t="shared" si="13"/>
        <v>777.67</v>
      </c>
    </row>
    <row r="84" spans="1:12" x14ac:dyDescent="0.3">
      <c r="A84" s="7">
        <v>4620</v>
      </c>
      <c r="B84">
        <v>0</v>
      </c>
      <c r="C84">
        <v>45</v>
      </c>
      <c r="D84">
        <v>1</v>
      </c>
      <c r="E84" t="s">
        <v>19</v>
      </c>
      <c r="F84" s="10">
        <f t="shared" si="7"/>
        <v>0</v>
      </c>
      <c r="G84" s="14">
        <f t="shared" si="8"/>
        <v>2079</v>
      </c>
      <c r="H84" s="7">
        <f t="shared" si="9"/>
        <v>4666</v>
      </c>
      <c r="I84" s="10">
        <f t="shared" si="10"/>
        <v>6699</v>
      </c>
      <c r="J84">
        <f t="shared" si="11"/>
        <v>0</v>
      </c>
      <c r="K84">
        <f t="shared" si="12"/>
        <v>0</v>
      </c>
      <c r="L84" s="10">
        <f t="shared" si="13"/>
        <v>6699</v>
      </c>
    </row>
    <row r="85" spans="1:12" x14ac:dyDescent="0.3">
      <c r="A85" s="7">
        <v>3810</v>
      </c>
      <c r="B85">
        <v>20</v>
      </c>
      <c r="C85">
        <v>30</v>
      </c>
      <c r="D85">
        <v>1</v>
      </c>
      <c r="E85" t="s">
        <v>20</v>
      </c>
      <c r="F85" s="10">
        <f t="shared" si="7"/>
        <v>762</v>
      </c>
      <c r="G85" s="14">
        <f t="shared" si="8"/>
        <v>1143</v>
      </c>
      <c r="H85" s="7">
        <f t="shared" si="9"/>
        <v>4666</v>
      </c>
      <c r="I85" s="10">
        <f t="shared" si="10"/>
        <v>5715</v>
      </c>
      <c r="J85">
        <f t="shared" si="11"/>
        <v>0</v>
      </c>
      <c r="K85">
        <f t="shared" si="12"/>
        <v>0</v>
      </c>
      <c r="L85" s="10">
        <f t="shared" si="13"/>
        <v>5715</v>
      </c>
    </row>
    <row r="86" spans="1:12" x14ac:dyDescent="0.3">
      <c r="A86" s="7">
        <v>1588</v>
      </c>
      <c r="B86">
        <v>3</v>
      </c>
      <c r="C86">
        <v>10</v>
      </c>
      <c r="D86">
        <v>4</v>
      </c>
      <c r="E86" t="s">
        <v>21</v>
      </c>
      <c r="F86" s="10">
        <f t="shared" si="7"/>
        <v>48</v>
      </c>
      <c r="G86" s="14">
        <f t="shared" si="8"/>
        <v>158.80000000000001</v>
      </c>
      <c r="H86" s="7">
        <f t="shared" si="9"/>
        <v>1166.5</v>
      </c>
      <c r="I86" s="10">
        <f t="shared" si="10"/>
        <v>1794.8</v>
      </c>
      <c r="J86">
        <f t="shared" si="11"/>
        <v>0</v>
      </c>
      <c r="K86">
        <f t="shared" si="12"/>
        <v>0</v>
      </c>
      <c r="L86" s="10">
        <f t="shared" si="13"/>
        <v>1794.8</v>
      </c>
    </row>
    <row r="87" spans="1:12" x14ac:dyDescent="0.3">
      <c r="A87" s="7">
        <v>5730</v>
      </c>
      <c r="B87">
        <v>12</v>
      </c>
      <c r="C87">
        <v>50</v>
      </c>
      <c r="D87">
        <v>1</v>
      </c>
      <c r="E87" t="s">
        <v>21</v>
      </c>
      <c r="F87" s="10">
        <f t="shared" si="7"/>
        <v>688</v>
      </c>
      <c r="G87" s="14">
        <f t="shared" si="8"/>
        <v>2865</v>
      </c>
      <c r="H87" s="7">
        <f t="shared" si="9"/>
        <v>4666</v>
      </c>
      <c r="I87" s="10">
        <f t="shared" si="10"/>
        <v>9283</v>
      </c>
      <c r="J87">
        <f t="shared" si="11"/>
        <v>0</v>
      </c>
      <c r="K87">
        <f t="shared" si="12"/>
        <v>0</v>
      </c>
      <c r="L87" s="10">
        <f t="shared" si="13"/>
        <v>9283</v>
      </c>
    </row>
    <row r="88" spans="1:12" x14ac:dyDescent="0.3">
      <c r="A88" s="7">
        <v>909</v>
      </c>
      <c r="B88">
        <v>11</v>
      </c>
      <c r="C88">
        <v>45</v>
      </c>
      <c r="D88">
        <v>7</v>
      </c>
      <c r="E88" t="s">
        <v>16</v>
      </c>
      <c r="F88" s="10">
        <f t="shared" si="7"/>
        <v>100</v>
      </c>
      <c r="G88" s="14">
        <f t="shared" si="8"/>
        <v>409.05</v>
      </c>
      <c r="H88" s="7">
        <f t="shared" si="9"/>
        <v>666.57</v>
      </c>
      <c r="I88" s="10">
        <f t="shared" si="10"/>
        <v>1418.05</v>
      </c>
      <c r="J88">
        <f t="shared" si="11"/>
        <v>0</v>
      </c>
      <c r="K88">
        <f t="shared" si="12"/>
        <v>0</v>
      </c>
      <c r="L88" s="10">
        <f t="shared" si="13"/>
        <v>1418.05</v>
      </c>
    </row>
    <row r="89" spans="1:12" x14ac:dyDescent="0.3">
      <c r="A89" s="7">
        <v>968</v>
      </c>
      <c r="B89">
        <v>10</v>
      </c>
      <c r="C89">
        <v>5</v>
      </c>
      <c r="D89">
        <v>6</v>
      </c>
      <c r="E89" t="s">
        <v>15</v>
      </c>
      <c r="F89" s="10">
        <f t="shared" si="7"/>
        <v>97</v>
      </c>
      <c r="G89" s="14">
        <f t="shared" si="8"/>
        <v>48.4</v>
      </c>
      <c r="H89" s="7">
        <f t="shared" si="9"/>
        <v>777.67</v>
      </c>
      <c r="I89" s="10">
        <f t="shared" si="10"/>
        <v>1113.4000000000001</v>
      </c>
      <c r="J89">
        <f t="shared" si="11"/>
        <v>0</v>
      </c>
      <c r="K89">
        <f t="shared" si="12"/>
        <v>0</v>
      </c>
      <c r="L89" s="10">
        <f t="shared" si="13"/>
        <v>1113.4000000000001</v>
      </c>
    </row>
    <row r="90" spans="1:12" x14ac:dyDescent="0.3">
      <c r="A90" s="7">
        <v>691</v>
      </c>
      <c r="B90">
        <v>17</v>
      </c>
      <c r="C90">
        <v>5</v>
      </c>
      <c r="D90">
        <v>10</v>
      </c>
      <c r="E90" t="s">
        <v>16</v>
      </c>
      <c r="F90" s="10">
        <f t="shared" si="7"/>
        <v>118</v>
      </c>
      <c r="G90" s="14">
        <f t="shared" si="8"/>
        <v>34.549999999999997</v>
      </c>
      <c r="H90" s="7">
        <f t="shared" si="9"/>
        <v>466.6</v>
      </c>
      <c r="I90" s="10">
        <f t="shared" si="10"/>
        <v>843.55</v>
      </c>
      <c r="J90">
        <f t="shared" si="11"/>
        <v>0</v>
      </c>
      <c r="K90">
        <f t="shared" si="12"/>
        <v>0</v>
      </c>
      <c r="L90" s="10">
        <f t="shared" si="13"/>
        <v>843.55</v>
      </c>
    </row>
    <row r="91" spans="1:12" x14ac:dyDescent="0.3">
      <c r="A91" s="7">
        <v>555</v>
      </c>
      <c r="B91">
        <v>18</v>
      </c>
      <c r="C91">
        <v>5</v>
      </c>
      <c r="D91">
        <v>8</v>
      </c>
      <c r="E91" t="s">
        <v>19</v>
      </c>
      <c r="F91" s="10">
        <f t="shared" si="7"/>
        <v>100</v>
      </c>
      <c r="G91" s="14">
        <f t="shared" si="8"/>
        <v>27.75</v>
      </c>
      <c r="H91" s="7">
        <f t="shared" si="9"/>
        <v>583.25</v>
      </c>
      <c r="I91" s="10">
        <f t="shared" si="10"/>
        <v>682.75</v>
      </c>
      <c r="J91">
        <f t="shared" si="11"/>
        <v>0</v>
      </c>
      <c r="K91">
        <f t="shared" si="12"/>
        <v>0</v>
      </c>
      <c r="L91" s="10">
        <f t="shared" si="13"/>
        <v>682.75</v>
      </c>
    </row>
    <row r="92" spans="1:12" x14ac:dyDescent="0.3">
      <c r="A92" s="7">
        <v>4350</v>
      </c>
      <c r="B92">
        <v>2</v>
      </c>
      <c r="C92">
        <v>5</v>
      </c>
      <c r="D92">
        <v>1</v>
      </c>
      <c r="E92" t="s">
        <v>17</v>
      </c>
      <c r="F92" s="10">
        <f t="shared" si="7"/>
        <v>87</v>
      </c>
      <c r="G92" s="14">
        <f t="shared" si="8"/>
        <v>217.5</v>
      </c>
      <c r="H92" s="7">
        <f t="shared" si="9"/>
        <v>4666</v>
      </c>
      <c r="I92" s="10">
        <f t="shared" si="10"/>
        <v>4654.5</v>
      </c>
      <c r="J92">
        <f t="shared" si="11"/>
        <v>1</v>
      </c>
      <c r="K92">
        <f t="shared" si="12"/>
        <v>11.5</v>
      </c>
      <c r="L92" s="10">
        <f t="shared" si="13"/>
        <v>4666</v>
      </c>
    </row>
    <row r="93" spans="1:12" x14ac:dyDescent="0.3">
      <c r="A93" s="7">
        <v>930</v>
      </c>
      <c r="B93">
        <v>2</v>
      </c>
      <c r="C93">
        <v>15</v>
      </c>
      <c r="D93">
        <v>5</v>
      </c>
      <c r="E93" t="s">
        <v>16</v>
      </c>
      <c r="F93" s="10">
        <f t="shared" si="7"/>
        <v>19</v>
      </c>
      <c r="G93" s="14">
        <f t="shared" si="8"/>
        <v>139.5</v>
      </c>
      <c r="H93" s="7">
        <f t="shared" si="9"/>
        <v>933.2</v>
      </c>
      <c r="I93" s="10">
        <f t="shared" si="10"/>
        <v>1088.5</v>
      </c>
      <c r="J93">
        <f t="shared" si="11"/>
        <v>0</v>
      </c>
      <c r="K93">
        <f t="shared" si="12"/>
        <v>0</v>
      </c>
      <c r="L93" s="10">
        <f t="shared" si="13"/>
        <v>1088.5</v>
      </c>
    </row>
    <row r="94" spans="1:12" x14ac:dyDescent="0.3">
      <c r="A94" s="7">
        <v>1907</v>
      </c>
      <c r="B94">
        <v>11</v>
      </c>
      <c r="C94">
        <v>45</v>
      </c>
      <c r="D94">
        <v>3</v>
      </c>
      <c r="E94" t="s">
        <v>20</v>
      </c>
      <c r="F94" s="10">
        <f t="shared" si="7"/>
        <v>210</v>
      </c>
      <c r="G94" s="14">
        <f t="shared" si="8"/>
        <v>858.15</v>
      </c>
      <c r="H94" s="7">
        <f t="shared" si="9"/>
        <v>1555.33</v>
      </c>
      <c r="I94" s="10">
        <f t="shared" si="10"/>
        <v>2975.15</v>
      </c>
      <c r="J94">
        <f t="shared" si="11"/>
        <v>0</v>
      </c>
      <c r="K94">
        <f t="shared" si="12"/>
        <v>0</v>
      </c>
      <c r="L94" s="10">
        <f t="shared" si="13"/>
        <v>2975.15</v>
      </c>
    </row>
    <row r="95" spans="1:12" x14ac:dyDescent="0.3">
      <c r="A95" s="7">
        <v>393</v>
      </c>
      <c r="B95">
        <v>2</v>
      </c>
      <c r="C95">
        <v>20</v>
      </c>
      <c r="D95">
        <v>9</v>
      </c>
      <c r="E95" t="s">
        <v>18</v>
      </c>
      <c r="F95" s="10">
        <f t="shared" si="7"/>
        <v>8</v>
      </c>
      <c r="G95" s="14">
        <f t="shared" si="8"/>
        <v>78.599999999999994</v>
      </c>
      <c r="H95" s="7">
        <f t="shared" si="9"/>
        <v>518.44000000000005</v>
      </c>
      <c r="I95" s="10">
        <f t="shared" si="10"/>
        <v>479.6</v>
      </c>
      <c r="J95">
        <f t="shared" si="11"/>
        <v>1</v>
      </c>
      <c r="K95">
        <f t="shared" si="12"/>
        <v>38.840000000000032</v>
      </c>
      <c r="L95" s="10">
        <f t="shared" si="13"/>
        <v>518.44000000000005</v>
      </c>
    </row>
    <row r="96" spans="1:12" x14ac:dyDescent="0.3">
      <c r="A96" s="7">
        <v>5760</v>
      </c>
      <c r="B96">
        <v>14</v>
      </c>
      <c r="C96">
        <v>20</v>
      </c>
      <c r="D96">
        <v>1</v>
      </c>
      <c r="E96" t="s">
        <v>18</v>
      </c>
      <c r="F96" s="10">
        <f t="shared" si="7"/>
        <v>807</v>
      </c>
      <c r="G96" s="14">
        <f t="shared" si="8"/>
        <v>1152</v>
      </c>
      <c r="H96" s="7">
        <f t="shared" si="9"/>
        <v>4666</v>
      </c>
      <c r="I96" s="10">
        <f t="shared" si="10"/>
        <v>7719</v>
      </c>
      <c r="J96">
        <f t="shared" si="11"/>
        <v>0</v>
      </c>
      <c r="K96">
        <f t="shared" si="12"/>
        <v>0</v>
      </c>
      <c r="L96" s="10">
        <f t="shared" si="13"/>
        <v>7719</v>
      </c>
    </row>
    <row r="97" spans="1:12" x14ac:dyDescent="0.3">
      <c r="A97" s="7">
        <v>1807</v>
      </c>
      <c r="B97">
        <v>11</v>
      </c>
      <c r="C97">
        <v>15</v>
      </c>
      <c r="D97">
        <v>3</v>
      </c>
      <c r="E97" t="s">
        <v>19</v>
      </c>
      <c r="F97" s="10">
        <f t="shared" si="7"/>
        <v>199</v>
      </c>
      <c r="G97" s="14">
        <f t="shared" si="8"/>
        <v>271.05</v>
      </c>
      <c r="H97" s="7">
        <f t="shared" si="9"/>
        <v>1555.33</v>
      </c>
      <c r="I97" s="10">
        <f t="shared" si="10"/>
        <v>2277.0500000000002</v>
      </c>
      <c r="J97">
        <f t="shared" si="11"/>
        <v>0</v>
      </c>
      <c r="K97">
        <f t="shared" si="12"/>
        <v>0</v>
      </c>
      <c r="L97" s="10">
        <f t="shared" si="13"/>
        <v>2277.0500000000002</v>
      </c>
    </row>
    <row r="98" spans="1:12" x14ac:dyDescent="0.3">
      <c r="A98" s="7">
        <v>1107</v>
      </c>
      <c r="B98">
        <v>15</v>
      </c>
      <c r="C98">
        <v>10</v>
      </c>
      <c r="D98">
        <v>3</v>
      </c>
      <c r="E98" t="s">
        <v>18</v>
      </c>
      <c r="F98" s="10">
        <f t="shared" si="7"/>
        <v>167</v>
      </c>
      <c r="G98" s="14">
        <f t="shared" si="8"/>
        <v>110.7</v>
      </c>
      <c r="H98" s="7">
        <f t="shared" si="9"/>
        <v>1555.33</v>
      </c>
      <c r="I98" s="10">
        <f t="shared" si="10"/>
        <v>1384.7</v>
      </c>
      <c r="J98">
        <f t="shared" si="11"/>
        <v>1</v>
      </c>
      <c r="K98">
        <f t="shared" si="12"/>
        <v>170.62999999999988</v>
      </c>
      <c r="L98" s="10">
        <f t="shared" si="13"/>
        <v>1555.33</v>
      </c>
    </row>
    <row r="99" spans="1:12" x14ac:dyDescent="0.3">
      <c r="A99" s="7">
        <v>370</v>
      </c>
      <c r="B99">
        <v>15</v>
      </c>
      <c r="C99">
        <v>10</v>
      </c>
      <c r="D99">
        <v>9</v>
      </c>
      <c r="E99" t="s">
        <v>17</v>
      </c>
      <c r="F99" s="10">
        <f t="shared" si="7"/>
        <v>56</v>
      </c>
      <c r="G99" s="14">
        <f t="shared" si="8"/>
        <v>37</v>
      </c>
      <c r="H99" s="7">
        <f t="shared" si="9"/>
        <v>518.44000000000005</v>
      </c>
      <c r="I99" s="10">
        <f t="shared" si="10"/>
        <v>463</v>
      </c>
      <c r="J99">
        <f t="shared" si="11"/>
        <v>1</v>
      </c>
      <c r="K99">
        <f t="shared" si="12"/>
        <v>55.440000000000055</v>
      </c>
      <c r="L99" s="10">
        <f t="shared" si="13"/>
        <v>518.44000000000005</v>
      </c>
    </row>
    <row r="100" spans="1:12" x14ac:dyDescent="0.3">
      <c r="A100" s="7">
        <v>3275</v>
      </c>
      <c r="B100">
        <v>10</v>
      </c>
      <c r="C100">
        <v>45</v>
      </c>
      <c r="D100">
        <v>2</v>
      </c>
      <c r="E100" t="s">
        <v>21</v>
      </c>
      <c r="F100" s="10">
        <f t="shared" si="7"/>
        <v>328</v>
      </c>
      <c r="G100" s="14">
        <f t="shared" si="8"/>
        <v>1473.75</v>
      </c>
      <c r="H100" s="7">
        <f t="shared" si="9"/>
        <v>2333</v>
      </c>
      <c r="I100" s="10">
        <f t="shared" si="10"/>
        <v>5076.75</v>
      </c>
      <c r="J100">
        <f t="shared" si="11"/>
        <v>0</v>
      </c>
      <c r="K100">
        <f t="shared" si="12"/>
        <v>0</v>
      </c>
      <c r="L100" s="10">
        <f t="shared" si="13"/>
        <v>5076.75</v>
      </c>
    </row>
    <row r="101" spans="1:12" x14ac:dyDescent="0.3">
      <c r="A101" s="7">
        <v>5960</v>
      </c>
      <c r="B101">
        <v>15</v>
      </c>
      <c r="C101">
        <v>35</v>
      </c>
      <c r="D101">
        <v>1</v>
      </c>
      <c r="E101" t="s">
        <v>15</v>
      </c>
      <c r="F101" s="10">
        <f t="shared" si="7"/>
        <v>894</v>
      </c>
      <c r="G101" s="14">
        <f t="shared" si="8"/>
        <v>2086</v>
      </c>
      <c r="H101" s="7">
        <f t="shared" si="9"/>
        <v>4666</v>
      </c>
      <c r="I101" s="10">
        <f t="shared" si="10"/>
        <v>8940</v>
      </c>
      <c r="J101">
        <f t="shared" si="11"/>
        <v>0</v>
      </c>
      <c r="K101">
        <f t="shared" si="12"/>
        <v>0</v>
      </c>
      <c r="L101" s="10">
        <f t="shared" si="13"/>
        <v>8940</v>
      </c>
    </row>
    <row r="102" spans="1:12" x14ac:dyDescent="0.3">
      <c r="A102" s="7">
        <v>4650</v>
      </c>
      <c r="B102">
        <v>5</v>
      </c>
      <c r="C102">
        <v>35</v>
      </c>
      <c r="D102">
        <v>1</v>
      </c>
      <c r="E102" t="s">
        <v>20</v>
      </c>
      <c r="F102" s="10">
        <f t="shared" si="7"/>
        <v>233</v>
      </c>
      <c r="G102" s="14">
        <f t="shared" si="8"/>
        <v>1627.5</v>
      </c>
      <c r="H102" s="7">
        <f t="shared" si="9"/>
        <v>4666</v>
      </c>
      <c r="I102" s="10">
        <f t="shared" si="10"/>
        <v>6510.5</v>
      </c>
      <c r="J102">
        <f t="shared" si="11"/>
        <v>0</v>
      </c>
      <c r="K102">
        <f t="shared" si="12"/>
        <v>0</v>
      </c>
      <c r="L102" s="10">
        <f t="shared" si="13"/>
        <v>6510.5</v>
      </c>
    </row>
    <row r="103" spans="1:12" x14ac:dyDescent="0.3">
      <c r="A103" s="7">
        <v>435</v>
      </c>
      <c r="B103">
        <v>7</v>
      </c>
      <c r="C103">
        <v>35</v>
      </c>
      <c r="D103">
        <v>10</v>
      </c>
      <c r="E103" t="s">
        <v>17</v>
      </c>
      <c r="F103" s="10">
        <f t="shared" si="7"/>
        <v>31</v>
      </c>
      <c r="G103" s="14">
        <f t="shared" si="8"/>
        <v>152.25</v>
      </c>
      <c r="H103" s="7">
        <f t="shared" si="9"/>
        <v>466.6</v>
      </c>
      <c r="I103" s="10">
        <f t="shared" si="10"/>
        <v>618.25</v>
      </c>
      <c r="J103">
        <f t="shared" si="11"/>
        <v>0</v>
      </c>
      <c r="K103">
        <f t="shared" si="12"/>
        <v>0</v>
      </c>
      <c r="L103" s="10">
        <f t="shared" si="13"/>
        <v>618.25</v>
      </c>
    </row>
    <row r="104" spans="1:12" x14ac:dyDescent="0.3">
      <c r="A104" s="7">
        <v>736</v>
      </c>
      <c r="B104">
        <v>19</v>
      </c>
      <c r="C104">
        <v>15</v>
      </c>
      <c r="D104">
        <v>7</v>
      </c>
      <c r="E104" t="s">
        <v>16</v>
      </c>
      <c r="F104" s="10">
        <f t="shared" si="7"/>
        <v>140</v>
      </c>
      <c r="G104" s="14">
        <f t="shared" si="8"/>
        <v>110.4</v>
      </c>
      <c r="H104" s="7">
        <f t="shared" si="9"/>
        <v>666.57</v>
      </c>
      <c r="I104" s="10">
        <f t="shared" si="10"/>
        <v>986.4</v>
      </c>
      <c r="J104">
        <f t="shared" si="11"/>
        <v>0</v>
      </c>
      <c r="K104">
        <f t="shared" si="12"/>
        <v>0</v>
      </c>
      <c r="L104" s="10">
        <f t="shared" si="13"/>
        <v>986.4</v>
      </c>
    </row>
    <row r="105" spans="1:12" x14ac:dyDescent="0.3">
      <c r="A105" s="7">
        <v>4230</v>
      </c>
      <c r="B105">
        <v>20</v>
      </c>
      <c r="C105">
        <v>35</v>
      </c>
      <c r="D105">
        <v>1</v>
      </c>
      <c r="E105" t="s">
        <v>18</v>
      </c>
      <c r="F105" s="10">
        <f t="shared" si="7"/>
        <v>846</v>
      </c>
      <c r="G105" s="14">
        <f t="shared" si="8"/>
        <v>1480.5</v>
      </c>
      <c r="H105" s="7">
        <f t="shared" si="9"/>
        <v>4666</v>
      </c>
      <c r="I105" s="10">
        <f t="shared" si="10"/>
        <v>6556.5</v>
      </c>
      <c r="J105">
        <f t="shared" si="11"/>
        <v>0</v>
      </c>
      <c r="K105">
        <f t="shared" si="12"/>
        <v>0</v>
      </c>
      <c r="L105" s="10">
        <f t="shared" si="13"/>
        <v>6556.5</v>
      </c>
    </row>
    <row r="106" spans="1:12" x14ac:dyDescent="0.3">
      <c r="A106" s="7">
        <v>1303</v>
      </c>
      <c r="B106">
        <v>12</v>
      </c>
      <c r="C106">
        <v>15</v>
      </c>
      <c r="D106">
        <v>4</v>
      </c>
      <c r="E106" t="s">
        <v>21</v>
      </c>
      <c r="F106" s="10">
        <f t="shared" si="7"/>
        <v>157</v>
      </c>
      <c r="G106" s="14">
        <f t="shared" si="8"/>
        <v>195.45</v>
      </c>
      <c r="H106" s="7">
        <f t="shared" si="9"/>
        <v>1166.5</v>
      </c>
      <c r="I106" s="10">
        <f t="shared" si="10"/>
        <v>1655.45</v>
      </c>
      <c r="J106">
        <f t="shared" si="11"/>
        <v>0</v>
      </c>
      <c r="K106">
        <f t="shared" si="12"/>
        <v>0</v>
      </c>
      <c r="L106" s="10">
        <f t="shared" si="13"/>
        <v>1655.45</v>
      </c>
    </row>
    <row r="107" spans="1:12" x14ac:dyDescent="0.3">
      <c r="A107" s="7">
        <v>6290</v>
      </c>
      <c r="B107">
        <v>4</v>
      </c>
      <c r="C107">
        <v>30</v>
      </c>
      <c r="D107">
        <v>1</v>
      </c>
      <c r="E107" t="s">
        <v>21</v>
      </c>
      <c r="F107" s="10">
        <f t="shared" si="7"/>
        <v>252</v>
      </c>
      <c r="G107" s="14">
        <f t="shared" si="8"/>
        <v>1887</v>
      </c>
      <c r="H107" s="7">
        <f t="shared" si="9"/>
        <v>4666</v>
      </c>
      <c r="I107" s="10">
        <f t="shared" si="10"/>
        <v>8429</v>
      </c>
      <c r="J107">
        <f t="shared" si="11"/>
        <v>0</v>
      </c>
      <c r="K107">
        <f t="shared" si="12"/>
        <v>0</v>
      </c>
      <c r="L107" s="10">
        <f t="shared" si="13"/>
        <v>8429</v>
      </c>
    </row>
    <row r="108" spans="1:12" x14ac:dyDescent="0.3">
      <c r="A108" s="7">
        <v>3900</v>
      </c>
      <c r="B108">
        <v>5</v>
      </c>
      <c r="C108">
        <v>10</v>
      </c>
      <c r="D108">
        <v>1</v>
      </c>
      <c r="E108" t="s">
        <v>17</v>
      </c>
      <c r="F108" s="10">
        <f t="shared" si="7"/>
        <v>195</v>
      </c>
      <c r="G108" s="14">
        <f t="shared" si="8"/>
        <v>390</v>
      </c>
      <c r="H108" s="7">
        <f t="shared" si="9"/>
        <v>4666</v>
      </c>
      <c r="I108" s="10">
        <f t="shared" si="10"/>
        <v>4485</v>
      </c>
      <c r="J108">
        <f t="shared" si="11"/>
        <v>1</v>
      </c>
      <c r="K108">
        <f t="shared" si="12"/>
        <v>181</v>
      </c>
      <c r="L108" s="10">
        <f t="shared" si="13"/>
        <v>4666</v>
      </c>
    </row>
    <row r="109" spans="1:12" x14ac:dyDescent="0.3">
      <c r="A109" s="7">
        <v>4650</v>
      </c>
      <c r="B109">
        <v>8</v>
      </c>
      <c r="C109">
        <v>10</v>
      </c>
      <c r="D109">
        <v>1</v>
      </c>
      <c r="E109" t="s">
        <v>20</v>
      </c>
      <c r="F109" s="10">
        <f t="shared" si="7"/>
        <v>372</v>
      </c>
      <c r="G109" s="14">
        <f t="shared" si="8"/>
        <v>465</v>
      </c>
      <c r="H109" s="7">
        <f t="shared" si="9"/>
        <v>4666</v>
      </c>
      <c r="I109" s="10">
        <f t="shared" si="10"/>
        <v>5487</v>
      </c>
      <c r="J109">
        <f t="shared" si="11"/>
        <v>0</v>
      </c>
      <c r="K109">
        <f t="shared" si="12"/>
        <v>0</v>
      </c>
      <c r="L109" s="10">
        <f t="shared" si="13"/>
        <v>5487</v>
      </c>
    </row>
    <row r="110" spans="1:12" x14ac:dyDescent="0.3">
      <c r="A110" s="7">
        <v>974</v>
      </c>
      <c r="B110">
        <v>15</v>
      </c>
      <c r="C110">
        <v>15</v>
      </c>
      <c r="D110">
        <v>5</v>
      </c>
      <c r="E110" t="s">
        <v>18</v>
      </c>
      <c r="F110" s="10">
        <f t="shared" si="7"/>
        <v>147</v>
      </c>
      <c r="G110" s="14">
        <f t="shared" si="8"/>
        <v>146.1</v>
      </c>
      <c r="H110" s="7">
        <f t="shared" si="9"/>
        <v>933.2</v>
      </c>
      <c r="I110" s="10">
        <f t="shared" si="10"/>
        <v>1267.0999999999999</v>
      </c>
      <c r="J110">
        <f t="shared" si="11"/>
        <v>0</v>
      </c>
      <c r="K110">
        <f t="shared" si="12"/>
        <v>0</v>
      </c>
      <c r="L110" s="10">
        <f t="shared" si="13"/>
        <v>1267.0999999999999</v>
      </c>
    </row>
    <row r="111" spans="1:12" x14ac:dyDescent="0.3">
      <c r="A111" s="7">
        <v>1300.75</v>
      </c>
      <c r="B111">
        <v>5</v>
      </c>
      <c r="C111">
        <v>5</v>
      </c>
      <c r="D111">
        <v>3</v>
      </c>
      <c r="E111" t="s">
        <v>16</v>
      </c>
      <c r="F111" s="10">
        <f t="shared" si="7"/>
        <v>66</v>
      </c>
      <c r="G111" s="14">
        <f t="shared" si="8"/>
        <v>65.040000000000006</v>
      </c>
      <c r="H111" s="7">
        <f t="shared" si="9"/>
        <v>1555.33</v>
      </c>
      <c r="I111" s="10">
        <f t="shared" si="10"/>
        <v>1431.79</v>
      </c>
      <c r="J111">
        <f t="shared" si="11"/>
        <v>1</v>
      </c>
      <c r="K111">
        <f t="shared" si="12"/>
        <v>123.53999999999996</v>
      </c>
      <c r="L111" s="10">
        <f t="shared" si="13"/>
        <v>1555.33</v>
      </c>
    </row>
    <row r="112" spans="1:12" x14ac:dyDescent="0.3">
      <c r="A112" s="7">
        <v>4560</v>
      </c>
      <c r="B112">
        <v>3</v>
      </c>
      <c r="C112">
        <v>50</v>
      </c>
      <c r="D112">
        <v>1</v>
      </c>
      <c r="E112" t="s">
        <v>20</v>
      </c>
      <c r="F112" s="10">
        <f t="shared" si="7"/>
        <v>137</v>
      </c>
      <c r="G112" s="14">
        <f t="shared" si="8"/>
        <v>2280</v>
      </c>
      <c r="H112" s="7">
        <f t="shared" si="9"/>
        <v>4666</v>
      </c>
      <c r="I112" s="10">
        <f t="shared" si="10"/>
        <v>6977</v>
      </c>
      <c r="J112">
        <f t="shared" si="11"/>
        <v>0</v>
      </c>
      <c r="K112">
        <f t="shared" si="12"/>
        <v>0</v>
      </c>
      <c r="L112" s="10">
        <f t="shared" si="13"/>
        <v>6977</v>
      </c>
    </row>
    <row r="113" spans="1:12" x14ac:dyDescent="0.3">
      <c r="A113" s="7">
        <v>4690</v>
      </c>
      <c r="B113">
        <v>1</v>
      </c>
      <c r="C113">
        <v>45</v>
      </c>
      <c r="D113">
        <v>1</v>
      </c>
      <c r="E113" t="s">
        <v>19</v>
      </c>
      <c r="F113" s="10">
        <f t="shared" si="7"/>
        <v>47</v>
      </c>
      <c r="G113" s="14">
        <f t="shared" si="8"/>
        <v>2110.5</v>
      </c>
      <c r="H113" s="7">
        <f t="shared" si="9"/>
        <v>4666</v>
      </c>
      <c r="I113" s="10">
        <f t="shared" si="10"/>
        <v>6847.5</v>
      </c>
      <c r="J113">
        <f t="shared" si="11"/>
        <v>0</v>
      </c>
      <c r="K113">
        <f t="shared" si="12"/>
        <v>0</v>
      </c>
      <c r="L113" s="10">
        <f t="shared" si="13"/>
        <v>6847.5</v>
      </c>
    </row>
    <row r="114" spans="1:12" x14ac:dyDescent="0.3">
      <c r="A114" s="7">
        <v>3420</v>
      </c>
      <c r="B114">
        <v>9</v>
      </c>
      <c r="C114">
        <v>15</v>
      </c>
      <c r="D114">
        <v>1</v>
      </c>
      <c r="E114" t="s">
        <v>15</v>
      </c>
      <c r="F114" s="10">
        <f t="shared" si="7"/>
        <v>308</v>
      </c>
      <c r="G114" s="14">
        <f t="shared" si="8"/>
        <v>513</v>
      </c>
      <c r="H114" s="7">
        <f t="shared" si="9"/>
        <v>4666</v>
      </c>
      <c r="I114" s="10">
        <f t="shared" si="10"/>
        <v>4241</v>
      </c>
      <c r="J114">
        <f t="shared" si="11"/>
        <v>1</v>
      </c>
      <c r="K114">
        <f t="shared" si="12"/>
        <v>425</v>
      </c>
      <c r="L114" s="10">
        <f t="shared" si="13"/>
        <v>4666</v>
      </c>
    </row>
    <row r="115" spans="1:12" x14ac:dyDescent="0.3">
      <c r="A115" s="7">
        <v>690</v>
      </c>
      <c r="B115">
        <v>7</v>
      </c>
      <c r="C115">
        <v>35</v>
      </c>
      <c r="D115">
        <v>8</v>
      </c>
      <c r="E115" t="s">
        <v>18</v>
      </c>
      <c r="F115" s="10">
        <f t="shared" si="7"/>
        <v>49</v>
      </c>
      <c r="G115" s="14">
        <f t="shared" si="8"/>
        <v>241.5</v>
      </c>
      <c r="H115" s="7">
        <f t="shared" si="9"/>
        <v>583.25</v>
      </c>
      <c r="I115" s="10">
        <f t="shared" si="10"/>
        <v>980.5</v>
      </c>
      <c r="J115">
        <f t="shared" si="11"/>
        <v>0</v>
      </c>
      <c r="K115">
        <f t="shared" si="12"/>
        <v>0</v>
      </c>
      <c r="L115" s="10">
        <f t="shared" si="13"/>
        <v>980.5</v>
      </c>
    </row>
    <row r="116" spans="1:12" x14ac:dyDescent="0.3">
      <c r="A116" s="7">
        <v>1070</v>
      </c>
      <c r="B116">
        <v>11</v>
      </c>
      <c r="C116">
        <v>35</v>
      </c>
      <c r="D116">
        <v>5</v>
      </c>
      <c r="E116" t="s">
        <v>17</v>
      </c>
      <c r="F116" s="10">
        <f t="shared" si="7"/>
        <v>118</v>
      </c>
      <c r="G116" s="14">
        <f t="shared" si="8"/>
        <v>374.5</v>
      </c>
      <c r="H116" s="7">
        <f t="shared" si="9"/>
        <v>933.2</v>
      </c>
      <c r="I116" s="10">
        <f t="shared" si="10"/>
        <v>1562.5</v>
      </c>
      <c r="J116">
        <f t="shared" si="11"/>
        <v>0</v>
      </c>
      <c r="K116">
        <f t="shared" si="12"/>
        <v>0</v>
      </c>
      <c r="L116" s="10">
        <f t="shared" si="13"/>
        <v>1562.5</v>
      </c>
    </row>
    <row r="117" spans="1:12" x14ac:dyDescent="0.3">
      <c r="A117" s="7">
        <v>1337</v>
      </c>
      <c r="B117">
        <v>0</v>
      </c>
      <c r="C117">
        <v>25</v>
      </c>
      <c r="D117">
        <v>3</v>
      </c>
      <c r="E117" t="s">
        <v>16</v>
      </c>
      <c r="F117" s="10">
        <f t="shared" si="7"/>
        <v>0</v>
      </c>
      <c r="G117" s="14">
        <f t="shared" si="8"/>
        <v>334.25</v>
      </c>
      <c r="H117" s="7">
        <f t="shared" si="9"/>
        <v>1555.33</v>
      </c>
      <c r="I117" s="10">
        <f t="shared" si="10"/>
        <v>1671.25</v>
      </c>
      <c r="J117">
        <f t="shared" si="11"/>
        <v>0</v>
      </c>
      <c r="K117">
        <f t="shared" si="12"/>
        <v>0</v>
      </c>
      <c r="L117" s="10">
        <f t="shared" si="13"/>
        <v>1671.25</v>
      </c>
    </row>
    <row r="118" spans="1:12" x14ac:dyDescent="0.3">
      <c r="A118" s="7">
        <v>6330</v>
      </c>
      <c r="B118">
        <v>20</v>
      </c>
      <c r="C118">
        <v>10</v>
      </c>
      <c r="D118">
        <v>1</v>
      </c>
      <c r="E118" t="s">
        <v>15</v>
      </c>
      <c r="F118" s="10">
        <f t="shared" si="7"/>
        <v>1266</v>
      </c>
      <c r="G118" s="14">
        <f t="shared" si="8"/>
        <v>633</v>
      </c>
      <c r="H118" s="7">
        <f t="shared" si="9"/>
        <v>4666</v>
      </c>
      <c r="I118" s="10">
        <f t="shared" si="10"/>
        <v>8229</v>
      </c>
      <c r="J118">
        <f t="shared" si="11"/>
        <v>0</v>
      </c>
      <c r="K118">
        <f t="shared" si="12"/>
        <v>0</v>
      </c>
      <c r="L118" s="10">
        <f t="shared" si="13"/>
        <v>8229</v>
      </c>
    </row>
    <row r="119" spans="1:12" x14ac:dyDescent="0.3">
      <c r="A119" s="7">
        <v>5020</v>
      </c>
      <c r="B119">
        <v>9</v>
      </c>
      <c r="C119">
        <v>30</v>
      </c>
      <c r="D119">
        <v>1</v>
      </c>
      <c r="E119" t="s">
        <v>17</v>
      </c>
      <c r="F119" s="10">
        <f t="shared" si="7"/>
        <v>452</v>
      </c>
      <c r="G119" s="14">
        <f t="shared" si="8"/>
        <v>1506</v>
      </c>
      <c r="H119" s="7">
        <f t="shared" si="9"/>
        <v>4666</v>
      </c>
      <c r="I119" s="10">
        <f t="shared" si="10"/>
        <v>6978</v>
      </c>
      <c r="J119">
        <f t="shared" si="11"/>
        <v>0</v>
      </c>
      <c r="K119">
        <f t="shared" si="12"/>
        <v>0</v>
      </c>
      <c r="L119" s="10">
        <f t="shared" si="13"/>
        <v>6978</v>
      </c>
    </row>
    <row r="120" spans="1:12" x14ac:dyDescent="0.3">
      <c r="A120" s="7">
        <v>4980</v>
      </c>
      <c r="B120">
        <v>13</v>
      </c>
      <c r="C120">
        <v>0</v>
      </c>
      <c r="D120">
        <v>1</v>
      </c>
      <c r="E120" t="s">
        <v>18</v>
      </c>
      <c r="F120" s="10">
        <f t="shared" si="7"/>
        <v>648</v>
      </c>
      <c r="G120" s="14">
        <f t="shared" si="8"/>
        <v>0</v>
      </c>
      <c r="H120" s="7">
        <f t="shared" si="9"/>
        <v>4666</v>
      </c>
      <c r="I120" s="10">
        <f t="shared" si="10"/>
        <v>5628</v>
      </c>
      <c r="J120">
        <f t="shared" si="11"/>
        <v>0</v>
      </c>
      <c r="K120">
        <f t="shared" si="12"/>
        <v>0</v>
      </c>
      <c r="L120" s="10">
        <f t="shared" si="13"/>
        <v>5628</v>
      </c>
    </row>
    <row r="121" spans="1:12" x14ac:dyDescent="0.3">
      <c r="A121" s="7">
        <v>615</v>
      </c>
      <c r="B121">
        <v>13</v>
      </c>
      <c r="C121">
        <v>40</v>
      </c>
      <c r="D121">
        <v>8</v>
      </c>
      <c r="E121" t="s">
        <v>17</v>
      </c>
      <c r="F121" s="10">
        <f t="shared" si="7"/>
        <v>80</v>
      </c>
      <c r="G121" s="14">
        <f t="shared" si="8"/>
        <v>246</v>
      </c>
      <c r="H121" s="7">
        <f t="shared" si="9"/>
        <v>583.25</v>
      </c>
      <c r="I121" s="10">
        <f t="shared" si="10"/>
        <v>941</v>
      </c>
      <c r="J121">
        <f t="shared" si="11"/>
        <v>0</v>
      </c>
      <c r="K121">
        <f t="shared" si="12"/>
        <v>0</v>
      </c>
      <c r="L121" s="10">
        <f t="shared" si="13"/>
        <v>941</v>
      </c>
    </row>
    <row r="122" spans="1:12" x14ac:dyDescent="0.3">
      <c r="A122" s="7">
        <v>730</v>
      </c>
      <c r="B122">
        <v>18</v>
      </c>
      <c r="C122">
        <v>5</v>
      </c>
      <c r="D122">
        <v>6</v>
      </c>
      <c r="E122" t="s">
        <v>17</v>
      </c>
      <c r="F122" s="10">
        <f t="shared" si="7"/>
        <v>132</v>
      </c>
      <c r="G122" s="14">
        <f t="shared" si="8"/>
        <v>36.5</v>
      </c>
      <c r="H122" s="7">
        <f t="shared" si="9"/>
        <v>777.67</v>
      </c>
      <c r="I122" s="10">
        <f t="shared" si="10"/>
        <v>898.5</v>
      </c>
      <c r="J122">
        <f t="shared" si="11"/>
        <v>0</v>
      </c>
      <c r="K122">
        <f t="shared" si="12"/>
        <v>0</v>
      </c>
      <c r="L122" s="10">
        <f t="shared" si="13"/>
        <v>898.5</v>
      </c>
    </row>
    <row r="123" spans="1:12" x14ac:dyDescent="0.3">
      <c r="A123" s="7">
        <v>349</v>
      </c>
      <c r="B123">
        <v>8</v>
      </c>
      <c r="C123">
        <v>10</v>
      </c>
      <c r="D123">
        <v>10</v>
      </c>
      <c r="E123" t="s">
        <v>15</v>
      </c>
      <c r="F123" s="10">
        <f t="shared" si="7"/>
        <v>28</v>
      </c>
      <c r="G123" s="14">
        <f t="shared" si="8"/>
        <v>34.9</v>
      </c>
      <c r="H123" s="7">
        <f t="shared" si="9"/>
        <v>466.6</v>
      </c>
      <c r="I123" s="10">
        <f t="shared" si="10"/>
        <v>411.9</v>
      </c>
      <c r="J123">
        <f t="shared" si="11"/>
        <v>1</v>
      </c>
      <c r="K123">
        <f t="shared" si="12"/>
        <v>54.700000000000045</v>
      </c>
      <c r="L123" s="10">
        <f t="shared" si="13"/>
        <v>466.6</v>
      </c>
    </row>
    <row r="124" spans="1:12" x14ac:dyDescent="0.3">
      <c r="A124" s="7">
        <v>2023</v>
      </c>
      <c r="B124">
        <v>5</v>
      </c>
      <c r="C124">
        <v>10</v>
      </c>
      <c r="D124">
        <v>3</v>
      </c>
      <c r="E124" t="s">
        <v>21</v>
      </c>
      <c r="F124" s="10">
        <f t="shared" si="7"/>
        <v>102</v>
      </c>
      <c r="G124" s="14">
        <f t="shared" si="8"/>
        <v>202.3</v>
      </c>
      <c r="H124" s="7">
        <f t="shared" si="9"/>
        <v>1555.33</v>
      </c>
      <c r="I124" s="10">
        <f t="shared" si="10"/>
        <v>2327.3000000000002</v>
      </c>
      <c r="J124">
        <f t="shared" si="11"/>
        <v>0</v>
      </c>
      <c r="K124">
        <f t="shared" si="12"/>
        <v>0</v>
      </c>
      <c r="L124" s="10">
        <f t="shared" si="13"/>
        <v>2327.3000000000002</v>
      </c>
    </row>
    <row r="125" spans="1:12" x14ac:dyDescent="0.3">
      <c r="A125" s="7">
        <v>6520</v>
      </c>
      <c r="B125">
        <v>8</v>
      </c>
      <c r="C125">
        <v>25</v>
      </c>
      <c r="D125">
        <v>1</v>
      </c>
      <c r="E125" t="s">
        <v>18</v>
      </c>
      <c r="F125" s="10">
        <f t="shared" si="7"/>
        <v>522</v>
      </c>
      <c r="G125" s="14">
        <f t="shared" si="8"/>
        <v>1630</v>
      </c>
      <c r="H125" s="7">
        <f t="shared" si="9"/>
        <v>4666</v>
      </c>
      <c r="I125" s="10">
        <f t="shared" si="10"/>
        <v>8672</v>
      </c>
      <c r="J125">
        <f t="shared" si="11"/>
        <v>0</v>
      </c>
      <c r="K125">
        <f t="shared" si="12"/>
        <v>0</v>
      </c>
      <c r="L125" s="10">
        <f t="shared" si="13"/>
        <v>8672</v>
      </c>
    </row>
    <row r="126" spans="1:12" x14ac:dyDescent="0.3">
      <c r="A126" s="7">
        <v>3960</v>
      </c>
      <c r="B126">
        <v>8</v>
      </c>
      <c r="C126">
        <v>15</v>
      </c>
      <c r="D126">
        <v>1</v>
      </c>
      <c r="E126" t="s">
        <v>18</v>
      </c>
      <c r="F126" s="10">
        <f t="shared" si="7"/>
        <v>317</v>
      </c>
      <c r="G126" s="14">
        <f t="shared" si="8"/>
        <v>594</v>
      </c>
      <c r="H126" s="7">
        <f t="shared" si="9"/>
        <v>4666</v>
      </c>
      <c r="I126" s="10">
        <f t="shared" si="10"/>
        <v>4871</v>
      </c>
      <c r="J126">
        <f t="shared" si="11"/>
        <v>0</v>
      </c>
      <c r="K126">
        <f t="shared" si="12"/>
        <v>0</v>
      </c>
      <c r="L126" s="10">
        <f t="shared" si="13"/>
        <v>4871</v>
      </c>
    </row>
    <row r="127" spans="1:12" x14ac:dyDescent="0.3">
      <c r="A127" s="7">
        <v>5220</v>
      </c>
      <c r="B127">
        <v>15</v>
      </c>
      <c r="C127">
        <v>15</v>
      </c>
      <c r="D127">
        <v>1</v>
      </c>
      <c r="E127" t="s">
        <v>19</v>
      </c>
      <c r="F127" s="10">
        <f t="shared" si="7"/>
        <v>783</v>
      </c>
      <c r="G127" s="14">
        <f t="shared" si="8"/>
        <v>783</v>
      </c>
      <c r="H127" s="7">
        <f t="shared" si="9"/>
        <v>4666</v>
      </c>
      <c r="I127" s="10">
        <f t="shared" si="10"/>
        <v>6786</v>
      </c>
      <c r="J127">
        <f t="shared" si="11"/>
        <v>0</v>
      </c>
      <c r="K127">
        <f t="shared" si="12"/>
        <v>0</v>
      </c>
      <c r="L127" s="10">
        <f t="shared" si="13"/>
        <v>6786</v>
      </c>
    </row>
    <row r="128" spans="1:12" x14ac:dyDescent="0.3">
      <c r="A128" s="7">
        <v>6500</v>
      </c>
      <c r="B128">
        <v>2</v>
      </c>
      <c r="C128">
        <v>15</v>
      </c>
      <c r="D128">
        <v>1</v>
      </c>
      <c r="E128" t="s">
        <v>18</v>
      </c>
      <c r="F128" s="10">
        <f t="shared" si="7"/>
        <v>130</v>
      </c>
      <c r="G128" s="14">
        <f t="shared" si="8"/>
        <v>975</v>
      </c>
      <c r="H128" s="7">
        <f t="shared" si="9"/>
        <v>4666</v>
      </c>
      <c r="I128" s="10">
        <f t="shared" si="10"/>
        <v>7605</v>
      </c>
      <c r="J128">
        <f t="shared" si="11"/>
        <v>0</v>
      </c>
      <c r="K128">
        <f t="shared" si="12"/>
        <v>0</v>
      </c>
      <c r="L128" s="10">
        <f t="shared" si="13"/>
        <v>7605</v>
      </c>
    </row>
    <row r="129" spans="1:12" x14ac:dyDescent="0.3">
      <c r="A129" s="7">
        <v>4530</v>
      </c>
      <c r="B129">
        <v>13</v>
      </c>
      <c r="C129">
        <v>50</v>
      </c>
      <c r="D129">
        <v>1</v>
      </c>
      <c r="E129" t="s">
        <v>15</v>
      </c>
      <c r="F129" s="10">
        <f t="shared" si="7"/>
        <v>589</v>
      </c>
      <c r="G129" s="14">
        <f t="shared" si="8"/>
        <v>2265</v>
      </c>
      <c r="H129" s="7">
        <f t="shared" si="9"/>
        <v>4666</v>
      </c>
      <c r="I129" s="10">
        <f t="shared" si="10"/>
        <v>7384</v>
      </c>
      <c r="J129">
        <f t="shared" si="11"/>
        <v>0</v>
      </c>
      <c r="K129">
        <f t="shared" si="12"/>
        <v>0</v>
      </c>
      <c r="L129" s="10">
        <f t="shared" si="13"/>
        <v>7384</v>
      </c>
    </row>
    <row r="130" spans="1:12" x14ac:dyDescent="0.3">
      <c r="A130" s="7">
        <v>5210</v>
      </c>
      <c r="B130">
        <v>14</v>
      </c>
      <c r="C130">
        <v>25</v>
      </c>
      <c r="D130">
        <v>1</v>
      </c>
      <c r="E130" t="s">
        <v>17</v>
      </c>
      <c r="F130" s="10">
        <f t="shared" si="7"/>
        <v>730</v>
      </c>
      <c r="G130" s="14">
        <f t="shared" si="8"/>
        <v>1302.5</v>
      </c>
      <c r="H130" s="7">
        <f t="shared" si="9"/>
        <v>4666</v>
      </c>
      <c r="I130" s="10">
        <f t="shared" si="10"/>
        <v>7242.5</v>
      </c>
      <c r="J130">
        <f t="shared" si="11"/>
        <v>0</v>
      </c>
      <c r="K130">
        <f t="shared" si="12"/>
        <v>0</v>
      </c>
      <c r="L130" s="10">
        <f t="shared" si="13"/>
        <v>7242.5</v>
      </c>
    </row>
    <row r="131" spans="1:12" x14ac:dyDescent="0.3">
      <c r="A131" s="7">
        <v>746</v>
      </c>
      <c r="B131">
        <v>13</v>
      </c>
      <c r="C131">
        <v>25</v>
      </c>
      <c r="D131">
        <v>8</v>
      </c>
      <c r="E131" t="s">
        <v>15</v>
      </c>
      <c r="F131" s="10">
        <f t="shared" ref="F131:F194" si="14">ROUNDUP(0.01*B131*A131,0)</f>
        <v>97</v>
      </c>
      <c r="G131" s="14">
        <f t="shared" ref="G131:G194" si="15">ROUND(C131/100*A131,2)</f>
        <v>186.5</v>
      </c>
      <c r="H131" s="7">
        <f t="shared" ref="H131:H194" si="16">ROUND(4666/D131:D630,2)</f>
        <v>583.25</v>
      </c>
      <c r="I131" s="10">
        <f t="shared" ref="I131:I194" si="17">G131+A131+F131</f>
        <v>1029.5</v>
      </c>
      <c r="J131">
        <f t="shared" ref="J131:J194" si="18">IF(H131&gt;I131,1,0)</f>
        <v>0</v>
      </c>
      <c r="K131">
        <f t="shared" ref="K131:K194" si="19">IF(J131=1,H131-I131,0)</f>
        <v>0</v>
      </c>
      <c r="L131" s="10">
        <f t="shared" ref="L131:L194" si="20">I131+K131</f>
        <v>1029.5</v>
      </c>
    </row>
    <row r="132" spans="1:12" x14ac:dyDescent="0.3">
      <c r="A132" s="7">
        <v>658</v>
      </c>
      <c r="B132">
        <v>1</v>
      </c>
      <c r="C132">
        <v>45</v>
      </c>
      <c r="D132">
        <v>10</v>
      </c>
      <c r="E132" t="s">
        <v>20</v>
      </c>
      <c r="F132" s="10">
        <f t="shared" si="14"/>
        <v>7</v>
      </c>
      <c r="G132" s="14">
        <f t="shared" si="15"/>
        <v>296.10000000000002</v>
      </c>
      <c r="H132" s="7">
        <f t="shared" si="16"/>
        <v>466.6</v>
      </c>
      <c r="I132" s="10">
        <f t="shared" si="17"/>
        <v>961.1</v>
      </c>
      <c r="J132">
        <f t="shared" si="18"/>
        <v>0</v>
      </c>
      <c r="K132">
        <f t="shared" si="19"/>
        <v>0</v>
      </c>
      <c r="L132" s="10">
        <f t="shared" si="20"/>
        <v>961.1</v>
      </c>
    </row>
    <row r="133" spans="1:12" x14ac:dyDescent="0.3">
      <c r="A133" s="7">
        <v>905</v>
      </c>
      <c r="B133">
        <v>5</v>
      </c>
      <c r="C133">
        <v>15</v>
      </c>
      <c r="D133">
        <v>4</v>
      </c>
      <c r="E133" t="s">
        <v>16</v>
      </c>
      <c r="F133" s="10">
        <f t="shared" si="14"/>
        <v>46</v>
      </c>
      <c r="G133" s="14">
        <f t="shared" si="15"/>
        <v>135.75</v>
      </c>
      <c r="H133" s="7">
        <f t="shared" si="16"/>
        <v>1166.5</v>
      </c>
      <c r="I133" s="10">
        <f t="shared" si="17"/>
        <v>1086.75</v>
      </c>
      <c r="J133">
        <f t="shared" si="18"/>
        <v>1</v>
      </c>
      <c r="K133">
        <f t="shared" si="19"/>
        <v>79.75</v>
      </c>
      <c r="L133" s="10">
        <f t="shared" si="20"/>
        <v>1166.5</v>
      </c>
    </row>
    <row r="134" spans="1:12" x14ac:dyDescent="0.3">
      <c r="A134" s="7">
        <v>563</v>
      </c>
      <c r="B134">
        <v>3</v>
      </c>
      <c r="C134">
        <v>10</v>
      </c>
      <c r="D134">
        <v>9</v>
      </c>
      <c r="E134" t="s">
        <v>16</v>
      </c>
      <c r="F134" s="10">
        <f t="shared" si="14"/>
        <v>17</v>
      </c>
      <c r="G134" s="14">
        <f t="shared" si="15"/>
        <v>56.3</v>
      </c>
      <c r="H134" s="7">
        <f t="shared" si="16"/>
        <v>518.44000000000005</v>
      </c>
      <c r="I134" s="10">
        <f t="shared" si="17"/>
        <v>636.29999999999995</v>
      </c>
      <c r="J134">
        <f t="shared" si="18"/>
        <v>0</v>
      </c>
      <c r="K134">
        <f t="shared" si="19"/>
        <v>0</v>
      </c>
      <c r="L134" s="10">
        <f t="shared" si="20"/>
        <v>636.29999999999995</v>
      </c>
    </row>
    <row r="135" spans="1:12" x14ac:dyDescent="0.3">
      <c r="A135" s="7">
        <v>3620</v>
      </c>
      <c r="B135">
        <v>16</v>
      </c>
      <c r="C135">
        <v>40</v>
      </c>
      <c r="D135">
        <v>1</v>
      </c>
      <c r="E135" t="s">
        <v>17</v>
      </c>
      <c r="F135" s="10">
        <f t="shared" si="14"/>
        <v>580</v>
      </c>
      <c r="G135" s="14">
        <f t="shared" si="15"/>
        <v>1448</v>
      </c>
      <c r="H135" s="7">
        <f t="shared" si="16"/>
        <v>4666</v>
      </c>
      <c r="I135" s="10">
        <f t="shared" si="17"/>
        <v>5648</v>
      </c>
      <c r="J135">
        <f t="shared" si="18"/>
        <v>0</v>
      </c>
      <c r="K135">
        <f t="shared" si="19"/>
        <v>0</v>
      </c>
      <c r="L135" s="10">
        <f t="shared" si="20"/>
        <v>5648</v>
      </c>
    </row>
    <row r="136" spans="1:12" x14ac:dyDescent="0.3">
      <c r="A136" s="7">
        <v>2350</v>
      </c>
      <c r="B136">
        <v>12</v>
      </c>
      <c r="C136">
        <v>35</v>
      </c>
      <c r="D136">
        <v>2</v>
      </c>
      <c r="E136" t="s">
        <v>15</v>
      </c>
      <c r="F136" s="10">
        <f t="shared" si="14"/>
        <v>282</v>
      </c>
      <c r="G136" s="14">
        <f t="shared" si="15"/>
        <v>822.5</v>
      </c>
      <c r="H136" s="7">
        <f t="shared" si="16"/>
        <v>2333</v>
      </c>
      <c r="I136" s="10">
        <f t="shared" si="17"/>
        <v>3454.5</v>
      </c>
      <c r="J136">
        <f t="shared" si="18"/>
        <v>0</v>
      </c>
      <c r="K136">
        <f t="shared" si="19"/>
        <v>0</v>
      </c>
      <c r="L136" s="10">
        <f t="shared" si="20"/>
        <v>3454.5</v>
      </c>
    </row>
    <row r="137" spans="1:12" x14ac:dyDescent="0.3">
      <c r="A137" s="7">
        <v>764</v>
      </c>
      <c r="B137">
        <v>4</v>
      </c>
      <c r="C137">
        <v>30</v>
      </c>
      <c r="D137">
        <v>8</v>
      </c>
      <c r="E137" t="s">
        <v>15</v>
      </c>
      <c r="F137" s="10">
        <f t="shared" si="14"/>
        <v>31</v>
      </c>
      <c r="G137" s="14">
        <f t="shared" si="15"/>
        <v>229.2</v>
      </c>
      <c r="H137" s="7">
        <f t="shared" si="16"/>
        <v>583.25</v>
      </c>
      <c r="I137" s="10">
        <f t="shared" si="17"/>
        <v>1024.2</v>
      </c>
      <c r="J137">
        <f t="shared" si="18"/>
        <v>0</v>
      </c>
      <c r="K137">
        <f t="shared" si="19"/>
        <v>0</v>
      </c>
      <c r="L137" s="10">
        <f t="shared" si="20"/>
        <v>1024.2</v>
      </c>
    </row>
    <row r="138" spans="1:12" x14ac:dyDescent="0.3">
      <c r="A138" s="7">
        <v>406</v>
      </c>
      <c r="B138">
        <v>10</v>
      </c>
      <c r="C138">
        <v>10</v>
      </c>
      <c r="D138">
        <v>10</v>
      </c>
      <c r="E138" t="s">
        <v>17</v>
      </c>
      <c r="F138" s="10">
        <f t="shared" si="14"/>
        <v>41</v>
      </c>
      <c r="G138" s="14">
        <f t="shared" si="15"/>
        <v>40.6</v>
      </c>
      <c r="H138" s="7">
        <f t="shared" si="16"/>
        <v>466.6</v>
      </c>
      <c r="I138" s="10">
        <f t="shared" si="17"/>
        <v>487.6</v>
      </c>
      <c r="J138">
        <f t="shared" si="18"/>
        <v>0</v>
      </c>
      <c r="K138">
        <f t="shared" si="19"/>
        <v>0</v>
      </c>
      <c r="L138" s="10">
        <f t="shared" si="20"/>
        <v>487.6</v>
      </c>
    </row>
    <row r="139" spans="1:12" x14ac:dyDescent="0.3">
      <c r="A139" s="7">
        <v>1123</v>
      </c>
      <c r="B139">
        <v>0</v>
      </c>
      <c r="C139">
        <v>25</v>
      </c>
      <c r="D139">
        <v>3</v>
      </c>
      <c r="E139" t="s">
        <v>16</v>
      </c>
      <c r="F139" s="10">
        <f t="shared" si="14"/>
        <v>0</v>
      </c>
      <c r="G139" s="14">
        <f t="shared" si="15"/>
        <v>280.75</v>
      </c>
      <c r="H139" s="7">
        <f t="shared" si="16"/>
        <v>1555.33</v>
      </c>
      <c r="I139" s="10">
        <f t="shared" si="17"/>
        <v>1403.75</v>
      </c>
      <c r="J139">
        <f t="shared" si="18"/>
        <v>1</v>
      </c>
      <c r="K139">
        <f t="shared" si="19"/>
        <v>151.57999999999993</v>
      </c>
      <c r="L139" s="10">
        <f t="shared" si="20"/>
        <v>1555.33</v>
      </c>
    </row>
    <row r="140" spans="1:12" x14ac:dyDescent="0.3">
      <c r="A140" s="7">
        <v>1463</v>
      </c>
      <c r="B140">
        <v>9</v>
      </c>
      <c r="C140">
        <v>15</v>
      </c>
      <c r="D140">
        <v>4</v>
      </c>
      <c r="E140" t="s">
        <v>18</v>
      </c>
      <c r="F140" s="10">
        <f t="shared" si="14"/>
        <v>132</v>
      </c>
      <c r="G140" s="14">
        <f t="shared" si="15"/>
        <v>219.45</v>
      </c>
      <c r="H140" s="7">
        <f t="shared" si="16"/>
        <v>1166.5</v>
      </c>
      <c r="I140" s="10">
        <f t="shared" si="17"/>
        <v>1814.45</v>
      </c>
      <c r="J140">
        <f t="shared" si="18"/>
        <v>0</v>
      </c>
      <c r="K140">
        <f t="shared" si="19"/>
        <v>0</v>
      </c>
      <c r="L140" s="10">
        <f t="shared" si="20"/>
        <v>1814.45</v>
      </c>
    </row>
    <row r="141" spans="1:12" x14ac:dyDescent="0.3">
      <c r="A141" s="7">
        <v>724</v>
      </c>
      <c r="B141">
        <v>20</v>
      </c>
      <c r="C141">
        <v>30</v>
      </c>
      <c r="D141">
        <v>7</v>
      </c>
      <c r="E141" t="s">
        <v>19</v>
      </c>
      <c r="F141" s="10">
        <f t="shared" si="14"/>
        <v>145</v>
      </c>
      <c r="G141" s="14">
        <f t="shared" si="15"/>
        <v>217.2</v>
      </c>
      <c r="H141" s="7">
        <f t="shared" si="16"/>
        <v>666.57</v>
      </c>
      <c r="I141" s="10">
        <f t="shared" si="17"/>
        <v>1086.2</v>
      </c>
      <c r="J141">
        <f t="shared" si="18"/>
        <v>0</v>
      </c>
      <c r="K141">
        <f t="shared" si="19"/>
        <v>0</v>
      </c>
      <c r="L141" s="10">
        <f t="shared" si="20"/>
        <v>1086.2</v>
      </c>
    </row>
    <row r="142" spans="1:12" x14ac:dyDescent="0.3">
      <c r="A142" s="7">
        <v>550</v>
      </c>
      <c r="B142">
        <v>17</v>
      </c>
      <c r="C142">
        <v>30</v>
      </c>
      <c r="D142">
        <v>10</v>
      </c>
      <c r="E142" t="s">
        <v>18</v>
      </c>
      <c r="F142" s="10">
        <f t="shared" si="14"/>
        <v>94</v>
      </c>
      <c r="G142" s="14">
        <f t="shared" si="15"/>
        <v>165</v>
      </c>
      <c r="H142" s="7">
        <f t="shared" si="16"/>
        <v>466.6</v>
      </c>
      <c r="I142" s="10">
        <f t="shared" si="17"/>
        <v>809</v>
      </c>
      <c r="J142">
        <f t="shared" si="18"/>
        <v>0</v>
      </c>
      <c r="K142">
        <f t="shared" si="19"/>
        <v>0</v>
      </c>
      <c r="L142" s="10">
        <f t="shared" si="20"/>
        <v>809</v>
      </c>
    </row>
    <row r="143" spans="1:12" x14ac:dyDescent="0.3">
      <c r="A143" s="7">
        <v>1807</v>
      </c>
      <c r="B143">
        <v>19</v>
      </c>
      <c r="C143">
        <v>50</v>
      </c>
      <c r="D143">
        <v>3</v>
      </c>
      <c r="E143" t="s">
        <v>19</v>
      </c>
      <c r="F143" s="10">
        <f t="shared" si="14"/>
        <v>344</v>
      </c>
      <c r="G143" s="14">
        <f t="shared" si="15"/>
        <v>903.5</v>
      </c>
      <c r="H143" s="7">
        <f t="shared" si="16"/>
        <v>1555.33</v>
      </c>
      <c r="I143" s="10">
        <f t="shared" si="17"/>
        <v>3054.5</v>
      </c>
      <c r="J143">
        <f t="shared" si="18"/>
        <v>0</v>
      </c>
      <c r="K143">
        <f t="shared" si="19"/>
        <v>0</v>
      </c>
      <c r="L143" s="10">
        <f t="shared" si="20"/>
        <v>3054.5</v>
      </c>
    </row>
    <row r="144" spans="1:12" x14ac:dyDescent="0.3">
      <c r="A144" s="7">
        <v>1160</v>
      </c>
      <c r="B144">
        <v>5</v>
      </c>
      <c r="C144">
        <v>10</v>
      </c>
      <c r="D144">
        <v>3</v>
      </c>
      <c r="E144" t="s">
        <v>21</v>
      </c>
      <c r="F144" s="10">
        <f t="shared" si="14"/>
        <v>58</v>
      </c>
      <c r="G144" s="14">
        <f t="shared" si="15"/>
        <v>116</v>
      </c>
      <c r="H144" s="7">
        <f t="shared" si="16"/>
        <v>1555.33</v>
      </c>
      <c r="I144" s="10">
        <f t="shared" si="17"/>
        <v>1334</v>
      </c>
      <c r="J144">
        <f t="shared" si="18"/>
        <v>1</v>
      </c>
      <c r="K144">
        <f t="shared" si="19"/>
        <v>221.32999999999993</v>
      </c>
      <c r="L144" s="10">
        <f t="shared" si="20"/>
        <v>1555.33</v>
      </c>
    </row>
    <row r="145" spans="1:12" x14ac:dyDescent="0.3">
      <c r="A145" s="7">
        <v>597</v>
      </c>
      <c r="B145">
        <v>2</v>
      </c>
      <c r="C145">
        <v>20</v>
      </c>
      <c r="D145">
        <v>7</v>
      </c>
      <c r="E145" t="s">
        <v>18</v>
      </c>
      <c r="F145" s="10">
        <f t="shared" si="14"/>
        <v>12</v>
      </c>
      <c r="G145" s="14">
        <f t="shared" si="15"/>
        <v>119.4</v>
      </c>
      <c r="H145" s="7">
        <f t="shared" si="16"/>
        <v>666.57</v>
      </c>
      <c r="I145" s="10">
        <f t="shared" si="17"/>
        <v>728.4</v>
      </c>
      <c r="J145">
        <f t="shared" si="18"/>
        <v>0</v>
      </c>
      <c r="K145">
        <f t="shared" si="19"/>
        <v>0</v>
      </c>
      <c r="L145" s="10">
        <f t="shared" si="20"/>
        <v>728.4</v>
      </c>
    </row>
    <row r="146" spans="1:12" x14ac:dyDescent="0.3">
      <c r="A146" s="7">
        <v>1270</v>
      </c>
      <c r="B146">
        <v>12</v>
      </c>
      <c r="C146">
        <v>35</v>
      </c>
      <c r="D146">
        <v>5</v>
      </c>
      <c r="E146" t="s">
        <v>21</v>
      </c>
      <c r="F146" s="10">
        <f t="shared" si="14"/>
        <v>153</v>
      </c>
      <c r="G146" s="14">
        <f t="shared" si="15"/>
        <v>444.5</v>
      </c>
      <c r="H146" s="7">
        <f t="shared" si="16"/>
        <v>933.2</v>
      </c>
      <c r="I146" s="10">
        <f t="shared" si="17"/>
        <v>1867.5</v>
      </c>
      <c r="J146">
        <f t="shared" si="18"/>
        <v>0</v>
      </c>
      <c r="K146">
        <f t="shared" si="19"/>
        <v>0</v>
      </c>
      <c r="L146" s="10">
        <f t="shared" si="20"/>
        <v>1867.5</v>
      </c>
    </row>
    <row r="147" spans="1:12" x14ac:dyDescent="0.3">
      <c r="A147" s="7">
        <v>6590</v>
      </c>
      <c r="B147">
        <v>20</v>
      </c>
      <c r="C147">
        <v>45</v>
      </c>
      <c r="D147">
        <v>1</v>
      </c>
      <c r="E147" t="s">
        <v>19</v>
      </c>
      <c r="F147" s="10">
        <f t="shared" si="14"/>
        <v>1318</v>
      </c>
      <c r="G147" s="14">
        <f t="shared" si="15"/>
        <v>2965.5</v>
      </c>
      <c r="H147" s="7">
        <f t="shared" si="16"/>
        <v>4666</v>
      </c>
      <c r="I147" s="10">
        <f t="shared" si="17"/>
        <v>10873.5</v>
      </c>
      <c r="J147">
        <f t="shared" si="18"/>
        <v>0</v>
      </c>
      <c r="K147">
        <f t="shared" si="19"/>
        <v>0</v>
      </c>
      <c r="L147" s="10">
        <f t="shared" si="20"/>
        <v>10873.5</v>
      </c>
    </row>
    <row r="148" spans="1:12" x14ac:dyDescent="0.3">
      <c r="A148" s="7">
        <v>1056</v>
      </c>
      <c r="B148">
        <v>17</v>
      </c>
      <c r="C148">
        <v>50</v>
      </c>
      <c r="D148">
        <v>5</v>
      </c>
      <c r="E148" t="s">
        <v>15</v>
      </c>
      <c r="F148" s="10">
        <f t="shared" si="14"/>
        <v>180</v>
      </c>
      <c r="G148" s="14">
        <f t="shared" si="15"/>
        <v>528</v>
      </c>
      <c r="H148" s="7">
        <f t="shared" si="16"/>
        <v>933.2</v>
      </c>
      <c r="I148" s="10">
        <f t="shared" si="17"/>
        <v>1764</v>
      </c>
      <c r="J148">
        <f t="shared" si="18"/>
        <v>0</v>
      </c>
      <c r="K148">
        <f t="shared" si="19"/>
        <v>0</v>
      </c>
      <c r="L148" s="10">
        <f t="shared" si="20"/>
        <v>1764</v>
      </c>
    </row>
    <row r="149" spans="1:12" x14ac:dyDescent="0.3">
      <c r="A149" s="7">
        <v>6560</v>
      </c>
      <c r="B149">
        <v>7</v>
      </c>
      <c r="C149">
        <v>50</v>
      </c>
      <c r="D149">
        <v>1</v>
      </c>
      <c r="E149" t="s">
        <v>20</v>
      </c>
      <c r="F149" s="10">
        <f t="shared" si="14"/>
        <v>460</v>
      </c>
      <c r="G149" s="14">
        <f t="shared" si="15"/>
        <v>3280</v>
      </c>
      <c r="H149" s="7">
        <f t="shared" si="16"/>
        <v>4666</v>
      </c>
      <c r="I149" s="10">
        <f t="shared" si="17"/>
        <v>10300</v>
      </c>
      <c r="J149">
        <f t="shared" si="18"/>
        <v>0</v>
      </c>
      <c r="K149">
        <f t="shared" si="19"/>
        <v>0</v>
      </c>
      <c r="L149" s="10">
        <f t="shared" si="20"/>
        <v>10300</v>
      </c>
    </row>
    <row r="150" spans="1:12" x14ac:dyDescent="0.3">
      <c r="A150" s="7">
        <v>492</v>
      </c>
      <c r="B150">
        <v>16</v>
      </c>
      <c r="C150">
        <v>0</v>
      </c>
      <c r="D150">
        <v>10</v>
      </c>
      <c r="E150" t="s">
        <v>17</v>
      </c>
      <c r="F150" s="10">
        <f t="shared" si="14"/>
        <v>79</v>
      </c>
      <c r="G150" s="14">
        <f t="shared" si="15"/>
        <v>0</v>
      </c>
      <c r="H150" s="7">
        <f t="shared" si="16"/>
        <v>466.6</v>
      </c>
      <c r="I150" s="10">
        <f t="shared" si="17"/>
        <v>571</v>
      </c>
      <c r="J150">
        <f t="shared" si="18"/>
        <v>0</v>
      </c>
      <c r="K150">
        <f t="shared" si="19"/>
        <v>0</v>
      </c>
      <c r="L150" s="10">
        <f t="shared" si="20"/>
        <v>571</v>
      </c>
    </row>
    <row r="151" spans="1:12" x14ac:dyDescent="0.3">
      <c r="A151" s="7">
        <v>3075</v>
      </c>
      <c r="B151">
        <v>16</v>
      </c>
      <c r="C151">
        <v>15</v>
      </c>
      <c r="D151">
        <v>2</v>
      </c>
      <c r="E151" t="s">
        <v>21</v>
      </c>
      <c r="F151" s="10">
        <f t="shared" si="14"/>
        <v>492</v>
      </c>
      <c r="G151" s="14">
        <f t="shared" si="15"/>
        <v>461.25</v>
      </c>
      <c r="H151" s="7">
        <f t="shared" si="16"/>
        <v>2333</v>
      </c>
      <c r="I151" s="10">
        <f t="shared" si="17"/>
        <v>4028.25</v>
      </c>
      <c r="J151">
        <f t="shared" si="18"/>
        <v>0</v>
      </c>
      <c r="K151">
        <f t="shared" si="19"/>
        <v>0</v>
      </c>
      <c r="L151" s="10">
        <f t="shared" si="20"/>
        <v>4028.25</v>
      </c>
    </row>
    <row r="152" spans="1:12" x14ac:dyDescent="0.3">
      <c r="A152" s="7">
        <v>920</v>
      </c>
      <c r="B152">
        <v>7</v>
      </c>
      <c r="C152">
        <v>0</v>
      </c>
      <c r="D152">
        <v>4</v>
      </c>
      <c r="E152" t="s">
        <v>21</v>
      </c>
      <c r="F152" s="10">
        <f t="shared" si="14"/>
        <v>65</v>
      </c>
      <c r="G152" s="14">
        <f t="shared" si="15"/>
        <v>0</v>
      </c>
      <c r="H152" s="7">
        <f t="shared" si="16"/>
        <v>1166.5</v>
      </c>
      <c r="I152" s="10">
        <f t="shared" si="17"/>
        <v>985</v>
      </c>
      <c r="J152">
        <f t="shared" si="18"/>
        <v>1</v>
      </c>
      <c r="K152">
        <f t="shared" si="19"/>
        <v>181.5</v>
      </c>
      <c r="L152" s="10">
        <f t="shared" si="20"/>
        <v>1166.5</v>
      </c>
    </row>
    <row r="153" spans="1:12" x14ac:dyDescent="0.3">
      <c r="A153" s="7">
        <v>637</v>
      </c>
      <c r="B153">
        <v>17</v>
      </c>
      <c r="C153">
        <v>35</v>
      </c>
      <c r="D153">
        <v>10</v>
      </c>
      <c r="E153" t="s">
        <v>16</v>
      </c>
      <c r="F153" s="10">
        <f t="shared" si="14"/>
        <v>109</v>
      </c>
      <c r="G153" s="14">
        <f t="shared" si="15"/>
        <v>222.95</v>
      </c>
      <c r="H153" s="7">
        <f t="shared" si="16"/>
        <v>466.6</v>
      </c>
      <c r="I153" s="10">
        <f t="shared" si="17"/>
        <v>968.95</v>
      </c>
      <c r="J153">
        <f t="shared" si="18"/>
        <v>0</v>
      </c>
      <c r="K153">
        <f t="shared" si="19"/>
        <v>0</v>
      </c>
      <c r="L153" s="10">
        <f t="shared" si="20"/>
        <v>968.95</v>
      </c>
    </row>
    <row r="154" spans="1:12" x14ac:dyDescent="0.3">
      <c r="A154" s="7">
        <v>5260</v>
      </c>
      <c r="B154">
        <v>16</v>
      </c>
      <c r="C154">
        <v>5</v>
      </c>
      <c r="D154">
        <v>1</v>
      </c>
      <c r="E154" t="s">
        <v>20</v>
      </c>
      <c r="F154" s="10">
        <f t="shared" si="14"/>
        <v>842</v>
      </c>
      <c r="G154" s="14">
        <f t="shared" si="15"/>
        <v>263</v>
      </c>
      <c r="H154" s="7">
        <f t="shared" si="16"/>
        <v>4666</v>
      </c>
      <c r="I154" s="10">
        <f t="shared" si="17"/>
        <v>6365</v>
      </c>
      <c r="J154">
        <f t="shared" si="18"/>
        <v>0</v>
      </c>
      <c r="K154">
        <f t="shared" si="19"/>
        <v>0</v>
      </c>
      <c r="L154" s="10">
        <f t="shared" si="20"/>
        <v>6365</v>
      </c>
    </row>
    <row r="155" spans="1:12" x14ac:dyDescent="0.3">
      <c r="A155" s="7">
        <v>6400</v>
      </c>
      <c r="B155">
        <v>6</v>
      </c>
      <c r="C155">
        <v>10</v>
      </c>
      <c r="D155">
        <v>1</v>
      </c>
      <c r="E155" t="s">
        <v>20</v>
      </c>
      <c r="F155" s="10">
        <f t="shared" si="14"/>
        <v>384</v>
      </c>
      <c r="G155" s="14">
        <f t="shared" si="15"/>
        <v>640</v>
      </c>
      <c r="H155" s="7">
        <f t="shared" si="16"/>
        <v>4666</v>
      </c>
      <c r="I155" s="10">
        <f t="shared" si="17"/>
        <v>7424</v>
      </c>
      <c r="J155">
        <f t="shared" si="18"/>
        <v>0</v>
      </c>
      <c r="K155">
        <f t="shared" si="19"/>
        <v>0</v>
      </c>
      <c r="L155" s="10">
        <f t="shared" si="20"/>
        <v>7424</v>
      </c>
    </row>
    <row r="156" spans="1:12" x14ac:dyDescent="0.3">
      <c r="A156" s="7">
        <v>1274</v>
      </c>
      <c r="B156">
        <v>4</v>
      </c>
      <c r="C156">
        <v>5</v>
      </c>
      <c r="D156">
        <v>5</v>
      </c>
      <c r="E156" t="s">
        <v>19</v>
      </c>
      <c r="F156" s="10">
        <f t="shared" si="14"/>
        <v>51</v>
      </c>
      <c r="G156" s="14">
        <f t="shared" si="15"/>
        <v>63.7</v>
      </c>
      <c r="H156" s="7">
        <f t="shared" si="16"/>
        <v>933.2</v>
      </c>
      <c r="I156" s="10">
        <f t="shared" si="17"/>
        <v>1388.7</v>
      </c>
      <c r="J156">
        <f t="shared" si="18"/>
        <v>0</v>
      </c>
      <c r="K156">
        <f t="shared" si="19"/>
        <v>0</v>
      </c>
      <c r="L156" s="10">
        <f t="shared" si="20"/>
        <v>1388.7</v>
      </c>
    </row>
    <row r="157" spans="1:12" x14ac:dyDescent="0.3">
      <c r="A157" s="7">
        <v>358</v>
      </c>
      <c r="B157">
        <v>7</v>
      </c>
      <c r="C157">
        <v>20</v>
      </c>
      <c r="D157">
        <v>10</v>
      </c>
      <c r="E157" t="s">
        <v>21</v>
      </c>
      <c r="F157" s="10">
        <f t="shared" si="14"/>
        <v>26</v>
      </c>
      <c r="G157" s="14">
        <f t="shared" si="15"/>
        <v>71.599999999999994</v>
      </c>
      <c r="H157" s="7">
        <f t="shared" si="16"/>
        <v>466.6</v>
      </c>
      <c r="I157" s="10">
        <f t="shared" si="17"/>
        <v>455.6</v>
      </c>
      <c r="J157">
        <f t="shared" si="18"/>
        <v>1</v>
      </c>
      <c r="K157">
        <f t="shared" si="19"/>
        <v>11</v>
      </c>
      <c r="L157" s="10">
        <f t="shared" si="20"/>
        <v>466.6</v>
      </c>
    </row>
    <row r="158" spans="1:12" x14ac:dyDescent="0.3">
      <c r="A158" s="7">
        <v>6790</v>
      </c>
      <c r="B158">
        <v>13</v>
      </c>
      <c r="C158">
        <v>45</v>
      </c>
      <c r="D158">
        <v>1</v>
      </c>
      <c r="E158" t="s">
        <v>19</v>
      </c>
      <c r="F158" s="10">
        <f t="shared" si="14"/>
        <v>883</v>
      </c>
      <c r="G158" s="14">
        <f t="shared" si="15"/>
        <v>3055.5</v>
      </c>
      <c r="H158" s="7">
        <f t="shared" si="16"/>
        <v>4666</v>
      </c>
      <c r="I158" s="10">
        <f t="shared" si="17"/>
        <v>10728.5</v>
      </c>
      <c r="J158">
        <f t="shared" si="18"/>
        <v>0</v>
      </c>
      <c r="K158">
        <f t="shared" si="19"/>
        <v>0</v>
      </c>
      <c r="L158" s="10">
        <f t="shared" si="20"/>
        <v>10728.5</v>
      </c>
    </row>
    <row r="159" spans="1:12" x14ac:dyDescent="0.3">
      <c r="A159" s="7">
        <v>1010</v>
      </c>
      <c r="B159">
        <v>6</v>
      </c>
      <c r="C159">
        <v>25</v>
      </c>
      <c r="D159">
        <v>3</v>
      </c>
      <c r="E159" t="s">
        <v>15</v>
      </c>
      <c r="F159" s="10">
        <f t="shared" si="14"/>
        <v>61</v>
      </c>
      <c r="G159" s="14">
        <f t="shared" si="15"/>
        <v>252.5</v>
      </c>
      <c r="H159" s="7">
        <f t="shared" si="16"/>
        <v>1555.33</v>
      </c>
      <c r="I159" s="10">
        <f t="shared" si="17"/>
        <v>1323.5</v>
      </c>
      <c r="J159">
        <f t="shared" si="18"/>
        <v>1</v>
      </c>
      <c r="K159">
        <f t="shared" si="19"/>
        <v>231.82999999999993</v>
      </c>
      <c r="L159" s="10">
        <f t="shared" si="20"/>
        <v>1555.33</v>
      </c>
    </row>
    <row r="160" spans="1:12" x14ac:dyDescent="0.3">
      <c r="A160" s="7">
        <v>5100</v>
      </c>
      <c r="B160">
        <v>13</v>
      </c>
      <c r="C160">
        <v>45</v>
      </c>
      <c r="D160">
        <v>1</v>
      </c>
      <c r="E160" t="s">
        <v>20</v>
      </c>
      <c r="F160" s="10">
        <f t="shared" si="14"/>
        <v>663</v>
      </c>
      <c r="G160" s="14">
        <f t="shared" si="15"/>
        <v>2295</v>
      </c>
      <c r="H160" s="7">
        <f t="shared" si="16"/>
        <v>4666</v>
      </c>
      <c r="I160" s="10">
        <f t="shared" si="17"/>
        <v>8058</v>
      </c>
      <c r="J160">
        <f t="shared" si="18"/>
        <v>0</v>
      </c>
      <c r="K160">
        <f t="shared" si="19"/>
        <v>0</v>
      </c>
      <c r="L160" s="10">
        <f t="shared" si="20"/>
        <v>8058</v>
      </c>
    </row>
    <row r="161" spans="1:12" x14ac:dyDescent="0.3">
      <c r="A161" s="7">
        <v>447</v>
      </c>
      <c r="B161">
        <v>12</v>
      </c>
      <c r="C161">
        <v>25</v>
      </c>
      <c r="D161">
        <v>9</v>
      </c>
      <c r="E161" t="s">
        <v>19</v>
      </c>
      <c r="F161" s="10">
        <f t="shared" si="14"/>
        <v>54</v>
      </c>
      <c r="G161" s="14">
        <f t="shared" si="15"/>
        <v>111.75</v>
      </c>
      <c r="H161" s="7">
        <f t="shared" si="16"/>
        <v>518.44000000000005</v>
      </c>
      <c r="I161" s="10">
        <f t="shared" si="17"/>
        <v>612.75</v>
      </c>
      <c r="J161">
        <f t="shared" si="18"/>
        <v>0</v>
      </c>
      <c r="K161">
        <f t="shared" si="19"/>
        <v>0</v>
      </c>
      <c r="L161" s="10">
        <f t="shared" si="20"/>
        <v>612.75</v>
      </c>
    </row>
    <row r="162" spans="1:12" x14ac:dyDescent="0.3">
      <c r="A162" s="7">
        <v>3790</v>
      </c>
      <c r="B162">
        <v>2</v>
      </c>
      <c r="C162">
        <v>40</v>
      </c>
      <c r="D162">
        <v>1</v>
      </c>
      <c r="E162" t="s">
        <v>17</v>
      </c>
      <c r="F162" s="10">
        <f t="shared" si="14"/>
        <v>76</v>
      </c>
      <c r="G162" s="14">
        <f t="shared" si="15"/>
        <v>1516</v>
      </c>
      <c r="H162" s="7">
        <f t="shared" si="16"/>
        <v>4666</v>
      </c>
      <c r="I162" s="10">
        <f t="shared" si="17"/>
        <v>5382</v>
      </c>
      <c r="J162">
        <f t="shared" si="18"/>
        <v>0</v>
      </c>
      <c r="K162">
        <f t="shared" si="19"/>
        <v>0</v>
      </c>
      <c r="L162" s="10">
        <f t="shared" si="20"/>
        <v>5382</v>
      </c>
    </row>
    <row r="163" spans="1:12" x14ac:dyDescent="0.3">
      <c r="A163" s="7">
        <v>1320</v>
      </c>
      <c r="B163">
        <v>18</v>
      </c>
      <c r="C163">
        <v>25</v>
      </c>
      <c r="D163">
        <v>5</v>
      </c>
      <c r="E163" t="s">
        <v>20</v>
      </c>
      <c r="F163" s="10">
        <f t="shared" si="14"/>
        <v>238</v>
      </c>
      <c r="G163" s="14">
        <f t="shared" si="15"/>
        <v>330</v>
      </c>
      <c r="H163" s="7">
        <f t="shared" si="16"/>
        <v>933.2</v>
      </c>
      <c r="I163" s="10">
        <f t="shared" si="17"/>
        <v>1888</v>
      </c>
      <c r="J163">
        <f t="shared" si="18"/>
        <v>0</v>
      </c>
      <c r="K163">
        <f t="shared" si="19"/>
        <v>0</v>
      </c>
      <c r="L163" s="10">
        <f t="shared" si="20"/>
        <v>1888</v>
      </c>
    </row>
    <row r="164" spans="1:12" x14ac:dyDescent="0.3">
      <c r="A164" s="7">
        <v>808</v>
      </c>
      <c r="B164">
        <v>7</v>
      </c>
      <c r="C164">
        <v>45</v>
      </c>
      <c r="D164">
        <v>6</v>
      </c>
      <c r="E164" t="s">
        <v>20</v>
      </c>
      <c r="F164" s="10">
        <f t="shared" si="14"/>
        <v>57</v>
      </c>
      <c r="G164" s="14">
        <f t="shared" si="15"/>
        <v>363.6</v>
      </c>
      <c r="H164" s="7">
        <f t="shared" si="16"/>
        <v>777.67</v>
      </c>
      <c r="I164" s="10">
        <f t="shared" si="17"/>
        <v>1228.5999999999999</v>
      </c>
      <c r="J164">
        <f t="shared" si="18"/>
        <v>0</v>
      </c>
      <c r="K164">
        <f t="shared" si="19"/>
        <v>0</v>
      </c>
      <c r="L164" s="10">
        <f t="shared" si="20"/>
        <v>1228.5999999999999</v>
      </c>
    </row>
    <row r="165" spans="1:12" x14ac:dyDescent="0.3">
      <c r="A165" s="7">
        <v>1318</v>
      </c>
      <c r="B165">
        <v>16</v>
      </c>
      <c r="C165">
        <v>30</v>
      </c>
      <c r="D165">
        <v>5</v>
      </c>
      <c r="E165" t="s">
        <v>19</v>
      </c>
      <c r="F165" s="10">
        <f t="shared" si="14"/>
        <v>211</v>
      </c>
      <c r="G165" s="14">
        <f t="shared" si="15"/>
        <v>395.4</v>
      </c>
      <c r="H165" s="7">
        <f t="shared" si="16"/>
        <v>933.2</v>
      </c>
      <c r="I165" s="10">
        <f t="shared" si="17"/>
        <v>1924.4</v>
      </c>
      <c r="J165">
        <f t="shared" si="18"/>
        <v>0</v>
      </c>
      <c r="K165">
        <f t="shared" si="19"/>
        <v>0</v>
      </c>
      <c r="L165" s="10">
        <f t="shared" si="20"/>
        <v>1924.4</v>
      </c>
    </row>
    <row r="166" spans="1:12" x14ac:dyDescent="0.3">
      <c r="A166" s="7">
        <v>4690</v>
      </c>
      <c r="B166">
        <v>7</v>
      </c>
      <c r="C166">
        <v>0</v>
      </c>
      <c r="D166">
        <v>1</v>
      </c>
      <c r="E166" t="s">
        <v>21</v>
      </c>
      <c r="F166" s="10">
        <f t="shared" si="14"/>
        <v>329</v>
      </c>
      <c r="G166" s="14">
        <f t="shared" si="15"/>
        <v>0</v>
      </c>
      <c r="H166" s="7">
        <f t="shared" si="16"/>
        <v>4666</v>
      </c>
      <c r="I166" s="10">
        <f t="shared" si="17"/>
        <v>5019</v>
      </c>
      <c r="J166">
        <f t="shared" si="18"/>
        <v>0</v>
      </c>
      <c r="K166">
        <f t="shared" si="19"/>
        <v>0</v>
      </c>
      <c r="L166" s="10">
        <f t="shared" si="20"/>
        <v>5019</v>
      </c>
    </row>
    <row r="167" spans="1:12" x14ac:dyDescent="0.3">
      <c r="A167" s="7">
        <v>401</v>
      </c>
      <c r="B167">
        <v>4</v>
      </c>
      <c r="C167">
        <v>50</v>
      </c>
      <c r="D167">
        <v>7</v>
      </c>
      <c r="E167" t="s">
        <v>21</v>
      </c>
      <c r="F167" s="10">
        <f t="shared" si="14"/>
        <v>17</v>
      </c>
      <c r="G167" s="14">
        <f t="shared" si="15"/>
        <v>200.5</v>
      </c>
      <c r="H167" s="7">
        <f t="shared" si="16"/>
        <v>666.57</v>
      </c>
      <c r="I167" s="10">
        <f t="shared" si="17"/>
        <v>618.5</v>
      </c>
      <c r="J167">
        <f t="shared" si="18"/>
        <v>1</v>
      </c>
      <c r="K167">
        <f t="shared" si="19"/>
        <v>48.07000000000005</v>
      </c>
      <c r="L167" s="10">
        <f t="shared" si="20"/>
        <v>666.57</v>
      </c>
    </row>
    <row r="168" spans="1:12" x14ac:dyDescent="0.3">
      <c r="A168" s="7">
        <v>420</v>
      </c>
      <c r="B168">
        <v>15</v>
      </c>
      <c r="C168">
        <v>10</v>
      </c>
      <c r="D168">
        <v>8</v>
      </c>
      <c r="E168" t="s">
        <v>19</v>
      </c>
      <c r="F168" s="10">
        <f t="shared" si="14"/>
        <v>63</v>
      </c>
      <c r="G168" s="14">
        <f t="shared" si="15"/>
        <v>42</v>
      </c>
      <c r="H168" s="7">
        <f t="shared" si="16"/>
        <v>583.25</v>
      </c>
      <c r="I168" s="10">
        <f t="shared" si="17"/>
        <v>525</v>
      </c>
      <c r="J168">
        <f t="shared" si="18"/>
        <v>1</v>
      </c>
      <c r="K168">
        <f t="shared" si="19"/>
        <v>58.25</v>
      </c>
      <c r="L168" s="10">
        <f t="shared" si="20"/>
        <v>583.25</v>
      </c>
    </row>
    <row r="169" spans="1:12" x14ac:dyDescent="0.3">
      <c r="A169" s="7">
        <v>5490</v>
      </c>
      <c r="B169">
        <v>10</v>
      </c>
      <c r="C169">
        <v>45</v>
      </c>
      <c r="D169">
        <v>1</v>
      </c>
      <c r="E169" t="s">
        <v>17</v>
      </c>
      <c r="F169" s="10">
        <f t="shared" si="14"/>
        <v>549</v>
      </c>
      <c r="G169" s="14">
        <f t="shared" si="15"/>
        <v>2470.5</v>
      </c>
      <c r="H169" s="7">
        <f t="shared" si="16"/>
        <v>4666</v>
      </c>
      <c r="I169" s="10">
        <f t="shared" si="17"/>
        <v>8509.5</v>
      </c>
      <c r="J169">
        <f t="shared" si="18"/>
        <v>0</v>
      </c>
      <c r="K169">
        <f t="shared" si="19"/>
        <v>0</v>
      </c>
      <c r="L169" s="10">
        <f t="shared" si="20"/>
        <v>8509.5</v>
      </c>
    </row>
    <row r="170" spans="1:12" x14ac:dyDescent="0.3">
      <c r="A170" s="7">
        <v>647</v>
      </c>
      <c r="B170">
        <v>17</v>
      </c>
      <c r="C170">
        <v>10</v>
      </c>
      <c r="D170">
        <v>9</v>
      </c>
      <c r="E170" t="s">
        <v>16</v>
      </c>
      <c r="F170" s="10">
        <f t="shared" si="14"/>
        <v>110</v>
      </c>
      <c r="G170" s="14">
        <f t="shared" si="15"/>
        <v>64.7</v>
      </c>
      <c r="H170" s="7">
        <f t="shared" si="16"/>
        <v>518.44000000000005</v>
      </c>
      <c r="I170" s="10">
        <f t="shared" si="17"/>
        <v>821.7</v>
      </c>
      <c r="J170">
        <f t="shared" si="18"/>
        <v>0</v>
      </c>
      <c r="K170">
        <f t="shared" si="19"/>
        <v>0</v>
      </c>
      <c r="L170" s="10">
        <f t="shared" si="20"/>
        <v>821.7</v>
      </c>
    </row>
    <row r="171" spans="1:12" x14ac:dyDescent="0.3">
      <c r="A171" s="7">
        <v>6240</v>
      </c>
      <c r="B171">
        <v>5</v>
      </c>
      <c r="C171">
        <v>50</v>
      </c>
      <c r="D171">
        <v>1</v>
      </c>
      <c r="E171" t="s">
        <v>17</v>
      </c>
      <c r="F171" s="10">
        <f t="shared" si="14"/>
        <v>312</v>
      </c>
      <c r="G171" s="14">
        <f t="shared" si="15"/>
        <v>3120</v>
      </c>
      <c r="H171" s="7">
        <f t="shared" si="16"/>
        <v>4666</v>
      </c>
      <c r="I171" s="10">
        <f t="shared" si="17"/>
        <v>9672</v>
      </c>
      <c r="J171">
        <f t="shared" si="18"/>
        <v>0</v>
      </c>
      <c r="K171">
        <f t="shared" si="19"/>
        <v>0</v>
      </c>
      <c r="L171" s="10">
        <f t="shared" si="20"/>
        <v>9672</v>
      </c>
    </row>
    <row r="172" spans="1:12" x14ac:dyDescent="0.3">
      <c r="A172" s="7">
        <v>677.1</v>
      </c>
      <c r="B172">
        <v>6</v>
      </c>
      <c r="C172">
        <v>45</v>
      </c>
      <c r="D172">
        <v>6</v>
      </c>
      <c r="E172" t="s">
        <v>17</v>
      </c>
      <c r="F172" s="10">
        <f t="shared" si="14"/>
        <v>41</v>
      </c>
      <c r="G172" s="14">
        <f t="shared" si="15"/>
        <v>304.7</v>
      </c>
      <c r="H172" s="7">
        <f t="shared" si="16"/>
        <v>777.67</v>
      </c>
      <c r="I172" s="10">
        <f t="shared" si="17"/>
        <v>1022.8</v>
      </c>
      <c r="J172">
        <f t="shared" si="18"/>
        <v>0</v>
      </c>
      <c r="K172">
        <f t="shared" si="19"/>
        <v>0</v>
      </c>
      <c r="L172" s="10">
        <f t="shared" si="20"/>
        <v>1022.8</v>
      </c>
    </row>
    <row r="173" spans="1:12" x14ac:dyDescent="0.3">
      <c r="A173" s="7">
        <v>1324</v>
      </c>
      <c r="B173">
        <v>1</v>
      </c>
      <c r="C173">
        <v>10</v>
      </c>
      <c r="D173">
        <v>5</v>
      </c>
      <c r="E173" t="s">
        <v>20</v>
      </c>
      <c r="F173" s="10">
        <f t="shared" si="14"/>
        <v>14</v>
      </c>
      <c r="G173" s="14">
        <f t="shared" si="15"/>
        <v>132.4</v>
      </c>
      <c r="H173" s="7">
        <f t="shared" si="16"/>
        <v>933.2</v>
      </c>
      <c r="I173" s="10">
        <f t="shared" si="17"/>
        <v>1470.4</v>
      </c>
      <c r="J173">
        <f t="shared" si="18"/>
        <v>0</v>
      </c>
      <c r="K173">
        <f t="shared" si="19"/>
        <v>0</v>
      </c>
      <c r="L173" s="10">
        <f t="shared" si="20"/>
        <v>1470.4</v>
      </c>
    </row>
    <row r="174" spans="1:12" x14ac:dyDescent="0.3">
      <c r="A174" s="7">
        <v>1525</v>
      </c>
      <c r="B174">
        <v>17</v>
      </c>
      <c r="C174">
        <v>20</v>
      </c>
      <c r="D174">
        <v>2</v>
      </c>
      <c r="E174" t="s">
        <v>21</v>
      </c>
      <c r="F174" s="10">
        <f t="shared" si="14"/>
        <v>260</v>
      </c>
      <c r="G174" s="14">
        <f t="shared" si="15"/>
        <v>305</v>
      </c>
      <c r="H174" s="7">
        <f t="shared" si="16"/>
        <v>2333</v>
      </c>
      <c r="I174" s="10">
        <f t="shared" si="17"/>
        <v>2090</v>
      </c>
      <c r="J174">
        <f t="shared" si="18"/>
        <v>1</v>
      </c>
      <c r="K174">
        <f t="shared" si="19"/>
        <v>243</v>
      </c>
      <c r="L174" s="10">
        <f t="shared" si="20"/>
        <v>2333</v>
      </c>
    </row>
    <row r="175" spans="1:12" x14ac:dyDescent="0.3">
      <c r="A175" s="7">
        <v>4090</v>
      </c>
      <c r="B175">
        <v>9</v>
      </c>
      <c r="C175">
        <v>5</v>
      </c>
      <c r="D175">
        <v>1</v>
      </c>
      <c r="E175" t="s">
        <v>16</v>
      </c>
      <c r="F175" s="10">
        <f t="shared" si="14"/>
        <v>369</v>
      </c>
      <c r="G175" s="14">
        <f t="shared" si="15"/>
        <v>204.5</v>
      </c>
      <c r="H175" s="7">
        <f t="shared" si="16"/>
        <v>4666</v>
      </c>
      <c r="I175" s="10">
        <f t="shared" si="17"/>
        <v>4663.5</v>
      </c>
      <c r="J175">
        <f t="shared" si="18"/>
        <v>1</v>
      </c>
      <c r="K175">
        <f t="shared" si="19"/>
        <v>2.5</v>
      </c>
      <c r="L175" s="10">
        <f t="shared" si="20"/>
        <v>4666</v>
      </c>
    </row>
    <row r="176" spans="1:12" x14ac:dyDescent="0.3">
      <c r="A176" s="7">
        <v>4050</v>
      </c>
      <c r="B176">
        <v>14</v>
      </c>
      <c r="C176">
        <v>50</v>
      </c>
      <c r="D176">
        <v>1</v>
      </c>
      <c r="E176" t="s">
        <v>17</v>
      </c>
      <c r="F176" s="10">
        <f t="shared" si="14"/>
        <v>567</v>
      </c>
      <c r="G176" s="14">
        <f t="shared" si="15"/>
        <v>2025</v>
      </c>
      <c r="H176" s="7">
        <f t="shared" si="16"/>
        <v>4666</v>
      </c>
      <c r="I176" s="10">
        <f t="shared" si="17"/>
        <v>6642</v>
      </c>
      <c r="J176">
        <f t="shared" si="18"/>
        <v>0</v>
      </c>
      <c r="K176">
        <f t="shared" si="19"/>
        <v>0</v>
      </c>
      <c r="L176" s="10">
        <f t="shared" si="20"/>
        <v>6642</v>
      </c>
    </row>
    <row r="177" spans="1:12" x14ac:dyDescent="0.3">
      <c r="A177" s="7">
        <v>371</v>
      </c>
      <c r="B177">
        <v>12</v>
      </c>
      <c r="C177">
        <v>50</v>
      </c>
      <c r="D177">
        <v>10</v>
      </c>
      <c r="E177" t="s">
        <v>15</v>
      </c>
      <c r="F177" s="10">
        <f t="shared" si="14"/>
        <v>45</v>
      </c>
      <c r="G177" s="14">
        <f t="shared" si="15"/>
        <v>185.5</v>
      </c>
      <c r="H177" s="7">
        <f t="shared" si="16"/>
        <v>466.6</v>
      </c>
      <c r="I177" s="10">
        <f t="shared" si="17"/>
        <v>601.5</v>
      </c>
      <c r="J177">
        <f t="shared" si="18"/>
        <v>0</v>
      </c>
      <c r="K177">
        <f t="shared" si="19"/>
        <v>0</v>
      </c>
      <c r="L177" s="10">
        <f t="shared" si="20"/>
        <v>601.5</v>
      </c>
    </row>
    <row r="178" spans="1:12" x14ac:dyDescent="0.3">
      <c r="A178" s="7">
        <v>1014</v>
      </c>
      <c r="B178">
        <v>3</v>
      </c>
      <c r="C178">
        <v>0</v>
      </c>
      <c r="D178">
        <v>5</v>
      </c>
      <c r="E178" t="s">
        <v>16</v>
      </c>
      <c r="F178" s="10">
        <f t="shared" si="14"/>
        <v>31</v>
      </c>
      <c r="G178" s="14">
        <f t="shared" si="15"/>
        <v>0</v>
      </c>
      <c r="H178" s="7">
        <f t="shared" si="16"/>
        <v>933.2</v>
      </c>
      <c r="I178" s="10">
        <f t="shared" si="17"/>
        <v>1045</v>
      </c>
      <c r="J178">
        <f t="shared" si="18"/>
        <v>0</v>
      </c>
      <c r="K178">
        <f t="shared" si="19"/>
        <v>0</v>
      </c>
      <c r="L178" s="10">
        <f t="shared" si="20"/>
        <v>1045</v>
      </c>
    </row>
    <row r="179" spans="1:12" x14ac:dyDescent="0.3">
      <c r="A179" s="7">
        <v>517</v>
      </c>
      <c r="B179">
        <v>12</v>
      </c>
      <c r="C179">
        <v>15</v>
      </c>
      <c r="D179">
        <v>10</v>
      </c>
      <c r="E179" t="s">
        <v>16</v>
      </c>
      <c r="F179" s="10">
        <f t="shared" si="14"/>
        <v>63</v>
      </c>
      <c r="G179" s="14">
        <f t="shared" si="15"/>
        <v>77.55</v>
      </c>
      <c r="H179" s="7">
        <f t="shared" si="16"/>
        <v>466.6</v>
      </c>
      <c r="I179" s="10">
        <f t="shared" si="17"/>
        <v>657.55</v>
      </c>
      <c r="J179">
        <f t="shared" si="18"/>
        <v>0</v>
      </c>
      <c r="K179">
        <f t="shared" si="19"/>
        <v>0</v>
      </c>
      <c r="L179" s="10">
        <f t="shared" si="20"/>
        <v>657.55</v>
      </c>
    </row>
    <row r="180" spans="1:12" x14ac:dyDescent="0.3">
      <c r="A180" s="7">
        <v>5340</v>
      </c>
      <c r="B180">
        <v>4</v>
      </c>
      <c r="C180">
        <v>30</v>
      </c>
      <c r="D180">
        <v>1</v>
      </c>
      <c r="E180" t="s">
        <v>16</v>
      </c>
      <c r="F180" s="10">
        <f t="shared" si="14"/>
        <v>214</v>
      </c>
      <c r="G180" s="14">
        <f t="shared" si="15"/>
        <v>1602</v>
      </c>
      <c r="H180" s="7">
        <f t="shared" si="16"/>
        <v>4666</v>
      </c>
      <c r="I180" s="10">
        <f t="shared" si="17"/>
        <v>7156</v>
      </c>
      <c r="J180">
        <f t="shared" si="18"/>
        <v>0</v>
      </c>
      <c r="K180">
        <f t="shared" si="19"/>
        <v>0</v>
      </c>
      <c r="L180" s="10">
        <f t="shared" si="20"/>
        <v>7156</v>
      </c>
    </row>
    <row r="181" spans="1:12" x14ac:dyDescent="0.3">
      <c r="A181" s="7">
        <v>589</v>
      </c>
      <c r="B181">
        <v>3</v>
      </c>
      <c r="C181">
        <v>15</v>
      </c>
      <c r="D181">
        <v>7</v>
      </c>
      <c r="E181" t="s">
        <v>16</v>
      </c>
      <c r="F181" s="10">
        <f t="shared" si="14"/>
        <v>18</v>
      </c>
      <c r="G181" s="14">
        <f t="shared" si="15"/>
        <v>88.35</v>
      </c>
      <c r="H181" s="7">
        <f t="shared" si="16"/>
        <v>666.57</v>
      </c>
      <c r="I181" s="10">
        <f t="shared" si="17"/>
        <v>695.35</v>
      </c>
      <c r="J181">
        <f t="shared" si="18"/>
        <v>0</v>
      </c>
      <c r="K181">
        <f t="shared" si="19"/>
        <v>0</v>
      </c>
      <c r="L181" s="10">
        <f t="shared" si="20"/>
        <v>695.35</v>
      </c>
    </row>
    <row r="182" spans="1:12" x14ac:dyDescent="0.3">
      <c r="A182" s="7">
        <v>6900</v>
      </c>
      <c r="B182">
        <v>2</v>
      </c>
      <c r="C182">
        <v>10</v>
      </c>
      <c r="D182">
        <v>1</v>
      </c>
      <c r="E182" t="s">
        <v>19</v>
      </c>
      <c r="F182" s="10">
        <f t="shared" si="14"/>
        <v>138</v>
      </c>
      <c r="G182" s="14">
        <f t="shared" si="15"/>
        <v>690</v>
      </c>
      <c r="H182" s="7">
        <f t="shared" si="16"/>
        <v>4666</v>
      </c>
      <c r="I182" s="10">
        <f t="shared" si="17"/>
        <v>7728</v>
      </c>
      <c r="J182">
        <f t="shared" si="18"/>
        <v>0</v>
      </c>
      <c r="K182">
        <f t="shared" si="19"/>
        <v>0</v>
      </c>
      <c r="L182" s="10">
        <f t="shared" si="20"/>
        <v>7728</v>
      </c>
    </row>
    <row r="183" spans="1:12" x14ac:dyDescent="0.3">
      <c r="A183" s="7">
        <v>1963</v>
      </c>
      <c r="B183">
        <v>20</v>
      </c>
      <c r="C183">
        <v>45</v>
      </c>
      <c r="D183">
        <v>3</v>
      </c>
      <c r="E183" t="s">
        <v>15</v>
      </c>
      <c r="F183" s="10">
        <f t="shared" si="14"/>
        <v>393</v>
      </c>
      <c r="G183" s="14">
        <f t="shared" si="15"/>
        <v>883.35</v>
      </c>
      <c r="H183" s="7">
        <f t="shared" si="16"/>
        <v>1555.33</v>
      </c>
      <c r="I183" s="10">
        <f t="shared" si="17"/>
        <v>3239.35</v>
      </c>
      <c r="J183">
        <f t="shared" si="18"/>
        <v>0</v>
      </c>
      <c r="K183">
        <f t="shared" si="19"/>
        <v>0</v>
      </c>
      <c r="L183" s="10">
        <f t="shared" si="20"/>
        <v>3239.35</v>
      </c>
    </row>
    <row r="184" spans="1:12" x14ac:dyDescent="0.3">
      <c r="A184" s="7">
        <v>3490</v>
      </c>
      <c r="B184">
        <v>16</v>
      </c>
      <c r="C184">
        <v>35</v>
      </c>
      <c r="D184">
        <v>1</v>
      </c>
      <c r="E184" t="s">
        <v>17</v>
      </c>
      <c r="F184" s="10">
        <f t="shared" si="14"/>
        <v>559</v>
      </c>
      <c r="G184" s="14">
        <f t="shared" si="15"/>
        <v>1221.5</v>
      </c>
      <c r="H184" s="7">
        <f t="shared" si="16"/>
        <v>4666</v>
      </c>
      <c r="I184" s="10">
        <f t="shared" si="17"/>
        <v>5270.5</v>
      </c>
      <c r="J184">
        <f t="shared" si="18"/>
        <v>0</v>
      </c>
      <c r="K184">
        <f t="shared" si="19"/>
        <v>0</v>
      </c>
      <c r="L184" s="10">
        <f t="shared" si="20"/>
        <v>5270.5</v>
      </c>
    </row>
    <row r="185" spans="1:12" x14ac:dyDescent="0.3">
      <c r="A185" s="7">
        <v>6690</v>
      </c>
      <c r="B185">
        <v>7</v>
      </c>
      <c r="C185">
        <v>50</v>
      </c>
      <c r="D185">
        <v>1</v>
      </c>
      <c r="E185" t="s">
        <v>19</v>
      </c>
      <c r="F185" s="10">
        <f t="shared" si="14"/>
        <v>469</v>
      </c>
      <c r="G185" s="14">
        <f t="shared" si="15"/>
        <v>3345</v>
      </c>
      <c r="H185" s="7">
        <f t="shared" si="16"/>
        <v>4666</v>
      </c>
      <c r="I185" s="10">
        <f t="shared" si="17"/>
        <v>10504</v>
      </c>
      <c r="J185">
        <f t="shared" si="18"/>
        <v>0</v>
      </c>
      <c r="K185">
        <f t="shared" si="19"/>
        <v>0</v>
      </c>
      <c r="L185" s="10">
        <f t="shared" si="20"/>
        <v>10504</v>
      </c>
    </row>
    <row r="186" spans="1:12" x14ac:dyDescent="0.3">
      <c r="A186" s="7">
        <v>3830</v>
      </c>
      <c r="B186">
        <v>4</v>
      </c>
      <c r="C186">
        <v>5</v>
      </c>
      <c r="D186">
        <v>1</v>
      </c>
      <c r="E186" t="s">
        <v>16</v>
      </c>
      <c r="F186" s="10">
        <f t="shared" si="14"/>
        <v>154</v>
      </c>
      <c r="G186" s="14">
        <f t="shared" si="15"/>
        <v>191.5</v>
      </c>
      <c r="H186" s="7">
        <f t="shared" si="16"/>
        <v>4666</v>
      </c>
      <c r="I186" s="10">
        <f t="shared" si="17"/>
        <v>4175.5</v>
      </c>
      <c r="J186">
        <f t="shared" si="18"/>
        <v>1</v>
      </c>
      <c r="K186">
        <f t="shared" si="19"/>
        <v>490.5</v>
      </c>
      <c r="L186" s="10">
        <f t="shared" si="20"/>
        <v>4666</v>
      </c>
    </row>
    <row r="187" spans="1:12" x14ac:dyDescent="0.3">
      <c r="A187" s="7">
        <v>2095</v>
      </c>
      <c r="B187">
        <v>4</v>
      </c>
      <c r="C187">
        <v>15</v>
      </c>
      <c r="D187">
        <v>2</v>
      </c>
      <c r="E187" t="s">
        <v>18</v>
      </c>
      <c r="F187" s="10">
        <f t="shared" si="14"/>
        <v>84</v>
      </c>
      <c r="G187" s="14">
        <f t="shared" si="15"/>
        <v>314.25</v>
      </c>
      <c r="H187" s="7">
        <f t="shared" si="16"/>
        <v>2333</v>
      </c>
      <c r="I187" s="10">
        <f t="shared" si="17"/>
        <v>2493.25</v>
      </c>
      <c r="J187">
        <f t="shared" si="18"/>
        <v>0</v>
      </c>
      <c r="K187">
        <f t="shared" si="19"/>
        <v>0</v>
      </c>
      <c r="L187" s="10">
        <f t="shared" si="20"/>
        <v>2493.25</v>
      </c>
    </row>
    <row r="188" spans="1:12" x14ac:dyDescent="0.3">
      <c r="A188" s="7">
        <v>410</v>
      </c>
      <c r="B188">
        <v>12</v>
      </c>
      <c r="C188">
        <v>10</v>
      </c>
      <c r="D188">
        <v>8</v>
      </c>
      <c r="E188" t="s">
        <v>20</v>
      </c>
      <c r="F188" s="10">
        <f t="shared" si="14"/>
        <v>50</v>
      </c>
      <c r="G188" s="14">
        <f t="shared" si="15"/>
        <v>41</v>
      </c>
      <c r="H188" s="7">
        <f t="shared" si="16"/>
        <v>583.25</v>
      </c>
      <c r="I188" s="10">
        <f t="shared" si="17"/>
        <v>501</v>
      </c>
      <c r="J188">
        <f t="shared" si="18"/>
        <v>1</v>
      </c>
      <c r="K188">
        <f t="shared" si="19"/>
        <v>82.25</v>
      </c>
      <c r="L188" s="10">
        <f t="shared" si="20"/>
        <v>583.25</v>
      </c>
    </row>
    <row r="189" spans="1:12" x14ac:dyDescent="0.3">
      <c r="A189" s="7">
        <v>3160</v>
      </c>
      <c r="B189">
        <v>8</v>
      </c>
      <c r="C189">
        <v>50</v>
      </c>
      <c r="D189">
        <v>1</v>
      </c>
      <c r="E189" t="s">
        <v>20</v>
      </c>
      <c r="F189" s="10">
        <f t="shared" si="14"/>
        <v>253</v>
      </c>
      <c r="G189" s="14">
        <f t="shared" si="15"/>
        <v>1580</v>
      </c>
      <c r="H189" s="7">
        <f t="shared" si="16"/>
        <v>4666</v>
      </c>
      <c r="I189" s="10">
        <f t="shared" si="17"/>
        <v>4993</v>
      </c>
      <c r="J189">
        <f t="shared" si="18"/>
        <v>0</v>
      </c>
      <c r="K189">
        <f t="shared" si="19"/>
        <v>0</v>
      </c>
      <c r="L189" s="10">
        <f t="shared" si="20"/>
        <v>4993</v>
      </c>
    </row>
    <row r="190" spans="1:12" x14ac:dyDescent="0.3">
      <c r="A190" s="7">
        <v>1174</v>
      </c>
      <c r="B190">
        <v>9</v>
      </c>
      <c r="C190">
        <v>35</v>
      </c>
      <c r="D190">
        <v>5</v>
      </c>
      <c r="E190" t="s">
        <v>21</v>
      </c>
      <c r="F190" s="10">
        <f t="shared" si="14"/>
        <v>106</v>
      </c>
      <c r="G190" s="14">
        <f t="shared" si="15"/>
        <v>410.9</v>
      </c>
      <c r="H190" s="7">
        <f t="shared" si="16"/>
        <v>933.2</v>
      </c>
      <c r="I190" s="10">
        <f t="shared" si="17"/>
        <v>1690.9</v>
      </c>
      <c r="J190">
        <f t="shared" si="18"/>
        <v>0</v>
      </c>
      <c r="K190">
        <f t="shared" si="19"/>
        <v>0</v>
      </c>
      <c r="L190" s="10">
        <f t="shared" si="20"/>
        <v>1690.9</v>
      </c>
    </row>
    <row r="191" spans="1:12" x14ac:dyDescent="0.3">
      <c r="A191" s="7">
        <v>5570</v>
      </c>
      <c r="B191">
        <v>10</v>
      </c>
      <c r="C191">
        <v>40</v>
      </c>
      <c r="D191">
        <v>1</v>
      </c>
      <c r="E191" t="s">
        <v>19</v>
      </c>
      <c r="F191" s="10">
        <f t="shared" si="14"/>
        <v>557</v>
      </c>
      <c r="G191" s="14">
        <f t="shared" si="15"/>
        <v>2228</v>
      </c>
      <c r="H191" s="7">
        <f t="shared" si="16"/>
        <v>4666</v>
      </c>
      <c r="I191" s="10">
        <f t="shared" si="17"/>
        <v>8355</v>
      </c>
      <c r="J191">
        <f t="shared" si="18"/>
        <v>0</v>
      </c>
      <c r="K191">
        <f t="shared" si="19"/>
        <v>0</v>
      </c>
      <c r="L191" s="10">
        <f t="shared" si="20"/>
        <v>8355</v>
      </c>
    </row>
    <row r="192" spans="1:12" x14ac:dyDescent="0.3">
      <c r="A192" s="7">
        <v>794</v>
      </c>
      <c r="B192">
        <v>16</v>
      </c>
      <c r="C192">
        <v>50</v>
      </c>
      <c r="D192">
        <v>7</v>
      </c>
      <c r="E192" t="s">
        <v>16</v>
      </c>
      <c r="F192" s="10">
        <f t="shared" si="14"/>
        <v>128</v>
      </c>
      <c r="G192" s="14">
        <f t="shared" si="15"/>
        <v>397</v>
      </c>
      <c r="H192" s="7">
        <f t="shared" si="16"/>
        <v>666.57</v>
      </c>
      <c r="I192" s="10">
        <f t="shared" si="17"/>
        <v>1319</v>
      </c>
      <c r="J192">
        <f t="shared" si="18"/>
        <v>0</v>
      </c>
      <c r="K192">
        <f t="shared" si="19"/>
        <v>0</v>
      </c>
      <c r="L192" s="10">
        <f t="shared" si="20"/>
        <v>1319</v>
      </c>
    </row>
    <row r="193" spans="1:12" x14ac:dyDescent="0.3">
      <c r="A193" s="7">
        <v>339</v>
      </c>
      <c r="B193">
        <v>19</v>
      </c>
      <c r="C193">
        <v>45</v>
      </c>
      <c r="D193">
        <v>9</v>
      </c>
      <c r="E193" t="s">
        <v>20</v>
      </c>
      <c r="F193" s="10">
        <f t="shared" si="14"/>
        <v>65</v>
      </c>
      <c r="G193" s="14">
        <f t="shared" si="15"/>
        <v>152.55000000000001</v>
      </c>
      <c r="H193" s="7">
        <f t="shared" si="16"/>
        <v>518.44000000000005</v>
      </c>
      <c r="I193" s="10">
        <f t="shared" si="17"/>
        <v>556.54999999999995</v>
      </c>
      <c r="J193">
        <f t="shared" si="18"/>
        <v>0</v>
      </c>
      <c r="K193">
        <f t="shared" si="19"/>
        <v>0</v>
      </c>
      <c r="L193" s="10">
        <f t="shared" si="20"/>
        <v>556.54999999999995</v>
      </c>
    </row>
    <row r="194" spans="1:12" x14ac:dyDescent="0.3">
      <c r="A194" s="7">
        <v>500</v>
      </c>
      <c r="B194">
        <v>11</v>
      </c>
      <c r="C194">
        <v>20</v>
      </c>
      <c r="D194">
        <v>6</v>
      </c>
      <c r="E194" t="s">
        <v>20</v>
      </c>
      <c r="F194" s="10">
        <f t="shared" si="14"/>
        <v>55</v>
      </c>
      <c r="G194" s="14">
        <f t="shared" si="15"/>
        <v>100</v>
      </c>
      <c r="H194" s="7">
        <f t="shared" si="16"/>
        <v>777.67</v>
      </c>
      <c r="I194" s="10">
        <f t="shared" si="17"/>
        <v>655</v>
      </c>
      <c r="J194">
        <f t="shared" si="18"/>
        <v>1</v>
      </c>
      <c r="K194">
        <f t="shared" si="19"/>
        <v>122.66999999999996</v>
      </c>
      <c r="L194" s="10">
        <f t="shared" si="20"/>
        <v>777.67</v>
      </c>
    </row>
    <row r="195" spans="1:12" x14ac:dyDescent="0.3">
      <c r="A195" s="7">
        <v>1186</v>
      </c>
      <c r="B195">
        <v>11</v>
      </c>
      <c r="C195">
        <v>10</v>
      </c>
      <c r="D195">
        <v>5</v>
      </c>
      <c r="E195" t="s">
        <v>17</v>
      </c>
      <c r="F195" s="10">
        <f t="shared" ref="F195:F258" si="21">ROUNDUP(0.01*B195*A195,0)</f>
        <v>131</v>
      </c>
      <c r="G195" s="14">
        <f t="shared" ref="G195:G258" si="22">ROUND(C195/100*A195,2)</f>
        <v>118.6</v>
      </c>
      <c r="H195" s="7">
        <f t="shared" ref="H195:H258" si="23">ROUND(4666/D195:D694,2)</f>
        <v>933.2</v>
      </c>
      <c r="I195" s="10">
        <f t="shared" ref="I195:I258" si="24">G195+A195+F195</f>
        <v>1435.6</v>
      </c>
      <c r="J195">
        <f t="shared" ref="J195:J258" si="25">IF(H195&gt;I195,1,0)</f>
        <v>0</v>
      </c>
      <c r="K195">
        <f t="shared" ref="K195:K258" si="26">IF(J195=1,H195-I195,0)</f>
        <v>0</v>
      </c>
      <c r="L195" s="10">
        <f t="shared" ref="L195:L258" si="27">I195+K195</f>
        <v>1435.6</v>
      </c>
    </row>
    <row r="196" spans="1:12" x14ac:dyDescent="0.3">
      <c r="A196" s="7">
        <v>1815</v>
      </c>
      <c r="B196">
        <v>5</v>
      </c>
      <c r="C196">
        <v>35</v>
      </c>
      <c r="D196">
        <v>2</v>
      </c>
      <c r="E196" t="s">
        <v>17</v>
      </c>
      <c r="F196" s="10">
        <f t="shared" si="21"/>
        <v>91</v>
      </c>
      <c r="G196" s="14">
        <f t="shared" si="22"/>
        <v>635.25</v>
      </c>
      <c r="H196" s="7">
        <f t="shared" si="23"/>
        <v>2333</v>
      </c>
      <c r="I196" s="10">
        <f t="shared" si="24"/>
        <v>2541.25</v>
      </c>
      <c r="J196">
        <f t="shared" si="25"/>
        <v>0</v>
      </c>
      <c r="K196">
        <f t="shared" si="26"/>
        <v>0</v>
      </c>
      <c r="L196" s="10">
        <f t="shared" si="27"/>
        <v>2541.25</v>
      </c>
    </row>
    <row r="197" spans="1:12" x14ac:dyDescent="0.3">
      <c r="A197" s="7">
        <v>1236</v>
      </c>
      <c r="B197">
        <v>8</v>
      </c>
      <c r="C197">
        <v>15</v>
      </c>
      <c r="D197">
        <v>5</v>
      </c>
      <c r="E197" t="s">
        <v>16</v>
      </c>
      <c r="F197" s="10">
        <f t="shared" si="21"/>
        <v>99</v>
      </c>
      <c r="G197" s="14">
        <f t="shared" si="22"/>
        <v>185.4</v>
      </c>
      <c r="H197" s="7">
        <f t="shared" si="23"/>
        <v>933.2</v>
      </c>
      <c r="I197" s="10">
        <f t="shared" si="24"/>
        <v>1520.4</v>
      </c>
      <c r="J197">
        <f t="shared" si="25"/>
        <v>0</v>
      </c>
      <c r="K197">
        <f t="shared" si="26"/>
        <v>0</v>
      </c>
      <c r="L197" s="10">
        <f t="shared" si="27"/>
        <v>1520.4</v>
      </c>
    </row>
    <row r="198" spans="1:12" x14ac:dyDescent="0.3">
      <c r="A198" s="7">
        <v>324</v>
      </c>
      <c r="B198">
        <v>18</v>
      </c>
      <c r="C198">
        <v>30</v>
      </c>
      <c r="D198">
        <v>9</v>
      </c>
      <c r="E198" t="s">
        <v>16</v>
      </c>
      <c r="F198" s="10">
        <f t="shared" si="21"/>
        <v>59</v>
      </c>
      <c r="G198" s="14">
        <f t="shared" si="22"/>
        <v>97.2</v>
      </c>
      <c r="H198" s="7">
        <f t="shared" si="23"/>
        <v>518.44000000000005</v>
      </c>
      <c r="I198" s="10">
        <f t="shared" si="24"/>
        <v>480.2</v>
      </c>
      <c r="J198">
        <f t="shared" si="25"/>
        <v>1</v>
      </c>
      <c r="K198">
        <f t="shared" si="26"/>
        <v>38.240000000000066</v>
      </c>
      <c r="L198" s="10">
        <f t="shared" si="27"/>
        <v>518.44000000000005</v>
      </c>
    </row>
    <row r="199" spans="1:12" x14ac:dyDescent="0.3">
      <c r="A199" s="7">
        <v>504</v>
      </c>
      <c r="B199">
        <v>9</v>
      </c>
      <c r="C199">
        <v>20</v>
      </c>
      <c r="D199">
        <v>9</v>
      </c>
      <c r="E199" t="s">
        <v>20</v>
      </c>
      <c r="F199" s="10">
        <f t="shared" si="21"/>
        <v>46</v>
      </c>
      <c r="G199" s="14">
        <f t="shared" si="22"/>
        <v>100.8</v>
      </c>
      <c r="H199" s="7">
        <f t="shared" si="23"/>
        <v>518.44000000000005</v>
      </c>
      <c r="I199" s="10">
        <f t="shared" si="24"/>
        <v>650.79999999999995</v>
      </c>
      <c r="J199">
        <f t="shared" si="25"/>
        <v>0</v>
      </c>
      <c r="K199">
        <f t="shared" si="26"/>
        <v>0</v>
      </c>
      <c r="L199" s="10">
        <f t="shared" si="27"/>
        <v>650.79999999999995</v>
      </c>
    </row>
    <row r="200" spans="1:12" x14ac:dyDescent="0.3">
      <c r="A200" s="7">
        <v>475</v>
      </c>
      <c r="B200">
        <v>11</v>
      </c>
      <c r="C200">
        <v>40</v>
      </c>
      <c r="D200">
        <v>10</v>
      </c>
      <c r="E200" t="s">
        <v>20</v>
      </c>
      <c r="F200" s="10">
        <f t="shared" si="21"/>
        <v>53</v>
      </c>
      <c r="G200" s="14">
        <f t="shared" si="22"/>
        <v>190</v>
      </c>
      <c r="H200" s="7">
        <f t="shared" si="23"/>
        <v>466.6</v>
      </c>
      <c r="I200" s="10">
        <f t="shared" si="24"/>
        <v>718</v>
      </c>
      <c r="J200">
        <f t="shared" si="25"/>
        <v>0</v>
      </c>
      <c r="K200">
        <f t="shared" si="26"/>
        <v>0</v>
      </c>
      <c r="L200" s="10">
        <f t="shared" si="27"/>
        <v>718</v>
      </c>
    </row>
    <row r="201" spans="1:12" x14ac:dyDescent="0.3">
      <c r="A201" s="7">
        <v>360</v>
      </c>
      <c r="B201">
        <v>4</v>
      </c>
      <c r="C201">
        <v>35</v>
      </c>
      <c r="D201">
        <v>8</v>
      </c>
      <c r="E201" t="s">
        <v>17</v>
      </c>
      <c r="F201" s="10">
        <f t="shared" si="21"/>
        <v>15</v>
      </c>
      <c r="G201" s="14">
        <f t="shared" si="22"/>
        <v>126</v>
      </c>
      <c r="H201" s="7">
        <f t="shared" si="23"/>
        <v>583.25</v>
      </c>
      <c r="I201" s="10">
        <f t="shared" si="24"/>
        <v>501</v>
      </c>
      <c r="J201">
        <f t="shared" si="25"/>
        <v>1</v>
      </c>
      <c r="K201">
        <f t="shared" si="26"/>
        <v>82.25</v>
      </c>
      <c r="L201" s="10">
        <f t="shared" si="27"/>
        <v>583.25</v>
      </c>
    </row>
    <row r="202" spans="1:12" x14ac:dyDescent="0.3">
      <c r="A202" s="7">
        <v>1340</v>
      </c>
      <c r="B202">
        <v>0</v>
      </c>
      <c r="C202">
        <v>5</v>
      </c>
      <c r="D202">
        <v>5</v>
      </c>
      <c r="E202" t="s">
        <v>19</v>
      </c>
      <c r="F202" s="10">
        <f t="shared" si="21"/>
        <v>0</v>
      </c>
      <c r="G202" s="14">
        <f t="shared" si="22"/>
        <v>67</v>
      </c>
      <c r="H202" s="7">
        <f t="shared" si="23"/>
        <v>933.2</v>
      </c>
      <c r="I202" s="10">
        <f t="shared" si="24"/>
        <v>1407</v>
      </c>
      <c r="J202">
        <f t="shared" si="25"/>
        <v>0</v>
      </c>
      <c r="K202">
        <f t="shared" si="26"/>
        <v>0</v>
      </c>
      <c r="L202" s="10">
        <f t="shared" si="27"/>
        <v>1407</v>
      </c>
    </row>
    <row r="203" spans="1:12" x14ac:dyDescent="0.3">
      <c r="A203" s="7">
        <v>1067</v>
      </c>
      <c r="B203">
        <v>2</v>
      </c>
      <c r="C203">
        <v>30</v>
      </c>
      <c r="D203">
        <v>3</v>
      </c>
      <c r="E203" t="s">
        <v>21</v>
      </c>
      <c r="F203" s="10">
        <f t="shared" si="21"/>
        <v>22</v>
      </c>
      <c r="G203" s="14">
        <f t="shared" si="22"/>
        <v>320.10000000000002</v>
      </c>
      <c r="H203" s="7">
        <f t="shared" si="23"/>
        <v>1555.33</v>
      </c>
      <c r="I203" s="10">
        <f t="shared" si="24"/>
        <v>1409.1</v>
      </c>
      <c r="J203">
        <f t="shared" si="25"/>
        <v>1</v>
      </c>
      <c r="K203">
        <f t="shared" si="26"/>
        <v>146.23000000000002</v>
      </c>
      <c r="L203" s="10">
        <f t="shared" si="27"/>
        <v>1555.33</v>
      </c>
    </row>
    <row r="204" spans="1:12" x14ac:dyDescent="0.3">
      <c r="A204" s="7">
        <v>4330</v>
      </c>
      <c r="B204">
        <v>7</v>
      </c>
      <c r="C204">
        <v>50</v>
      </c>
      <c r="D204">
        <v>1</v>
      </c>
      <c r="E204" t="s">
        <v>15</v>
      </c>
      <c r="F204" s="10">
        <f t="shared" si="21"/>
        <v>304</v>
      </c>
      <c r="G204" s="14">
        <f t="shared" si="22"/>
        <v>2165</v>
      </c>
      <c r="H204" s="7">
        <f t="shared" si="23"/>
        <v>4666</v>
      </c>
      <c r="I204" s="10">
        <f t="shared" si="24"/>
        <v>6799</v>
      </c>
      <c r="J204">
        <f t="shared" si="25"/>
        <v>0</v>
      </c>
      <c r="K204">
        <f t="shared" si="26"/>
        <v>0</v>
      </c>
      <c r="L204" s="10">
        <f t="shared" si="27"/>
        <v>6799</v>
      </c>
    </row>
    <row r="205" spans="1:12" x14ac:dyDescent="0.3">
      <c r="A205" s="7">
        <v>4170</v>
      </c>
      <c r="B205">
        <v>12</v>
      </c>
      <c r="C205">
        <v>35</v>
      </c>
      <c r="D205">
        <v>1</v>
      </c>
      <c r="E205" t="s">
        <v>18</v>
      </c>
      <c r="F205" s="10">
        <f t="shared" si="21"/>
        <v>501</v>
      </c>
      <c r="G205" s="14">
        <f t="shared" si="22"/>
        <v>1459.5</v>
      </c>
      <c r="H205" s="7">
        <f t="shared" si="23"/>
        <v>4666</v>
      </c>
      <c r="I205" s="10">
        <f t="shared" si="24"/>
        <v>6130.5</v>
      </c>
      <c r="J205">
        <f t="shared" si="25"/>
        <v>0</v>
      </c>
      <c r="K205">
        <f t="shared" si="26"/>
        <v>0</v>
      </c>
      <c r="L205" s="10">
        <f t="shared" si="27"/>
        <v>6130.5</v>
      </c>
    </row>
    <row r="206" spans="1:12" x14ac:dyDescent="0.3">
      <c r="A206" s="7">
        <v>1860</v>
      </c>
      <c r="B206">
        <v>8</v>
      </c>
      <c r="C206">
        <v>30</v>
      </c>
      <c r="D206">
        <v>3</v>
      </c>
      <c r="E206" t="s">
        <v>17</v>
      </c>
      <c r="F206" s="10">
        <f t="shared" si="21"/>
        <v>149</v>
      </c>
      <c r="G206" s="14">
        <f t="shared" si="22"/>
        <v>558</v>
      </c>
      <c r="H206" s="7">
        <f t="shared" si="23"/>
        <v>1555.33</v>
      </c>
      <c r="I206" s="10">
        <f t="shared" si="24"/>
        <v>2567</v>
      </c>
      <c r="J206">
        <f t="shared" si="25"/>
        <v>0</v>
      </c>
      <c r="K206">
        <f t="shared" si="26"/>
        <v>0</v>
      </c>
      <c r="L206" s="10">
        <f t="shared" si="27"/>
        <v>2567</v>
      </c>
    </row>
    <row r="207" spans="1:12" x14ac:dyDescent="0.3">
      <c r="A207" s="7">
        <v>6550</v>
      </c>
      <c r="B207">
        <v>8</v>
      </c>
      <c r="C207">
        <v>30</v>
      </c>
      <c r="D207">
        <v>1</v>
      </c>
      <c r="E207" t="s">
        <v>19</v>
      </c>
      <c r="F207" s="10">
        <f t="shared" si="21"/>
        <v>524</v>
      </c>
      <c r="G207" s="14">
        <f t="shared" si="22"/>
        <v>1965</v>
      </c>
      <c r="H207" s="7">
        <f t="shared" si="23"/>
        <v>4666</v>
      </c>
      <c r="I207" s="10">
        <f t="shared" si="24"/>
        <v>9039</v>
      </c>
      <c r="J207">
        <f t="shared" si="25"/>
        <v>0</v>
      </c>
      <c r="K207">
        <f t="shared" si="26"/>
        <v>0</v>
      </c>
      <c r="L207" s="10">
        <f t="shared" si="27"/>
        <v>9039</v>
      </c>
    </row>
    <row r="208" spans="1:12" x14ac:dyDescent="0.3">
      <c r="A208" s="7">
        <v>6790</v>
      </c>
      <c r="B208">
        <v>13</v>
      </c>
      <c r="C208">
        <v>40</v>
      </c>
      <c r="D208">
        <v>1</v>
      </c>
      <c r="E208" t="s">
        <v>19</v>
      </c>
      <c r="F208" s="10">
        <f t="shared" si="21"/>
        <v>883</v>
      </c>
      <c r="G208" s="14">
        <f t="shared" si="22"/>
        <v>2716</v>
      </c>
      <c r="H208" s="7">
        <f t="shared" si="23"/>
        <v>4666</v>
      </c>
      <c r="I208" s="10">
        <f t="shared" si="24"/>
        <v>10389</v>
      </c>
      <c r="J208">
        <f t="shared" si="25"/>
        <v>0</v>
      </c>
      <c r="K208">
        <f t="shared" si="26"/>
        <v>0</v>
      </c>
      <c r="L208" s="10">
        <f t="shared" si="27"/>
        <v>10389</v>
      </c>
    </row>
    <row r="209" spans="1:12" x14ac:dyDescent="0.3">
      <c r="A209" s="7">
        <v>4600</v>
      </c>
      <c r="B209">
        <v>11</v>
      </c>
      <c r="C209">
        <v>30</v>
      </c>
      <c r="D209">
        <v>1</v>
      </c>
      <c r="E209" t="s">
        <v>16</v>
      </c>
      <c r="F209" s="10">
        <f t="shared" si="21"/>
        <v>506</v>
      </c>
      <c r="G209" s="14">
        <f t="shared" si="22"/>
        <v>1380</v>
      </c>
      <c r="H209" s="7">
        <f t="shared" si="23"/>
        <v>4666</v>
      </c>
      <c r="I209" s="10">
        <f t="shared" si="24"/>
        <v>6486</v>
      </c>
      <c r="J209">
        <f t="shared" si="25"/>
        <v>0</v>
      </c>
      <c r="K209">
        <f t="shared" si="26"/>
        <v>0</v>
      </c>
      <c r="L209" s="10">
        <f t="shared" si="27"/>
        <v>6486</v>
      </c>
    </row>
    <row r="210" spans="1:12" x14ac:dyDescent="0.3">
      <c r="A210" s="7">
        <v>5720</v>
      </c>
      <c r="B210">
        <v>15</v>
      </c>
      <c r="C210">
        <v>0</v>
      </c>
      <c r="D210">
        <v>1</v>
      </c>
      <c r="E210" t="s">
        <v>19</v>
      </c>
      <c r="F210" s="10">
        <f t="shared" si="21"/>
        <v>858</v>
      </c>
      <c r="G210" s="14">
        <f t="shared" si="22"/>
        <v>0</v>
      </c>
      <c r="H210" s="7">
        <f t="shared" si="23"/>
        <v>4666</v>
      </c>
      <c r="I210" s="10">
        <f t="shared" si="24"/>
        <v>6578</v>
      </c>
      <c r="J210">
        <f t="shared" si="25"/>
        <v>0</v>
      </c>
      <c r="K210">
        <f t="shared" si="26"/>
        <v>0</v>
      </c>
      <c r="L210" s="10">
        <f t="shared" si="27"/>
        <v>6578</v>
      </c>
    </row>
    <row r="211" spans="1:12" x14ac:dyDescent="0.3">
      <c r="A211" s="7">
        <v>1102</v>
      </c>
      <c r="B211">
        <v>12</v>
      </c>
      <c r="C211">
        <v>10</v>
      </c>
      <c r="D211">
        <v>5</v>
      </c>
      <c r="E211" t="s">
        <v>15</v>
      </c>
      <c r="F211" s="10">
        <f t="shared" si="21"/>
        <v>133</v>
      </c>
      <c r="G211" s="14">
        <f t="shared" si="22"/>
        <v>110.2</v>
      </c>
      <c r="H211" s="7">
        <f t="shared" si="23"/>
        <v>933.2</v>
      </c>
      <c r="I211" s="10">
        <f t="shared" si="24"/>
        <v>1345.2</v>
      </c>
      <c r="J211">
        <f t="shared" si="25"/>
        <v>0</v>
      </c>
      <c r="K211">
        <f t="shared" si="26"/>
        <v>0</v>
      </c>
      <c r="L211" s="10">
        <f t="shared" si="27"/>
        <v>1345.2</v>
      </c>
    </row>
    <row r="212" spans="1:12" x14ac:dyDescent="0.3">
      <c r="A212" s="7">
        <v>999</v>
      </c>
      <c r="B212">
        <v>20</v>
      </c>
      <c r="C212">
        <v>50</v>
      </c>
      <c r="D212">
        <v>7</v>
      </c>
      <c r="E212" t="s">
        <v>17</v>
      </c>
      <c r="F212" s="10">
        <f t="shared" si="21"/>
        <v>200</v>
      </c>
      <c r="G212" s="14">
        <f t="shared" si="22"/>
        <v>499.5</v>
      </c>
      <c r="H212" s="7">
        <f t="shared" si="23"/>
        <v>666.57</v>
      </c>
      <c r="I212" s="10">
        <f t="shared" si="24"/>
        <v>1698.5</v>
      </c>
      <c r="J212">
        <f t="shared" si="25"/>
        <v>0</v>
      </c>
      <c r="K212">
        <f t="shared" si="26"/>
        <v>0</v>
      </c>
      <c r="L212" s="10">
        <f t="shared" si="27"/>
        <v>1698.5</v>
      </c>
    </row>
    <row r="213" spans="1:12" x14ac:dyDescent="0.3">
      <c r="A213" s="7">
        <v>5130</v>
      </c>
      <c r="B213">
        <v>17</v>
      </c>
      <c r="C213">
        <v>45</v>
      </c>
      <c r="D213">
        <v>1</v>
      </c>
      <c r="E213" t="s">
        <v>21</v>
      </c>
      <c r="F213" s="10">
        <f t="shared" si="21"/>
        <v>873</v>
      </c>
      <c r="G213" s="14">
        <f t="shared" si="22"/>
        <v>2308.5</v>
      </c>
      <c r="H213" s="7">
        <f t="shared" si="23"/>
        <v>4666</v>
      </c>
      <c r="I213" s="10">
        <f t="shared" si="24"/>
        <v>8311.5</v>
      </c>
      <c r="J213">
        <f t="shared" si="25"/>
        <v>0</v>
      </c>
      <c r="K213">
        <f t="shared" si="26"/>
        <v>0</v>
      </c>
      <c r="L213" s="10">
        <f t="shared" si="27"/>
        <v>8311.5</v>
      </c>
    </row>
    <row r="214" spans="1:12" x14ac:dyDescent="0.3">
      <c r="A214" s="7">
        <v>2115</v>
      </c>
      <c r="B214">
        <v>10</v>
      </c>
      <c r="C214">
        <v>50</v>
      </c>
      <c r="D214">
        <v>2</v>
      </c>
      <c r="E214" t="s">
        <v>17</v>
      </c>
      <c r="F214" s="10">
        <f t="shared" si="21"/>
        <v>212</v>
      </c>
      <c r="G214" s="14">
        <f t="shared" si="22"/>
        <v>1057.5</v>
      </c>
      <c r="H214" s="7">
        <f t="shared" si="23"/>
        <v>2333</v>
      </c>
      <c r="I214" s="10">
        <f t="shared" si="24"/>
        <v>3384.5</v>
      </c>
      <c r="J214">
        <f t="shared" si="25"/>
        <v>0</v>
      </c>
      <c r="K214">
        <f t="shared" si="26"/>
        <v>0</v>
      </c>
      <c r="L214" s="10">
        <f t="shared" si="27"/>
        <v>3384.5</v>
      </c>
    </row>
    <row r="215" spans="1:12" x14ac:dyDescent="0.3">
      <c r="A215" s="7">
        <v>1455</v>
      </c>
      <c r="B215">
        <v>13</v>
      </c>
      <c r="C215">
        <v>40</v>
      </c>
      <c r="D215">
        <v>4</v>
      </c>
      <c r="E215" t="s">
        <v>15</v>
      </c>
      <c r="F215" s="10">
        <f t="shared" si="21"/>
        <v>190</v>
      </c>
      <c r="G215" s="14">
        <f t="shared" si="22"/>
        <v>582</v>
      </c>
      <c r="H215" s="7">
        <f t="shared" si="23"/>
        <v>1166.5</v>
      </c>
      <c r="I215" s="10">
        <f t="shared" si="24"/>
        <v>2227</v>
      </c>
      <c r="J215">
        <f t="shared" si="25"/>
        <v>0</v>
      </c>
      <c r="K215">
        <f t="shared" si="26"/>
        <v>0</v>
      </c>
      <c r="L215" s="10">
        <f t="shared" si="27"/>
        <v>2227</v>
      </c>
    </row>
    <row r="216" spans="1:12" x14ac:dyDescent="0.3">
      <c r="A216" s="7">
        <v>1138</v>
      </c>
      <c r="B216">
        <v>13</v>
      </c>
      <c r="C216">
        <v>10</v>
      </c>
      <c r="D216">
        <v>5</v>
      </c>
      <c r="E216" t="s">
        <v>20</v>
      </c>
      <c r="F216" s="10">
        <f t="shared" si="21"/>
        <v>148</v>
      </c>
      <c r="G216" s="14">
        <f t="shared" si="22"/>
        <v>113.8</v>
      </c>
      <c r="H216" s="7">
        <f t="shared" si="23"/>
        <v>933.2</v>
      </c>
      <c r="I216" s="10">
        <f t="shared" si="24"/>
        <v>1399.8</v>
      </c>
      <c r="J216">
        <f t="shared" si="25"/>
        <v>0</v>
      </c>
      <c r="K216">
        <f t="shared" si="26"/>
        <v>0</v>
      </c>
      <c r="L216" s="10">
        <f t="shared" si="27"/>
        <v>1399.8</v>
      </c>
    </row>
    <row r="217" spans="1:12" x14ac:dyDescent="0.3">
      <c r="A217" s="7">
        <v>490</v>
      </c>
      <c r="B217">
        <v>10</v>
      </c>
      <c r="C217">
        <v>30</v>
      </c>
      <c r="D217">
        <v>7</v>
      </c>
      <c r="E217" t="s">
        <v>19</v>
      </c>
      <c r="F217" s="10">
        <f t="shared" si="21"/>
        <v>49</v>
      </c>
      <c r="G217" s="14">
        <f t="shared" si="22"/>
        <v>147</v>
      </c>
      <c r="H217" s="7">
        <f t="shared" si="23"/>
        <v>666.57</v>
      </c>
      <c r="I217" s="10">
        <f t="shared" si="24"/>
        <v>686</v>
      </c>
      <c r="J217">
        <f t="shared" si="25"/>
        <v>0</v>
      </c>
      <c r="K217">
        <f t="shared" si="26"/>
        <v>0</v>
      </c>
      <c r="L217" s="10">
        <f t="shared" si="27"/>
        <v>686</v>
      </c>
    </row>
    <row r="218" spans="1:12" x14ac:dyDescent="0.3">
      <c r="A218" s="7">
        <v>2800</v>
      </c>
      <c r="B218">
        <v>7</v>
      </c>
      <c r="C218">
        <v>30</v>
      </c>
      <c r="D218">
        <v>2</v>
      </c>
      <c r="E218" t="s">
        <v>21</v>
      </c>
      <c r="F218" s="10">
        <f t="shared" si="21"/>
        <v>196</v>
      </c>
      <c r="G218" s="14">
        <f t="shared" si="22"/>
        <v>840</v>
      </c>
      <c r="H218" s="7">
        <f t="shared" si="23"/>
        <v>2333</v>
      </c>
      <c r="I218" s="10">
        <f t="shared" si="24"/>
        <v>3836</v>
      </c>
      <c r="J218">
        <f t="shared" si="25"/>
        <v>0</v>
      </c>
      <c r="K218">
        <f t="shared" si="26"/>
        <v>0</v>
      </c>
      <c r="L218" s="10">
        <f t="shared" si="27"/>
        <v>3836</v>
      </c>
    </row>
    <row r="219" spans="1:12" x14ac:dyDescent="0.3">
      <c r="A219" s="7">
        <v>3770</v>
      </c>
      <c r="B219">
        <v>13</v>
      </c>
      <c r="C219">
        <v>5</v>
      </c>
      <c r="D219">
        <v>1</v>
      </c>
      <c r="E219" t="s">
        <v>20</v>
      </c>
      <c r="F219" s="10">
        <f t="shared" si="21"/>
        <v>491</v>
      </c>
      <c r="G219" s="14">
        <f t="shared" si="22"/>
        <v>188.5</v>
      </c>
      <c r="H219" s="7">
        <f t="shared" si="23"/>
        <v>4666</v>
      </c>
      <c r="I219" s="10">
        <f t="shared" si="24"/>
        <v>4449.5</v>
      </c>
      <c r="J219">
        <f t="shared" si="25"/>
        <v>1</v>
      </c>
      <c r="K219">
        <f t="shared" si="26"/>
        <v>216.5</v>
      </c>
      <c r="L219" s="10">
        <f t="shared" si="27"/>
        <v>4666</v>
      </c>
    </row>
    <row r="220" spans="1:12" x14ac:dyDescent="0.3">
      <c r="A220" s="7">
        <v>917</v>
      </c>
      <c r="B220">
        <v>8</v>
      </c>
      <c r="C220">
        <v>5</v>
      </c>
      <c r="D220">
        <v>7</v>
      </c>
      <c r="E220" t="s">
        <v>20</v>
      </c>
      <c r="F220" s="10">
        <f t="shared" si="21"/>
        <v>74</v>
      </c>
      <c r="G220" s="14">
        <f t="shared" si="22"/>
        <v>45.85</v>
      </c>
      <c r="H220" s="7">
        <f t="shared" si="23"/>
        <v>666.57</v>
      </c>
      <c r="I220" s="10">
        <f t="shared" si="24"/>
        <v>1036.8499999999999</v>
      </c>
      <c r="J220">
        <f t="shared" si="25"/>
        <v>0</v>
      </c>
      <c r="K220">
        <f t="shared" si="26"/>
        <v>0</v>
      </c>
      <c r="L220" s="10">
        <f t="shared" si="27"/>
        <v>1036.8499999999999</v>
      </c>
    </row>
    <row r="221" spans="1:12" x14ac:dyDescent="0.3">
      <c r="A221" s="7">
        <v>776</v>
      </c>
      <c r="B221">
        <v>12</v>
      </c>
      <c r="C221">
        <v>20</v>
      </c>
      <c r="D221">
        <v>7</v>
      </c>
      <c r="E221" t="s">
        <v>16</v>
      </c>
      <c r="F221" s="10">
        <f t="shared" si="21"/>
        <v>94</v>
      </c>
      <c r="G221" s="14">
        <f t="shared" si="22"/>
        <v>155.19999999999999</v>
      </c>
      <c r="H221" s="7">
        <f t="shared" si="23"/>
        <v>666.57</v>
      </c>
      <c r="I221" s="10">
        <f t="shared" si="24"/>
        <v>1025.2</v>
      </c>
      <c r="J221">
        <f t="shared" si="25"/>
        <v>0</v>
      </c>
      <c r="K221">
        <f t="shared" si="26"/>
        <v>0</v>
      </c>
      <c r="L221" s="10">
        <f t="shared" si="27"/>
        <v>1025.2</v>
      </c>
    </row>
    <row r="222" spans="1:12" x14ac:dyDescent="0.3">
      <c r="A222" s="7">
        <v>5030</v>
      </c>
      <c r="B222">
        <v>9</v>
      </c>
      <c r="C222">
        <v>0</v>
      </c>
      <c r="D222">
        <v>1</v>
      </c>
      <c r="E222" t="s">
        <v>18</v>
      </c>
      <c r="F222" s="10">
        <f t="shared" si="21"/>
        <v>453</v>
      </c>
      <c r="G222" s="14">
        <f t="shared" si="22"/>
        <v>0</v>
      </c>
      <c r="H222" s="7">
        <f t="shared" si="23"/>
        <v>4666</v>
      </c>
      <c r="I222" s="10">
        <f t="shared" si="24"/>
        <v>5483</v>
      </c>
      <c r="J222">
        <f t="shared" si="25"/>
        <v>0</v>
      </c>
      <c r="K222">
        <f t="shared" si="26"/>
        <v>0</v>
      </c>
      <c r="L222" s="10">
        <f t="shared" si="27"/>
        <v>5483</v>
      </c>
    </row>
    <row r="223" spans="1:12" x14ac:dyDescent="0.3">
      <c r="A223" s="7">
        <v>773</v>
      </c>
      <c r="B223">
        <v>9</v>
      </c>
      <c r="C223">
        <v>5</v>
      </c>
      <c r="D223">
        <v>8</v>
      </c>
      <c r="E223" t="s">
        <v>19</v>
      </c>
      <c r="F223" s="10">
        <f t="shared" si="21"/>
        <v>70</v>
      </c>
      <c r="G223" s="14">
        <f t="shared" si="22"/>
        <v>38.65</v>
      </c>
      <c r="H223" s="7">
        <f t="shared" si="23"/>
        <v>583.25</v>
      </c>
      <c r="I223" s="10">
        <f t="shared" si="24"/>
        <v>881.65</v>
      </c>
      <c r="J223">
        <f t="shared" si="25"/>
        <v>0</v>
      </c>
      <c r="K223">
        <f t="shared" si="26"/>
        <v>0</v>
      </c>
      <c r="L223" s="10">
        <f t="shared" si="27"/>
        <v>881.65</v>
      </c>
    </row>
    <row r="224" spans="1:12" x14ac:dyDescent="0.3">
      <c r="A224" s="7">
        <v>1727</v>
      </c>
      <c r="B224">
        <v>19</v>
      </c>
      <c r="C224">
        <v>25</v>
      </c>
      <c r="D224">
        <v>3</v>
      </c>
      <c r="E224" t="s">
        <v>18</v>
      </c>
      <c r="F224" s="10">
        <f t="shared" si="21"/>
        <v>329</v>
      </c>
      <c r="G224" s="14">
        <f t="shared" si="22"/>
        <v>431.75</v>
      </c>
      <c r="H224" s="7">
        <f t="shared" si="23"/>
        <v>1555.33</v>
      </c>
      <c r="I224" s="10">
        <f t="shared" si="24"/>
        <v>2487.75</v>
      </c>
      <c r="J224">
        <f t="shared" si="25"/>
        <v>0</v>
      </c>
      <c r="K224">
        <f t="shared" si="26"/>
        <v>0</v>
      </c>
      <c r="L224" s="10">
        <f t="shared" si="27"/>
        <v>2487.75</v>
      </c>
    </row>
    <row r="225" spans="1:12" x14ac:dyDescent="0.3">
      <c r="A225" s="7">
        <v>1588</v>
      </c>
      <c r="B225">
        <v>6</v>
      </c>
      <c r="C225">
        <v>15</v>
      </c>
      <c r="D225">
        <v>4</v>
      </c>
      <c r="E225" t="s">
        <v>21</v>
      </c>
      <c r="F225" s="10">
        <f t="shared" si="21"/>
        <v>96</v>
      </c>
      <c r="G225" s="14">
        <f t="shared" si="22"/>
        <v>238.2</v>
      </c>
      <c r="H225" s="7">
        <f t="shared" si="23"/>
        <v>1166.5</v>
      </c>
      <c r="I225" s="10">
        <f t="shared" si="24"/>
        <v>1922.2</v>
      </c>
      <c r="J225">
        <f t="shared" si="25"/>
        <v>0</v>
      </c>
      <c r="K225">
        <f t="shared" si="26"/>
        <v>0</v>
      </c>
      <c r="L225" s="10">
        <f t="shared" si="27"/>
        <v>1922.2</v>
      </c>
    </row>
    <row r="226" spans="1:12" x14ac:dyDescent="0.3">
      <c r="A226" s="7">
        <v>5340</v>
      </c>
      <c r="B226">
        <v>16</v>
      </c>
      <c r="C226">
        <v>30</v>
      </c>
      <c r="D226">
        <v>1</v>
      </c>
      <c r="E226" t="s">
        <v>20</v>
      </c>
      <c r="F226" s="10">
        <f t="shared" si="21"/>
        <v>855</v>
      </c>
      <c r="G226" s="14">
        <f t="shared" si="22"/>
        <v>1602</v>
      </c>
      <c r="H226" s="7">
        <f t="shared" si="23"/>
        <v>4666</v>
      </c>
      <c r="I226" s="10">
        <f t="shared" si="24"/>
        <v>7797</v>
      </c>
      <c r="J226">
        <f t="shared" si="25"/>
        <v>0</v>
      </c>
      <c r="K226">
        <f t="shared" si="26"/>
        <v>0</v>
      </c>
      <c r="L226" s="10">
        <f t="shared" si="27"/>
        <v>7797</v>
      </c>
    </row>
    <row r="227" spans="1:12" x14ac:dyDescent="0.3">
      <c r="A227" s="7">
        <v>424</v>
      </c>
      <c r="B227">
        <v>2</v>
      </c>
      <c r="C227">
        <v>15</v>
      </c>
      <c r="D227">
        <v>8</v>
      </c>
      <c r="E227" t="s">
        <v>18</v>
      </c>
      <c r="F227" s="10">
        <f t="shared" si="21"/>
        <v>9</v>
      </c>
      <c r="G227" s="14">
        <f t="shared" si="22"/>
        <v>63.6</v>
      </c>
      <c r="H227" s="7">
        <f t="shared" si="23"/>
        <v>583.25</v>
      </c>
      <c r="I227" s="10">
        <f t="shared" si="24"/>
        <v>496.6</v>
      </c>
      <c r="J227">
        <f t="shared" si="25"/>
        <v>1</v>
      </c>
      <c r="K227">
        <f t="shared" si="26"/>
        <v>86.649999999999977</v>
      </c>
      <c r="L227" s="10">
        <f t="shared" si="27"/>
        <v>583.25</v>
      </c>
    </row>
    <row r="228" spans="1:12" x14ac:dyDescent="0.3">
      <c r="A228" s="7">
        <v>2255</v>
      </c>
      <c r="B228">
        <v>9</v>
      </c>
      <c r="C228">
        <v>30</v>
      </c>
      <c r="D228">
        <v>2</v>
      </c>
      <c r="E228" t="s">
        <v>19</v>
      </c>
      <c r="F228" s="10">
        <f t="shared" si="21"/>
        <v>203</v>
      </c>
      <c r="G228" s="14">
        <f t="shared" si="22"/>
        <v>676.5</v>
      </c>
      <c r="H228" s="7">
        <f t="shared" si="23"/>
        <v>2333</v>
      </c>
      <c r="I228" s="10">
        <f t="shared" si="24"/>
        <v>3134.5</v>
      </c>
      <c r="J228">
        <f t="shared" si="25"/>
        <v>0</v>
      </c>
      <c r="K228">
        <f t="shared" si="26"/>
        <v>0</v>
      </c>
      <c r="L228" s="10">
        <f t="shared" si="27"/>
        <v>3134.5</v>
      </c>
    </row>
    <row r="229" spans="1:12" x14ac:dyDescent="0.3">
      <c r="A229" s="7">
        <v>3280</v>
      </c>
      <c r="B229">
        <v>10</v>
      </c>
      <c r="C229">
        <v>20</v>
      </c>
      <c r="D229">
        <v>1</v>
      </c>
      <c r="E229" t="s">
        <v>20</v>
      </c>
      <c r="F229" s="10">
        <f t="shared" si="21"/>
        <v>328</v>
      </c>
      <c r="G229" s="14">
        <f t="shared" si="22"/>
        <v>656</v>
      </c>
      <c r="H229" s="7">
        <f t="shared" si="23"/>
        <v>4666</v>
      </c>
      <c r="I229" s="10">
        <f t="shared" si="24"/>
        <v>4264</v>
      </c>
      <c r="J229">
        <f t="shared" si="25"/>
        <v>1</v>
      </c>
      <c r="K229">
        <f t="shared" si="26"/>
        <v>402</v>
      </c>
      <c r="L229" s="10">
        <f t="shared" si="27"/>
        <v>4666</v>
      </c>
    </row>
    <row r="230" spans="1:12" x14ac:dyDescent="0.3">
      <c r="A230" s="7">
        <v>1197</v>
      </c>
      <c r="B230">
        <v>14</v>
      </c>
      <c r="C230">
        <v>5</v>
      </c>
      <c r="D230">
        <v>3</v>
      </c>
      <c r="E230" t="s">
        <v>21</v>
      </c>
      <c r="F230" s="10">
        <f t="shared" si="21"/>
        <v>168</v>
      </c>
      <c r="G230" s="14">
        <f t="shared" si="22"/>
        <v>59.85</v>
      </c>
      <c r="H230" s="7">
        <f t="shared" si="23"/>
        <v>1555.33</v>
      </c>
      <c r="I230" s="10">
        <f t="shared" si="24"/>
        <v>1424.85</v>
      </c>
      <c r="J230">
        <f t="shared" si="25"/>
        <v>1</v>
      </c>
      <c r="K230">
        <f t="shared" si="26"/>
        <v>130.48000000000002</v>
      </c>
      <c r="L230" s="10">
        <f t="shared" si="27"/>
        <v>1555.33</v>
      </c>
    </row>
    <row r="231" spans="1:12" x14ac:dyDescent="0.3">
      <c r="A231" s="7">
        <v>710.1</v>
      </c>
      <c r="B231">
        <v>2</v>
      </c>
      <c r="C231">
        <v>10</v>
      </c>
      <c r="D231">
        <v>5</v>
      </c>
      <c r="E231" t="s">
        <v>21</v>
      </c>
      <c r="F231" s="10">
        <f t="shared" si="21"/>
        <v>15</v>
      </c>
      <c r="G231" s="14">
        <f t="shared" si="22"/>
        <v>71.010000000000005</v>
      </c>
      <c r="H231" s="7">
        <f t="shared" si="23"/>
        <v>933.2</v>
      </c>
      <c r="I231" s="10">
        <f t="shared" si="24"/>
        <v>796.11</v>
      </c>
      <c r="J231">
        <f t="shared" si="25"/>
        <v>1</v>
      </c>
      <c r="K231">
        <f t="shared" si="26"/>
        <v>137.09000000000003</v>
      </c>
      <c r="L231" s="10">
        <f t="shared" si="27"/>
        <v>933.2</v>
      </c>
    </row>
    <row r="232" spans="1:12" x14ac:dyDescent="0.3">
      <c r="A232" s="7">
        <v>6320</v>
      </c>
      <c r="B232">
        <v>2</v>
      </c>
      <c r="C232">
        <v>50</v>
      </c>
      <c r="D232">
        <v>1</v>
      </c>
      <c r="E232" t="s">
        <v>21</v>
      </c>
      <c r="F232" s="10">
        <f t="shared" si="21"/>
        <v>127</v>
      </c>
      <c r="G232" s="14">
        <f t="shared" si="22"/>
        <v>3160</v>
      </c>
      <c r="H232" s="7">
        <f t="shared" si="23"/>
        <v>4666</v>
      </c>
      <c r="I232" s="10">
        <f t="shared" si="24"/>
        <v>9607</v>
      </c>
      <c r="J232">
        <f t="shared" si="25"/>
        <v>0</v>
      </c>
      <c r="K232">
        <f t="shared" si="26"/>
        <v>0</v>
      </c>
      <c r="L232" s="10">
        <f t="shared" si="27"/>
        <v>9607</v>
      </c>
    </row>
    <row r="233" spans="1:12" x14ac:dyDescent="0.3">
      <c r="A233" s="7">
        <v>5250</v>
      </c>
      <c r="B233">
        <v>2</v>
      </c>
      <c r="C233">
        <v>50</v>
      </c>
      <c r="D233">
        <v>1</v>
      </c>
      <c r="E233" t="s">
        <v>16</v>
      </c>
      <c r="F233" s="10">
        <f t="shared" si="21"/>
        <v>105</v>
      </c>
      <c r="G233" s="14">
        <f t="shared" si="22"/>
        <v>2625</v>
      </c>
      <c r="H233" s="7">
        <f t="shared" si="23"/>
        <v>4666</v>
      </c>
      <c r="I233" s="10">
        <f t="shared" si="24"/>
        <v>7980</v>
      </c>
      <c r="J233">
        <f t="shared" si="25"/>
        <v>0</v>
      </c>
      <c r="K233">
        <f t="shared" si="26"/>
        <v>0</v>
      </c>
      <c r="L233" s="10">
        <f t="shared" si="27"/>
        <v>7980</v>
      </c>
    </row>
    <row r="234" spans="1:12" x14ac:dyDescent="0.3">
      <c r="A234" s="7">
        <v>2005</v>
      </c>
      <c r="B234">
        <v>18</v>
      </c>
      <c r="C234">
        <v>45</v>
      </c>
      <c r="D234">
        <v>2</v>
      </c>
      <c r="E234" t="s">
        <v>20</v>
      </c>
      <c r="F234" s="10">
        <f t="shared" si="21"/>
        <v>361</v>
      </c>
      <c r="G234" s="14">
        <f t="shared" si="22"/>
        <v>902.25</v>
      </c>
      <c r="H234" s="7">
        <f t="shared" si="23"/>
        <v>2333</v>
      </c>
      <c r="I234" s="10">
        <f t="shared" si="24"/>
        <v>3268.25</v>
      </c>
      <c r="J234">
        <f t="shared" si="25"/>
        <v>0</v>
      </c>
      <c r="K234">
        <f t="shared" si="26"/>
        <v>0</v>
      </c>
      <c r="L234" s="10">
        <f t="shared" si="27"/>
        <v>3268.25</v>
      </c>
    </row>
    <row r="235" spans="1:12" x14ac:dyDescent="0.3">
      <c r="A235" s="7">
        <v>973.3</v>
      </c>
      <c r="B235">
        <v>16</v>
      </c>
      <c r="C235">
        <v>35</v>
      </c>
      <c r="D235">
        <v>7</v>
      </c>
      <c r="E235" t="s">
        <v>20</v>
      </c>
      <c r="F235" s="10">
        <f t="shared" si="21"/>
        <v>156</v>
      </c>
      <c r="G235" s="14">
        <f t="shared" si="22"/>
        <v>340.66</v>
      </c>
      <c r="H235" s="7">
        <f t="shared" si="23"/>
        <v>666.57</v>
      </c>
      <c r="I235" s="10">
        <f t="shared" si="24"/>
        <v>1469.96</v>
      </c>
      <c r="J235">
        <f t="shared" si="25"/>
        <v>0</v>
      </c>
      <c r="K235">
        <f t="shared" si="26"/>
        <v>0</v>
      </c>
      <c r="L235" s="10">
        <f t="shared" si="27"/>
        <v>1469.96</v>
      </c>
    </row>
    <row r="236" spans="1:12" x14ac:dyDescent="0.3">
      <c r="A236" s="7">
        <v>1890</v>
      </c>
      <c r="B236">
        <v>0</v>
      </c>
      <c r="C236">
        <v>45</v>
      </c>
      <c r="D236">
        <v>3</v>
      </c>
      <c r="E236" t="s">
        <v>17</v>
      </c>
      <c r="F236" s="10">
        <f t="shared" si="21"/>
        <v>0</v>
      </c>
      <c r="G236" s="14">
        <f t="shared" si="22"/>
        <v>850.5</v>
      </c>
      <c r="H236" s="7">
        <f t="shared" si="23"/>
        <v>1555.33</v>
      </c>
      <c r="I236" s="10">
        <f t="shared" si="24"/>
        <v>2740.5</v>
      </c>
      <c r="J236">
        <f t="shared" si="25"/>
        <v>0</v>
      </c>
      <c r="K236">
        <f t="shared" si="26"/>
        <v>0</v>
      </c>
      <c r="L236" s="10">
        <f t="shared" si="27"/>
        <v>2740.5</v>
      </c>
    </row>
    <row r="237" spans="1:12" x14ac:dyDescent="0.3">
      <c r="A237" s="7">
        <v>815</v>
      </c>
      <c r="B237">
        <v>8</v>
      </c>
      <c r="C237">
        <v>20</v>
      </c>
      <c r="D237">
        <v>8</v>
      </c>
      <c r="E237" t="s">
        <v>16</v>
      </c>
      <c r="F237" s="10">
        <f t="shared" si="21"/>
        <v>66</v>
      </c>
      <c r="G237" s="14">
        <f t="shared" si="22"/>
        <v>163</v>
      </c>
      <c r="H237" s="7">
        <f t="shared" si="23"/>
        <v>583.25</v>
      </c>
      <c r="I237" s="10">
        <f t="shared" si="24"/>
        <v>1044</v>
      </c>
      <c r="J237">
        <f t="shared" si="25"/>
        <v>0</v>
      </c>
      <c r="K237">
        <f t="shared" si="26"/>
        <v>0</v>
      </c>
      <c r="L237" s="10">
        <f t="shared" si="27"/>
        <v>1044</v>
      </c>
    </row>
    <row r="238" spans="1:12" x14ac:dyDescent="0.3">
      <c r="A238" s="7">
        <v>2960</v>
      </c>
      <c r="B238">
        <v>15</v>
      </c>
      <c r="C238">
        <v>20</v>
      </c>
      <c r="D238">
        <v>1</v>
      </c>
      <c r="E238" t="s">
        <v>20</v>
      </c>
      <c r="F238" s="10">
        <f t="shared" si="21"/>
        <v>444</v>
      </c>
      <c r="G238" s="14">
        <f t="shared" si="22"/>
        <v>592</v>
      </c>
      <c r="H238" s="7">
        <f t="shared" si="23"/>
        <v>4666</v>
      </c>
      <c r="I238" s="10">
        <f t="shared" si="24"/>
        <v>3996</v>
      </c>
      <c r="J238">
        <f t="shared" si="25"/>
        <v>1</v>
      </c>
      <c r="K238">
        <f t="shared" si="26"/>
        <v>670</v>
      </c>
      <c r="L238" s="10">
        <f t="shared" si="27"/>
        <v>4666</v>
      </c>
    </row>
    <row r="239" spans="1:12" x14ac:dyDescent="0.3">
      <c r="A239" s="7">
        <v>5430</v>
      </c>
      <c r="B239">
        <v>19</v>
      </c>
      <c r="C239">
        <v>15</v>
      </c>
      <c r="D239">
        <v>1</v>
      </c>
      <c r="E239" t="s">
        <v>18</v>
      </c>
      <c r="F239" s="10">
        <f t="shared" si="21"/>
        <v>1032</v>
      </c>
      <c r="G239" s="14">
        <f t="shared" si="22"/>
        <v>814.5</v>
      </c>
      <c r="H239" s="7">
        <f t="shared" si="23"/>
        <v>4666</v>
      </c>
      <c r="I239" s="10">
        <f t="shared" si="24"/>
        <v>7276.5</v>
      </c>
      <c r="J239">
        <f t="shared" si="25"/>
        <v>0</v>
      </c>
      <c r="K239">
        <f t="shared" si="26"/>
        <v>0</v>
      </c>
      <c r="L239" s="10">
        <f t="shared" si="27"/>
        <v>7276.5</v>
      </c>
    </row>
    <row r="240" spans="1:12" x14ac:dyDescent="0.3">
      <c r="A240" s="7">
        <v>2115</v>
      </c>
      <c r="B240">
        <v>6</v>
      </c>
      <c r="C240">
        <v>45</v>
      </c>
      <c r="D240">
        <v>2</v>
      </c>
      <c r="E240" t="s">
        <v>17</v>
      </c>
      <c r="F240" s="10">
        <f t="shared" si="21"/>
        <v>127</v>
      </c>
      <c r="G240" s="14">
        <f t="shared" si="22"/>
        <v>951.75</v>
      </c>
      <c r="H240" s="7">
        <f t="shared" si="23"/>
        <v>2333</v>
      </c>
      <c r="I240" s="10">
        <f t="shared" si="24"/>
        <v>3193.75</v>
      </c>
      <c r="J240">
        <f t="shared" si="25"/>
        <v>0</v>
      </c>
      <c r="K240">
        <f t="shared" si="26"/>
        <v>0</v>
      </c>
      <c r="L240" s="10">
        <f t="shared" si="27"/>
        <v>3193.75</v>
      </c>
    </row>
    <row r="241" spans="1:12" x14ac:dyDescent="0.3">
      <c r="A241" s="7">
        <v>1643</v>
      </c>
      <c r="B241">
        <v>1</v>
      </c>
      <c r="C241">
        <v>35</v>
      </c>
      <c r="D241">
        <v>3</v>
      </c>
      <c r="E241" t="s">
        <v>17</v>
      </c>
      <c r="F241" s="10">
        <f t="shared" si="21"/>
        <v>17</v>
      </c>
      <c r="G241" s="14">
        <f t="shared" si="22"/>
        <v>575.04999999999995</v>
      </c>
      <c r="H241" s="7">
        <f t="shared" si="23"/>
        <v>1555.33</v>
      </c>
      <c r="I241" s="10">
        <f t="shared" si="24"/>
        <v>2235.0500000000002</v>
      </c>
      <c r="J241">
        <f t="shared" si="25"/>
        <v>0</v>
      </c>
      <c r="K241">
        <f t="shared" si="26"/>
        <v>0</v>
      </c>
      <c r="L241" s="10">
        <f t="shared" si="27"/>
        <v>2235.0500000000002</v>
      </c>
    </row>
    <row r="242" spans="1:12" x14ac:dyDescent="0.3">
      <c r="A242" s="7">
        <v>2320</v>
      </c>
      <c r="B242">
        <v>10</v>
      </c>
      <c r="C242">
        <v>25</v>
      </c>
      <c r="D242">
        <v>3</v>
      </c>
      <c r="E242" t="s">
        <v>16</v>
      </c>
      <c r="F242" s="10">
        <f t="shared" si="21"/>
        <v>232</v>
      </c>
      <c r="G242" s="14">
        <f t="shared" si="22"/>
        <v>580</v>
      </c>
      <c r="H242" s="7">
        <f t="shared" si="23"/>
        <v>1555.33</v>
      </c>
      <c r="I242" s="10">
        <f t="shared" si="24"/>
        <v>3132</v>
      </c>
      <c r="J242">
        <f t="shared" si="25"/>
        <v>0</v>
      </c>
      <c r="K242">
        <f t="shared" si="26"/>
        <v>0</v>
      </c>
      <c r="L242" s="10">
        <f t="shared" si="27"/>
        <v>3132</v>
      </c>
    </row>
    <row r="243" spans="1:12" x14ac:dyDescent="0.3">
      <c r="A243" s="7">
        <v>1183</v>
      </c>
      <c r="B243">
        <v>19</v>
      </c>
      <c r="C243">
        <v>20</v>
      </c>
      <c r="D243">
        <v>4</v>
      </c>
      <c r="E243" t="s">
        <v>18</v>
      </c>
      <c r="F243" s="10">
        <f t="shared" si="21"/>
        <v>225</v>
      </c>
      <c r="G243" s="14">
        <f t="shared" si="22"/>
        <v>236.6</v>
      </c>
      <c r="H243" s="7">
        <f t="shared" si="23"/>
        <v>1166.5</v>
      </c>
      <c r="I243" s="10">
        <f t="shared" si="24"/>
        <v>1644.6</v>
      </c>
      <c r="J243">
        <f t="shared" si="25"/>
        <v>0</v>
      </c>
      <c r="K243">
        <f t="shared" si="26"/>
        <v>0</v>
      </c>
      <c r="L243" s="10">
        <f t="shared" si="27"/>
        <v>1644.6</v>
      </c>
    </row>
    <row r="244" spans="1:12" x14ac:dyDescent="0.3">
      <c r="A244" s="7">
        <v>676</v>
      </c>
      <c r="B244">
        <v>11</v>
      </c>
      <c r="C244">
        <v>50</v>
      </c>
      <c r="D244">
        <v>7</v>
      </c>
      <c r="E244" t="s">
        <v>20</v>
      </c>
      <c r="F244" s="10">
        <f t="shared" si="21"/>
        <v>75</v>
      </c>
      <c r="G244" s="14">
        <f t="shared" si="22"/>
        <v>338</v>
      </c>
      <c r="H244" s="7">
        <f t="shared" si="23"/>
        <v>666.57</v>
      </c>
      <c r="I244" s="10">
        <f t="shared" si="24"/>
        <v>1089</v>
      </c>
      <c r="J244">
        <f t="shared" si="25"/>
        <v>0</v>
      </c>
      <c r="K244">
        <f t="shared" si="26"/>
        <v>0</v>
      </c>
      <c r="L244" s="10">
        <f t="shared" si="27"/>
        <v>1089</v>
      </c>
    </row>
    <row r="245" spans="1:12" x14ac:dyDescent="0.3">
      <c r="A245" s="7">
        <v>375</v>
      </c>
      <c r="B245">
        <v>0</v>
      </c>
      <c r="C245">
        <v>10</v>
      </c>
      <c r="D245">
        <v>10</v>
      </c>
      <c r="E245" t="s">
        <v>20</v>
      </c>
      <c r="F245" s="10">
        <f t="shared" si="21"/>
        <v>0</v>
      </c>
      <c r="G245" s="14">
        <f t="shared" si="22"/>
        <v>37.5</v>
      </c>
      <c r="H245" s="7">
        <f t="shared" si="23"/>
        <v>466.6</v>
      </c>
      <c r="I245" s="10">
        <f t="shared" si="24"/>
        <v>412.5</v>
      </c>
      <c r="J245">
        <f t="shared" si="25"/>
        <v>1</v>
      </c>
      <c r="K245">
        <f t="shared" si="26"/>
        <v>54.100000000000023</v>
      </c>
      <c r="L245" s="10">
        <f t="shared" si="27"/>
        <v>466.6</v>
      </c>
    </row>
    <row r="246" spans="1:12" x14ac:dyDescent="0.3">
      <c r="A246" s="7">
        <v>666</v>
      </c>
      <c r="B246">
        <v>18</v>
      </c>
      <c r="C246">
        <v>35</v>
      </c>
      <c r="D246">
        <v>9</v>
      </c>
      <c r="E246" t="s">
        <v>17</v>
      </c>
      <c r="F246" s="10">
        <f t="shared" si="21"/>
        <v>120</v>
      </c>
      <c r="G246" s="14">
        <f t="shared" si="22"/>
        <v>233.1</v>
      </c>
      <c r="H246" s="7">
        <f t="shared" si="23"/>
        <v>518.44000000000005</v>
      </c>
      <c r="I246" s="10">
        <f t="shared" si="24"/>
        <v>1019.1</v>
      </c>
      <c r="J246">
        <f t="shared" si="25"/>
        <v>0</v>
      </c>
      <c r="K246">
        <f t="shared" si="26"/>
        <v>0</v>
      </c>
      <c r="L246" s="10">
        <f t="shared" si="27"/>
        <v>1019.1</v>
      </c>
    </row>
    <row r="247" spans="1:12" x14ac:dyDescent="0.3">
      <c r="A247" s="7">
        <v>1020</v>
      </c>
      <c r="B247">
        <v>4</v>
      </c>
      <c r="C247">
        <v>50</v>
      </c>
      <c r="D247">
        <v>6</v>
      </c>
      <c r="E247" t="s">
        <v>15</v>
      </c>
      <c r="F247" s="10">
        <f t="shared" si="21"/>
        <v>41</v>
      </c>
      <c r="G247" s="14">
        <f t="shared" si="22"/>
        <v>510</v>
      </c>
      <c r="H247" s="7">
        <f t="shared" si="23"/>
        <v>777.67</v>
      </c>
      <c r="I247" s="10">
        <f t="shared" si="24"/>
        <v>1571</v>
      </c>
      <c r="J247">
        <f t="shared" si="25"/>
        <v>0</v>
      </c>
      <c r="K247">
        <f t="shared" si="26"/>
        <v>0</v>
      </c>
      <c r="L247" s="10">
        <f t="shared" si="27"/>
        <v>1571</v>
      </c>
    </row>
    <row r="248" spans="1:12" x14ac:dyDescent="0.3">
      <c r="A248" s="7">
        <v>705</v>
      </c>
      <c r="B248">
        <v>16</v>
      </c>
      <c r="C248">
        <v>30</v>
      </c>
      <c r="D248">
        <v>8</v>
      </c>
      <c r="E248" t="s">
        <v>16</v>
      </c>
      <c r="F248" s="10">
        <f t="shared" si="21"/>
        <v>113</v>
      </c>
      <c r="G248" s="14">
        <f t="shared" si="22"/>
        <v>211.5</v>
      </c>
      <c r="H248" s="7">
        <f t="shared" si="23"/>
        <v>583.25</v>
      </c>
      <c r="I248" s="10">
        <f t="shared" si="24"/>
        <v>1029.5</v>
      </c>
      <c r="J248">
        <f t="shared" si="25"/>
        <v>0</v>
      </c>
      <c r="K248">
        <f t="shared" si="26"/>
        <v>0</v>
      </c>
      <c r="L248" s="10">
        <f t="shared" si="27"/>
        <v>1029.5</v>
      </c>
    </row>
    <row r="249" spans="1:12" x14ac:dyDescent="0.3">
      <c r="A249" s="7">
        <v>676</v>
      </c>
      <c r="B249">
        <v>9</v>
      </c>
      <c r="C249">
        <v>0</v>
      </c>
      <c r="D249">
        <v>7</v>
      </c>
      <c r="E249" t="s">
        <v>19</v>
      </c>
      <c r="F249" s="10">
        <f t="shared" si="21"/>
        <v>61</v>
      </c>
      <c r="G249" s="14">
        <f t="shared" si="22"/>
        <v>0</v>
      </c>
      <c r="H249" s="7">
        <f t="shared" si="23"/>
        <v>666.57</v>
      </c>
      <c r="I249" s="10">
        <f t="shared" si="24"/>
        <v>737</v>
      </c>
      <c r="J249">
        <f t="shared" si="25"/>
        <v>0</v>
      </c>
      <c r="K249">
        <f t="shared" si="26"/>
        <v>0</v>
      </c>
      <c r="L249" s="10">
        <f t="shared" si="27"/>
        <v>737</v>
      </c>
    </row>
    <row r="250" spans="1:12" x14ac:dyDescent="0.3">
      <c r="A250" s="7">
        <v>560</v>
      </c>
      <c r="B250">
        <v>8</v>
      </c>
      <c r="C250">
        <v>30</v>
      </c>
      <c r="D250">
        <v>8</v>
      </c>
      <c r="E250" t="s">
        <v>15</v>
      </c>
      <c r="F250" s="10">
        <f t="shared" si="21"/>
        <v>45</v>
      </c>
      <c r="G250" s="14">
        <f t="shared" si="22"/>
        <v>168</v>
      </c>
      <c r="H250" s="7">
        <f t="shared" si="23"/>
        <v>583.25</v>
      </c>
      <c r="I250" s="10">
        <f t="shared" si="24"/>
        <v>773</v>
      </c>
      <c r="J250">
        <f t="shared" si="25"/>
        <v>0</v>
      </c>
      <c r="K250">
        <f t="shared" si="26"/>
        <v>0</v>
      </c>
      <c r="L250" s="10">
        <f t="shared" si="27"/>
        <v>773</v>
      </c>
    </row>
    <row r="251" spans="1:12" x14ac:dyDescent="0.3">
      <c r="A251" s="7">
        <v>1455</v>
      </c>
      <c r="B251">
        <v>17</v>
      </c>
      <c r="C251">
        <v>0</v>
      </c>
      <c r="D251">
        <v>4</v>
      </c>
      <c r="E251" t="s">
        <v>18</v>
      </c>
      <c r="F251" s="10">
        <f t="shared" si="21"/>
        <v>248</v>
      </c>
      <c r="G251" s="14">
        <f t="shared" si="22"/>
        <v>0</v>
      </c>
      <c r="H251" s="7">
        <f t="shared" si="23"/>
        <v>1166.5</v>
      </c>
      <c r="I251" s="10">
        <f t="shared" si="24"/>
        <v>1703</v>
      </c>
      <c r="J251">
        <f t="shared" si="25"/>
        <v>0</v>
      </c>
      <c r="K251">
        <f t="shared" si="26"/>
        <v>0</v>
      </c>
      <c r="L251" s="10">
        <f t="shared" si="27"/>
        <v>1703</v>
      </c>
    </row>
    <row r="252" spans="1:12" x14ac:dyDescent="0.3">
      <c r="A252" s="7">
        <v>727</v>
      </c>
      <c r="B252">
        <v>14</v>
      </c>
      <c r="C252">
        <v>50</v>
      </c>
      <c r="D252">
        <v>6</v>
      </c>
      <c r="E252" t="s">
        <v>18</v>
      </c>
      <c r="F252" s="10">
        <f t="shared" si="21"/>
        <v>102</v>
      </c>
      <c r="G252" s="14">
        <f t="shared" si="22"/>
        <v>363.5</v>
      </c>
      <c r="H252" s="7">
        <f t="shared" si="23"/>
        <v>777.67</v>
      </c>
      <c r="I252" s="10">
        <f t="shared" si="24"/>
        <v>1192.5</v>
      </c>
      <c r="J252">
        <f t="shared" si="25"/>
        <v>0</v>
      </c>
      <c r="K252">
        <f t="shared" si="26"/>
        <v>0</v>
      </c>
      <c r="L252" s="10">
        <f t="shared" si="27"/>
        <v>1192.5</v>
      </c>
    </row>
    <row r="253" spans="1:12" x14ac:dyDescent="0.3">
      <c r="A253" s="7">
        <v>497</v>
      </c>
      <c r="B253">
        <v>13</v>
      </c>
      <c r="C253">
        <v>40</v>
      </c>
      <c r="D253">
        <v>9</v>
      </c>
      <c r="E253" t="s">
        <v>19</v>
      </c>
      <c r="F253" s="10">
        <f t="shared" si="21"/>
        <v>65</v>
      </c>
      <c r="G253" s="14">
        <f t="shared" si="22"/>
        <v>198.8</v>
      </c>
      <c r="H253" s="7">
        <f t="shared" si="23"/>
        <v>518.44000000000005</v>
      </c>
      <c r="I253" s="10">
        <f t="shared" si="24"/>
        <v>760.8</v>
      </c>
      <c r="J253">
        <f t="shared" si="25"/>
        <v>0</v>
      </c>
      <c r="K253">
        <f t="shared" si="26"/>
        <v>0</v>
      </c>
      <c r="L253" s="10">
        <f t="shared" si="27"/>
        <v>760.8</v>
      </c>
    </row>
    <row r="254" spans="1:12" x14ac:dyDescent="0.3">
      <c r="A254" s="7">
        <v>1113</v>
      </c>
      <c r="B254">
        <v>18</v>
      </c>
      <c r="C254">
        <v>20</v>
      </c>
      <c r="D254">
        <v>4</v>
      </c>
      <c r="E254" t="s">
        <v>21</v>
      </c>
      <c r="F254" s="10">
        <f t="shared" si="21"/>
        <v>201</v>
      </c>
      <c r="G254" s="14">
        <f t="shared" si="22"/>
        <v>222.6</v>
      </c>
      <c r="H254" s="7">
        <f t="shared" si="23"/>
        <v>1166.5</v>
      </c>
      <c r="I254" s="10">
        <f t="shared" si="24"/>
        <v>1536.6</v>
      </c>
      <c r="J254">
        <f t="shared" si="25"/>
        <v>0</v>
      </c>
      <c r="K254">
        <f t="shared" si="26"/>
        <v>0</v>
      </c>
      <c r="L254" s="10">
        <f t="shared" si="27"/>
        <v>1536.6</v>
      </c>
    </row>
    <row r="255" spans="1:12" x14ac:dyDescent="0.3">
      <c r="A255" s="7">
        <v>6370</v>
      </c>
      <c r="B255">
        <v>0</v>
      </c>
      <c r="C255">
        <v>15</v>
      </c>
      <c r="D255">
        <v>1</v>
      </c>
      <c r="E255" t="s">
        <v>17</v>
      </c>
      <c r="F255" s="10">
        <f t="shared" si="21"/>
        <v>0</v>
      </c>
      <c r="G255" s="14">
        <f t="shared" si="22"/>
        <v>955.5</v>
      </c>
      <c r="H255" s="7">
        <f t="shared" si="23"/>
        <v>4666</v>
      </c>
      <c r="I255" s="10">
        <f t="shared" si="24"/>
        <v>7325.5</v>
      </c>
      <c r="J255">
        <f t="shared" si="25"/>
        <v>0</v>
      </c>
      <c r="K255">
        <f t="shared" si="26"/>
        <v>0</v>
      </c>
      <c r="L255" s="10">
        <f t="shared" si="27"/>
        <v>7325.5</v>
      </c>
    </row>
    <row r="256" spans="1:12" x14ac:dyDescent="0.3">
      <c r="A256" s="7">
        <v>1268</v>
      </c>
      <c r="B256">
        <v>5</v>
      </c>
      <c r="C256">
        <v>0</v>
      </c>
      <c r="D256">
        <v>5</v>
      </c>
      <c r="E256" t="s">
        <v>15</v>
      </c>
      <c r="F256" s="10">
        <f t="shared" si="21"/>
        <v>64</v>
      </c>
      <c r="G256" s="14">
        <f t="shared" si="22"/>
        <v>0</v>
      </c>
      <c r="H256" s="7">
        <f t="shared" si="23"/>
        <v>933.2</v>
      </c>
      <c r="I256" s="10">
        <f t="shared" si="24"/>
        <v>1332</v>
      </c>
      <c r="J256">
        <f t="shared" si="25"/>
        <v>0</v>
      </c>
      <c r="K256">
        <f t="shared" si="26"/>
        <v>0</v>
      </c>
      <c r="L256" s="10">
        <f t="shared" si="27"/>
        <v>1332</v>
      </c>
    </row>
    <row r="257" spans="1:12" x14ac:dyDescent="0.3">
      <c r="A257" s="7">
        <v>5390</v>
      </c>
      <c r="B257">
        <v>9</v>
      </c>
      <c r="C257">
        <v>35</v>
      </c>
      <c r="D257">
        <v>1</v>
      </c>
      <c r="E257" t="s">
        <v>16</v>
      </c>
      <c r="F257" s="10">
        <f t="shared" si="21"/>
        <v>486</v>
      </c>
      <c r="G257" s="14">
        <f t="shared" si="22"/>
        <v>1886.5</v>
      </c>
      <c r="H257" s="7">
        <f t="shared" si="23"/>
        <v>4666</v>
      </c>
      <c r="I257" s="10">
        <f t="shared" si="24"/>
        <v>7762.5</v>
      </c>
      <c r="J257">
        <f t="shared" si="25"/>
        <v>0</v>
      </c>
      <c r="K257">
        <f t="shared" si="26"/>
        <v>0</v>
      </c>
      <c r="L257" s="10">
        <f t="shared" si="27"/>
        <v>7762.5</v>
      </c>
    </row>
    <row r="258" spans="1:12" x14ac:dyDescent="0.3">
      <c r="A258" s="7">
        <v>306</v>
      </c>
      <c r="B258">
        <v>13</v>
      </c>
      <c r="C258">
        <v>45</v>
      </c>
      <c r="D258">
        <v>9</v>
      </c>
      <c r="E258" t="s">
        <v>18</v>
      </c>
      <c r="F258" s="10">
        <f t="shared" si="21"/>
        <v>40</v>
      </c>
      <c r="G258" s="14">
        <f t="shared" si="22"/>
        <v>137.69999999999999</v>
      </c>
      <c r="H258" s="7">
        <f t="shared" si="23"/>
        <v>518.44000000000005</v>
      </c>
      <c r="I258" s="10">
        <f t="shared" si="24"/>
        <v>483.7</v>
      </c>
      <c r="J258">
        <f t="shared" si="25"/>
        <v>1</v>
      </c>
      <c r="K258">
        <f t="shared" si="26"/>
        <v>34.740000000000066</v>
      </c>
      <c r="L258" s="10">
        <f t="shared" si="27"/>
        <v>518.44000000000005</v>
      </c>
    </row>
    <row r="259" spans="1:12" x14ac:dyDescent="0.3">
      <c r="A259" s="7">
        <v>3530</v>
      </c>
      <c r="B259">
        <v>14</v>
      </c>
      <c r="C259">
        <v>25</v>
      </c>
      <c r="D259">
        <v>1</v>
      </c>
      <c r="E259" t="s">
        <v>16</v>
      </c>
      <c r="F259" s="10">
        <f t="shared" ref="F259:F322" si="28">ROUNDUP(0.01*B259*A259,0)</f>
        <v>495</v>
      </c>
      <c r="G259" s="14">
        <f t="shared" ref="G259:G322" si="29">ROUND(C259/100*A259,2)</f>
        <v>882.5</v>
      </c>
      <c r="H259" s="7">
        <f t="shared" ref="H259:H322" si="30">ROUND(4666/D259:D758,2)</f>
        <v>4666</v>
      </c>
      <c r="I259" s="10">
        <f t="shared" ref="I259:I322" si="31">G259+A259+F259</f>
        <v>4907.5</v>
      </c>
      <c r="J259">
        <f t="shared" ref="J259:J322" si="32">IF(H259&gt;I259,1,0)</f>
        <v>0</v>
      </c>
      <c r="K259">
        <f t="shared" ref="K259:K322" si="33">IF(J259=1,H259-I259,0)</f>
        <v>0</v>
      </c>
      <c r="L259" s="10">
        <f t="shared" ref="L259:L322" si="34">I259+K259</f>
        <v>4907.5</v>
      </c>
    </row>
    <row r="260" spans="1:12" x14ac:dyDescent="0.3">
      <c r="A260" s="7">
        <v>5130</v>
      </c>
      <c r="B260">
        <v>19</v>
      </c>
      <c r="C260">
        <v>20</v>
      </c>
      <c r="D260">
        <v>1</v>
      </c>
      <c r="E260" t="s">
        <v>17</v>
      </c>
      <c r="F260" s="10">
        <f t="shared" si="28"/>
        <v>975</v>
      </c>
      <c r="G260" s="14">
        <f t="shared" si="29"/>
        <v>1026</v>
      </c>
      <c r="H260" s="7">
        <f t="shared" si="30"/>
        <v>4666</v>
      </c>
      <c r="I260" s="10">
        <f t="shared" si="31"/>
        <v>7131</v>
      </c>
      <c r="J260">
        <f t="shared" si="32"/>
        <v>0</v>
      </c>
      <c r="K260">
        <f t="shared" si="33"/>
        <v>0</v>
      </c>
      <c r="L260" s="10">
        <f t="shared" si="34"/>
        <v>7131</v>
      </c>
    </row>
    <row r="261" spans="1:12" x14ac:dyDescent="0.3">
      <c r="A261" s="7">
        <v>521</v>
      </c>
      <c r="B261">
        <v>7</v>
      </c>
      <c r="C261">
        <v>50</v>
      </c>
      <c r="D261">
        <v>7</v>
      </c>
      <c r="E261" t="s">
        <v>16</v>
      </c>
      <c r="F261" s="10">
        <f t="shared" si="28"/>
        <v>37</v>
      </c>
      <c r="G261" s="14">
        <f t="shared" si="29"/>
        <v>260.5</v>
      </c>
      <c r="H261" s="7">
        <f t="shared" si="30"/>
        <v>666.57</v>
      </c>
      <c r="I261" s="10">
        <f t="shared" si="31"/>
        <v>818.5</v>
      </c>
      <c r="J261">
        <f t="shared" si="32"/>
        <v>0</v>
      </c>
      <c r="K261">
        <f t="shared" si="33"/>
        <v>0</v>
      </c>
      <c r="L261" s="10">
        <f t="shared" si="34"/>
        <v>818.5</v>
      </c>
    </row>
    <row r="262" spans="1:12" x14ac:dyDescent="0.3">
      <c r="A262" s="7">
        <v>845</v>
      </c>
      <c r="B262">
        <v>13</v>
      </c>
      <c r="C262">
        <v>50</v>
      </c>
      <c r="D262">
        <v>8</v>
      </c>
      <c r="E262" t="s">
        <v>18</v>
      </c>
      <c r="F262" s="10">
        <f t="shared" si="28"/>
        <v>110</v>
      </c>
      <c r="G262" s="14">
        <f t="shared" si="29"/>
        <v>422.5</v>
      </c>
      <c r="H262" s="7">
        <f t="shared" si="30"/>
        <v>583.25</v>
      </c>
      <c r="I262" s="10">
        <f t="shared" si="31"/>
        <v>1377.5</v>
      </c>
      <c r="J262">
        <f t="shared" si="32"/>
        <v>0</v>
      </c>
      <c r="K262">
        <f t="shared" si="33"/>
        <v>0</v>
      </c>
      <c r="L262" s="10">
        <f t="shared" si="34"/>
        <v>1377.5</v>
      </c>
    </row>
    <row r="263" spans="1:12" x14ac:dyDescent="0.3">
      <c r="A263" s="7">
        <v>713</v>
      </c>
      <c r="B263">
        <v>16</v>
      </c>
      <c r="C263">
        <v>5</v>
      </c>
      <c r="D263">
        <v>9</v>
      </c>
      <c r="E263" t="s">
        <v>20</v>
      </c>
      <c r="F263" s="10">
        <f t="shared" si="28"/>
        <v>115</v>
      </c>
      <c r="G263" s="14">
        <f t="shared" si="29"/>
        <v>35.65</v>
      </c>
      <c r="H263" s="7">
        <f t="shared" si="30"/>
        <v>518.44000000000005</v>
      </c>
      <c r="I263" s="10">
        <f t="shared" si="31"/>
        <v>863.65</v>
      </c>
      <c r="J263">
        <f t="shared" si="32"/>
        <v>0</v>
      </c>
      <c r="K263">
        <f t="shared" si="33"/>
        <v>0</v>
      </c>
      <c r="L263" s="10">
        <f t="shared" si="34"/>
        <v>863.65</v>
      </c>
    </row>
    <row r="264" spans="1:12" x14ac:dyDescent="0.3">
      <c r="A264" s="7">
        <v>560</v>
      </c>
      <c r="B264">
        <v>16</v>
      </c>
      <c r="C264">
        <v>25</v>
      </c>
      <c r="D264">
        <v>9</v>
      </c>
      <c r="E264" t="s">
        <v>19</v>
      </c>
      <c r="F264" s="10">
        <f t="shared" si="28"/>
        <v>90</v>
      </c>
      <c r="G264" s="14">
        <f t="shared" si="29"/>
        <v>140</v>
      </c>
      <c r="H264" s="7">
        <f t="shared" si="30"/>
        <v>518.44000000000005</v>
      </c>
      <c r="I264" s="10">
        <f t="shared" si="31"/>
        <v>790</v>
      </c>
      <c r="J264">
        <f t="shared" si="32"/>
        <v>0</v>
      </c>
      <c r="K264">
        <f t="shared" si="33"/>
        <v>0</v>
      </c>
      <c r="L264" s="10">
        <f t="shared" si="34"/>
        <v>790</v>
      </c>
    </row>
    <row r="265" spans="1:12" x14ac:dyDescent="0.3">
      <c r="A265" s="7">
        <v>3000</v>
      </c>
      <c r="B265">
        <v>10</v>
      </c>
      <c r="C265">
        <v>30</v>
      </c>
      <c r="D265">
        <v>1</v>
      </c>
      <c r="E265" t="s">
        <v>20</v>
      </c>
      <c r="F265" s="10">
        <f t="shared" si="28"/>
        <v>300</v>
      </c>
      <c r="G265" s="14">
        <f t="shared" si="29"/>
        <v>900</v>
      </c>
      <c r="H265" s="7">
        <f t="shared" si="30"/>
        <v>4666</v>
      </c>
      <c r="I265" s="10">
        <f t="shared" si="31"/>
        <v>4200</v>
      </c>
      <c r="J265">
        <f t="shared" si="32"/>
        <v>1</v>
      </c>
      <c r="K265">
        <f t="shared" si="33"/>
        <v>466</v>
      </c>
      <c r="L265" s="10">
        <f t="shared" si="34"/>
        <v>4666</v>
      </c>
    </row>
    <row r="266" spans="1:12" x14ac:dyDescent="0.3">
      <c r="A266" s="7">
        <v>651</v>
      </c>
      <c r="B266">
        <v>10</v>
      </c>
      <c r="C266">
        <v>25</v>
      </c>
      <c r="D266">
        <v>10</v>
      </c>
      <c r="E266" t="s">
        <v>19</v>
      </c>
      <c r="F266" s="10">
        <f t="shared" si="28"/>
        <v>66</v>
      </c>
      <c r="G266" s="14">
        <f t="shared" si="29"/>
        <v>162.75</v>
      </c>
      <c r="H266" s="7">
        <f t="shared" si="30"/>
        <v>466.6</v>
      </c>
      <c r="I266" s="10">
        <f t="shared" si="31"/>
        <v>879.75</v>
      </c>
      <c r="J266">
        <f t="shared" si="32"/>
        <v>0</v>
      </c>
      <c r="K266">
        <f t="shared" si="33"/>
        <v>0</v>
      </c>
      <c r="L266" s="10">
        <f t="shared" si="34"/>
        <v>879.75</v>
      </c>
    </row>
    <row r="267" spans="1:12" x14ac:dyDescent="0.3">
      <c r="A267" s="7">
        <v>5970</v>
      </c>
      <c r="B267">
        <v>7</v>
      </c>
      <c r="C267">
        <v>25</v>
      </c>
      <c r="D267">
        <v>1</v>
      </c>
      <c r="E267" t="s">
        <v>15</v>
      </c>
      <c r="F267" s="10">
        <f t="shared" si="28"/>
        <v>418</v>
      </c>
      <c r="G267" s="14">
        <f t="shared" si="29"/>
        <v>1492.5</v>
      </c>
      <c r="H267" s="7">
        <f t="shared" si="30"/>
        <v>4666</v>
      </c>
      <c r="I267" s="10">
        <f t="shared" si="31"/>
        <v>7880.5</v>
      </c>
      <c r="J267">
        <f t="shared" si="32"/>
        <v>0</v>
      </c>
      <c r="K267">
        <f t="shared" si="33"/>
        <v>0</v>
      </c>
      <c r="L267" s="10">
        <f t="shared" si="34"/>
        <v>7880.5</v>
      </c>
    </row>
    <row r="268" spans="1:12" x14ac:dyDescent="0.3">
      <c r="A268" s="7">
        <v>1423</v>
      </c>
      <c r="B268">
        <v>0</v>
      </c>
      <c r="C268">
        <v>15</v>
      </c>
      <c r="D268">
        <v>3</v>
      </c>
      <c r="E268" t="s">
        <v>18</v>
      </c>
      <c r="F268" s="10">
        <f t="shared" si="28"/>
        <v>0</v>
      </c>
      <c r="G268" s="14">
        <f t="shared" si="29"/>
        <v>213.45</v>
      </c>
      <c r="H268" s="7">
        <f t="shared" si="30"/>
        <v>1555.33</v>
      </c>
      <c r="I268" s="10">
        <f t="shared" si="31"/>
        <v>1636.45</v>
      </c>
      <c r="J268">
        <f t="shared" si="32"/>
        <v>0</v>
      </c>
      <c r="K268">
        <f t="shared" si="33"/>
        <v>0</v>
      </c>
      <c r="L268" s="10">
        <f t="shared" si="34"/>
        <v>1636.45</v>
      </c>
    </row>
    <row r="269" spans="1:12" x14ac:dyDescent="0.3">
      <c r="A269" s="7">
        <v>5330</v>
      </c>
      <c r="B269">
        <v>10</v>
      </c>
      <c r="C269">
        <v>5</v>
      </c>
      <c r="D269">
        <v>1</v>
      </c>
      <c r="E269" t="s">
        <v>16</v>
      </c>
      <c r="F269" s="10">
        <f t="shared" si="28"/>
        <v>533</v>
      </c>
      <c r="G269" s="14">
        <f t="shared" si="29"/>
        <v>266.5</v>
      </c>
      <c r="H269" s="7">
        <f t="shared" si="30"/>
        <v>4666</v>
      </c>
      <c r="I269" s="10">
        <f t="shared" si="31"/>
        <v>6129.5</v>
      </c>
      <c r="J269">
        <f t="shared" si="32"/>
        <v>0</v>
      </c>
      <c r="K269">
        <f t="shared" si="33"/>
        <v>0</v>
      </c>
      <c r="L269" s="10">
        <f t="shared" si="34"/>
        <v>6129.5</v>
      </c>
    </row>
    <row r="270" spans="1:12" x14ac:dyDescent="0.3">
      <c r="A270" s="7">
        <v>4730</v>
      </c>
      <c r="B270">
        <v>13</v>
      </c>
      <c r="C270">
        <v>15</v>
      </c>
      <c r="D270">
        <v>1</v>
      </c>
      <c r="E270" t="s">
        <v>20</v>
      </c>
      <c r="F270" s="10">
        <f t="shared" si="28"/>
        <v>615</v>
      </c>
      <c r="G270" s="14">
        <f t="shared" si="29"/>
        <v>709.5</v>
      </c>
      <c r="H270" s="7">
        <f t="shared" si="30"/>
        <v>4666</v>
      </c>
      <c r="I270" s="10">
        <f t="shared" si="31"/>
        <v>6054.5</v>
      </c>
      <c r="J270">
        <f t="shared" si="32"/>
        <v>0</v>
      </c>
      <c r="K270">
        <f t="shared" si="33"/>
        <v>0</v>
      </c>
      <c r="L270" s="10">
        <f t="shared" si="34"/>
        <v>6054.5</v>
      </c>
    </row>
    <row r="271" spans="1:12" x14ac:dyDescent="0.3">
      <c r="A271" s="7">
        <v>789</v>
      </c>
      <c r="B271">
        <v>10</v>
      </c>
      <c r="C271">
        <v>40</v>
      </c>
      <c r="D271">
        <v>8</v>
      </c>
      <c r="E271" t="s">
        <v>15</v>
      </c>
      <c r="F271" s="10">
        <f t="shared" si="28"/>
        <v>79</v>
      </c>
      <c r="G271" s="14">
        <f t="shared" si="29"/>
        <v>315.60000000000002</v>
      </c>
      <c r="H271" s="7">
        <f t="shared" si="30"/>
        <v>583.25</v>
      </c>
      <c r="I271" s="10">
        <f t="shared" si="31"/>
        <v>1183.5999999999999</v>
      </c>
      <c r="J271">
        <f t="shared" si="32"/>
        <v>0</v>
      </c>
      <c r="K271">
        <f t="shared" si="33"/>
        <v>0</v>
      </c>
      <c r="L271" s="10">
        <f t="shared" si="34"/>
        <v>1183.5999999999999</v>
      </c>
    </row>
    <row r="272" spans="1:12" x14ac:dyDescent="0.3">
      <c r="A272" s="7">
        <v>773</v>
      </c>
      <c r="B272">
        <v>6</v>
      </c>
      <c r="C272">
        <v>45</v>
      </c>
      <c r="D272">
        <v>8</v>
      </c>
      <c r="E272" t="s">
        <v>18</v>
      </c>
      <c r="F272" s="10">
        <f t="shared" si="28"/>
        <v>47</v>
      </c>
      <c r="G272" s="14">
        <f t="shared" si="29"/>
        <v>347.85</v>
      </c>
      <c r="H272" s="7">
        <f t="shared" si="30"/>
        <v>583.25</v>
      </c>
      <c r="I272" s="10">
        <f t="shared" si="31"/>
        <v>1167.8499999999999</v>
      </c>
      <c r="J272">
        <f t="shared" si="32"/>
        <v>0</v>
      </c>
      <c r="K272">
        <f t="shared" si="33"/>
        <v>0</v>
      </c>
      <c r="L272" s="10">
        <f t="shared" si="34"/>
        <v>1167.8499999999999</v>
      </c>
    </row>
    <row r="273" spans="1:12" x14ac:dyDescent="0.3">
      <c r="A273" s="7">
        <v>6380</v>
      </c>
      <c r="B273">
        <v>14</v>
      </c>
      <c r="C273">
        <v>5</v>
      </c>
      <c r="D273">
        <v>1</v>
      </c>
      <c r="E273" t="s">
        <v>15</v>
      </c>
      <c r="F273" s="10">
        <f t="shared" si="28"/>
        <v>894</v>
      </c>
      <c r="G273" s="14">
        <f t="shared" si="29"/>
        <v>319</v>
      </c>
      <c r="H273" s="7">
        <f t="shared" si="30"/>
        <v>4666</v>
      </c>
      <c r="I273" s="10">
        <f t="shared" si="31"/>
        <v>7593</v>
      </c>
      <c r="J273">
        <f t="shared" si="32"/>
        <v>0</v>
      </c>
      <c r="K273">
        <f t="shared" si="33"/>
        <v>0</v>
      </c>
      <c r="L273" s="10">
        <f t="shared" si="34"/>
        <v>7593</v>
      </c>
    </row>
    <row r="274" spans="1:12" x14ac:dyDescent="0.3">
      <c r="A274" s="7">
        <v>459</v>
      </c>
      <c r="B274">
        <v>13</v>
      </c>
      <c r="C274">
        <v>30</v>
      </c>
      <c r="D274">
        <v>10</v>
      </c>
      <c r="E274" t="s">
        <v>17</v>
      </c>
      <c r="F274" s="10">
        <f t="shared" si="28"/>
        <v>60</v>
      </c>
      <c r="G274" s="14">
        <f t="shared" si="29"/>
        <v>137.69999999999999</v>
      </c>
      <c r="H274" s="7">
        <f t="shared" si="30"/>
        <v>466.6</v>
      </c>
      <c r="I274" s="10">
        <f t="shared" si="31"/>
        <v>656.7</v>
      </c>
      <c r="J274">
        <f t="shared" si="32"/>
        <v>0</v>
      </c>
      <c r="K274">
        <f t="shared" si="33"/>
        <v>0</v>
      </c>
      <c r="L274" s="10">
        <f t="shared" si="34"/>
        <v>656.7</v>
      </c>
    </row>
    <row r="275" spans="1:12" x14ac:dyDescent="0.3">
      <c r="A275" s="7">
        <v>6360</v>
      </c>
      <c r="B275">
        <v>1</v>
      </c>
      <c r="C275">
        <v>20</v>
      </c>
      <c r="D275">
        <v>1</v>
      </c>
      <c r="E275" t="s">
        <v>16</v>
      </c>
      <c r="F275" s="10">
        <f t="shared" si="28"/>
        <v>64</v>
      </c>
      <c r="G275" s="14">
        <f t="shared" si="29"/>
        <v>1272</v>
      </c>
      <c r="H275" s="7">
        <f t="shared" si="30"/>
        <v>4666</v>
      </c>
      <c r="I275" s="10">
        <f t="shared" si="31"/>
        <v>7696</v>
      </c>
      <c r="J275">
        <f t="shared" si="32"/>
        <v>0</v>
      </c>
      <c r="K275">
        <f t="shared" si="33"/>
        <v>0</v>
      </c>
      <c r="L275" s="10">
        <f t="shared" si="34"/>
        <v>7696</v>
      </c>
    </row>
    <row r="276" spans="1:12" x14ac:dyDescent="0.3">
      <c r="A276" s="7">
        <v>3355</v>
      </c>
      <c r="B276">
        <v>14</v>
      </c>
      <c r="C276">
        <v>25</v>
      </c>
      <c r="D276">
        <v>2</v>
      </c>
      <c r="E276" t="s">
        <v>21</v>
      </c>
      <c r="F276" s="10">
        <f t="shared" si="28"/>
        <v>470</v>
      </c>
      <c r="G276" s="14">
        <f t="shared" si="29"/>
        <v>838.75</v>
      </c>
      <c r="H276" s="7">
        <f t="shared" si="30"/>
        <v>2333</v>
      </c>
      <c r="I276" s="10">
        <f t="shared" si="31"/>
        <v>4663.75</v>
      </c>
      <c r="J276">
        <f t="shared" si="32"/>
        <v>0</v>
      </c>
      <c r="K276">
        <f t="shared" si="33"/>
        <v>0</v>
      </c>
      <c r="L276" s="10">
        <f t="shared" si="34"/>
        <v>4663.75</v>
      </c>
    </row>
    <row r="277" spans="1:12" x14ac:dyDescent="0.3">
      <c r="A277" s="7">
        <v>1200</v>
      </c>
      <c r="B277">
        <v>9</v>
      </c>
      <c r="C277">
        <v>10</v>
      </c>
      <c r="D277">
        <v>3</v>
      </c>
      <c r="E277" t="s">
        <v>21</v>
      </c>
      <c r="F277" s="10">
        <f t="shared" si="28"/>
        <v>108</v>
      </c>
      <c r="G277" s="14">
        <f t="shared" si="29"/>
        <v>120</v>
      </c>
      <c r="H277" s="7">
        <f t="shared" si="30"/>
        <v>1555.33</v>
      </c>
      <c r="I277" s="10">
        <f t="shared" si="31"/>
        <v>1428</v>
      </c>
      <c r="J277">
        <f t="shared" si="32"/>
        <v>1</v>
      </c>
      <c r="K277">
        <f t="shared" si="33"/>
        <v>127.32999999999993</v>
      </c>
      <c r="L277" s="10">
        <f t="shared" si="34"/>
        <v>1555.33</v>
      </c>
    </row>
    <row r="278" spans="1:12" x14ac:dyDescent="0.3">
      <c r="A278" s="7">
        <v>763</v>
      </c>
      <c r="B278">
        <v>10</v>
      </c>
      <c r="C278">
        <v>25</v>
      </c>
      <c r="D278">
        <v>4</v>
      </c>
      <c r="E278" t="s">
        <v>19</v>
      </c>
      <c r="F278" s="10">
        <f t="shared" si="28"/>
        <v>77</v>
      </c>
      <c r="G278" s="14">
        <f t="shared" si="29"/>
        <v>190.75</v>
      </c>
      <c r="H278" s="7">
        <f t="shared" si="30"/>
        <v>1166.5</v>
      </c>
      <c r="I278" s="10">
        <f t="shared" si="31"/>
        <v>1030.75</v>
      </c>
      <c r="J278">
        <f t="shared" si="32"/>
        <v>1</v>
      </c>
      <c r="K278">
        <f t="shared" si="33"/>
        <v>135.75</v>
      </c>
      <c r="L278" s="10">
        <f t="shared" si="34"/>
        <v>1166.5</v>
      </c>
    </row>
    <row r="279" spans="1:12" x14ac:dyDescent="0.3">
      <c r="A279" s="7">
        <v>3180</v>
      </c>
      <c r="B279">
        <v>8</v>
      </c>
      <c r="C279">
        <v>35</v>
      </c>
      <c r="D279">
        <v>1</v>
      </c>
      <c r="E279" t="s">
        <v>17</v>
      </c>
      <c r="F279" s="10">
        <f t="shared" si="28"/>
        <v>255</v>
      </c>
      <c r="G279" s="14">
        <f t="shared" si="29"/>
        <v>1113</v>
      </c>
      <c r="H279" s="7">
        <f t="shared" si="30"/>
        <v>4666</v>
      </c>
      <c r="I279" s="10">
        <f t="shared" si="31"/>
        <v>4548</v>
      </c>
      <c r="J279">
        <f t="shared" si="32"/>
        <v>1</v>
      </c>
      <c r="K279">
        <f t="shared" si="33"/>
        <v>118</v>
      </c>
      <c r="L279" s="10">
        <f t="shared" si="34"/>
        <v>4666</v>
      </c>
    </row>
    <row r="280" spans="1:12" x14ac:dyDescent="0.3">
      <c r="A280" s="7">
        <v>1013.3</v>
      </c>
      <c r="B280">
        <v>0</v>
      </c>
      <c r="C280">
        <v>35</v>
      </c>
      <c r="D280">
        <v>3</v>
      </c>
      <c r="E280" t="s">
        <v>21</v>
      </c>
      <c r="F280" s="10">
        <f t="shared" si="28"/>
        <v>0</v>
      </c>
      <c r="G280" s="14">
        <f t="shared" si="29"/>
        <v>354.66</v>
      </c>
      <c r="H280" s="7">
        <f t="shared" si="30"/>
        <v>1555.33</v>
      </c>
      <c r="I280" s="10">
        <f t="shared" si="31"/>
        <v>1367.96</v>
      </c>
      <c r="J280">
        <f t="shared" si="32"/>
        <v>1</v>
      </c>
      <c r="K280">
        <f t="shared" si="33"/>
        <v>187.36999999999989</v>
      </c>
      <c r="L280" s="10">
        <f t="shared" si="34"/>
        <v>1555.33</v>
      </c>
    </row>
    <row r="281" spans="1:12" x14ac:dyDescent="0.3">
      <c r="A281" s="7">
        <v>5100</v>
      </c>
      <c r="B281">
        <v>9</v>
      </c>
      <c r="C281">
        <v>45</v>
      </c>
      <c r="D281">
        <v>1</v>
      </c>
      <c r="E281" t="s">
        <v>17</v>
      </c>
      <c r="F281" s="10">
        <f t="shared" si="28"/>
        <v>459</v>
      </c>
      <c r="G281" s="14">
        <f t="shared" si="29"/>
        <v>2295</v>
      </c>
      <c r="H281" s="7">
        <f t="shared" si="30"/>
        <v>4666</v>
      </c>
      <c r="I281" s="10">
        <f t="shared" si="31"/>
        <v>7854</v>
      </c>
      <c r="J281">
        <f t="shared" si="32"/>
        <v>0</v>
      </c>
      <c r="K281">
        <f t="shared" si="33"/>
        <v>0</v>
      </c>
      <c r="L281" s="10">
        <f t="shared" si="34"/>
        <v>7854</v>
      </c>
    </row>
    <row r="282" spans="1:12" x14ac:dyDescent="0.3">
      <c r="A282" s="7">
        <v>1657</v>
      </c>
      <c r="B282">
        <v>3</v>
      </c>
      <c r="C282">
        <v>20</v>
      </c>
      <c r="D282">
        <v>3</v>
      </c>
      <c r="E282" t="s">
        <v>18</v>
      </c>
      <c r="F282" s="10">
        <f t="shared" si="28"/>
        <v>50</v>
      </c>
      <c r="G282" s="14">
        <f t="shared" si="29"/>
        <v>331.4</v>
      </c>
      <c r="H282" s="7">
        <f t="shared" si="30"/>
        <v>1555.33</v>
      </c>
      <c r="I282" s="10">
        <f t="shared" si="31"/>
        <v>2038.4</v>
      </c>
      <c r="J282">
        <f t="shared" si="32"/>
        <v>0</v>
      </c>
      <c r="K282">
        <f t="shared" si="33"/>
        <v>0</v>
      </c>
      <c r="L282" s="10">
        <f t="shared" si="34"/>
        <v>2038.4</v>
      </c>
    </row>
    <row r="283" spans="1:12" x14ac:dyDescent="0.3">
      <c r="A283" s="7">
        <v>5470</v>
      </c>
      <c r="B283">
        <v>15</v>
      </c>
      <c r="C283">
        <v>5</v>
      </c>
      <c r="D283">
        <v>1</v>
      </c>
      <c r="E283" t="s">
        <v>16</v>
      </c>
      <c r="F283" s="10">
        <f t="shared" si="28"/>
        <v>821</v>
      </c>
      <c r="G283" s="14">
        <f t="shared" si="29"/>
        <v>273.5</v>
      </c>
      <c r="H283" s="7">
        <f t="shared" si="30"/>
        <v>4666</v>
      </c>
      <c r="I283" s="10">
        <f t="shared" si="31"/>
        <v>6564.5</v>
      </c>
      <c r="J283">
        <f t="shared" si="32"/>
        <v>0</v>
      </c>
      <c r="K283">
        <f t="shared" si="33"/>
        <v>0</v>
      </c>
      <c r="L283" s="10">
        <f t="shared" si="34"/>
        <v>6564.5</v>
      </c>
    </row>
    <row r="284" spans="1:12" x14ac:dyDescent="0.3">
      <c r="A284" s="7">
        <v>296</v>
      </c>
      <c r="B284">
        <v>20</v>
      </c>
      <c r="C284">
        <v>15</v>
      </c>
      <c r="D284">
        <v>10</v>
      </c>
      <c r="E284" t="s">
        <v>17</v>
      </c>
      <c r="F284" s="10">
        <f t="shared" si="28"/>
        <v>60</v>
      </c>
      <c r="G284" s="14">
        <f t="shared" si="29"/>
        <v>44.4</v>
      </c>
      <c r="H284" s="7">
        <f t="shared" si="30"/>
        <v>466.6</v>
      </c>
      <c r="I284" s="10">
        <f t="shared" si="31"/>
        <v>400.4</v>
      </c>
      <c r="J284">
        <f t="shared" si="32"/>
        <v>1</v>
      </c>
      <c r="K284">
        <f t="shared" si="33"/>
        <v>66.200000000000045</v>
      </c>
      <c r="L284" s="10">
        <f t="shared" si="34"/>
        <v>466.6</v>
      </c>
    </row>
    <row r="285" spans="1:12" x14ac:dyDescent="0.3">
      <c r="A285" s="7">
        <v>2313</v>
      </c>
      <c r="B285">
        <v>5</v>
      </c>
      <c r="C285">
        <v>25</v>
      </c>
      <c r="D285">
        <v>3</v>
      </c>
      <c r="E285" t="s">
        <v>18</v>
      </c>
      <c r="F285" s="10">
        <f t="shared" si="28"/>
        <v>116</v>
      </c>
      <c r="G285" s="14">
        <f t="shared" si="29"/>
        <v>578.25</v>
      </c>
      <c r="H285" s="7">
        <f t="shared" si="30"/>
        <v>1555.33</v>
      </c>
      <c r="I285" s="10">
        <f t="shared" si="31"/>
        <v>3007.25</v>
      </c>
      <c r="J285">
        <f t="shared" si="32"/>
        <v>0</v>
      </c>
      <c r="K285">
        <f t="shared" si="33"/>
        <v>0</v>
      </c>
      <c r="L285" s="10">
        <f t="shared" si="34"/>
        <v>3007.25</v>
      </c>
    </row>
    <row r="286" spans="1:12" x14ac:dyDescent="0.3">
      <c r="A286" s="7">
        <v>4100</v>
      </c>
      <c r="B286">
        <v>14</v>
      </c>
      <c r="C286">
        <v>30</v>
      </c>
      <c r="D286">
        <v>1</v>
      </c>
      <c r="E286" t="s">
        <v>21</v>
      </c>
      <c r="F286" s="10">
        <f t="shared" si="28"/>
        <v>574</v>
      </c>
      <c r="G286" s="14">
        <f t="shared" si="29"/>
        <v>1230</v>
      </c>
      <c r="H286" s="7">
        <f t="shared" si="30"/>
        <v>4666</v>
      </c>
      <c r="I286" s="10">
        <f t="shared" si="31"/>
        <v>5904</v>
      </c>
      <c r="J286">
        <f t="shared" si="32"/>
        <v>0</v>
      </c>
      <c r="K286">
        <f t="shared" si="33"/>
        <v>0</v>
      </c>
      <c r="L286" s="10">
        <f t="shared" si="34"/>
        <v>5904</v>
      </c>
    </row>
    <row r="287" spans="1:12" x14ac:dyDescent="0.3">
      <c r="A287" s="7">
        <v>914</v>
      </c>
      <c r="B287">
        <v>8</v>
      </c>
      <c r="C287">
        <v>30</v>
      </c>
      <c r="D287">
        <v>7</v>
      </c>
      <c r="E287" t="s">
        <v>15</v>
      </c>
      <c r="F287" s="10">
        <f t="shared" si="28"/>
        <v>74</v>
      </c>
      <c r="G287" s="14">
        <f t="shared" si="29"/>
        <v>274.2</v>
      </c>
      <c r="H287" s="7">
        <f t="shared" si="30"/>
        <v>666.57</v>
      </c>
      <c r="I287" s="10">
        <f t="shared" si="31"/>
        <v>1262.2</v>
      </c>
      <c r="J287">
        <f t="shared" si="32"/>
        <v>0</v>
      </c>
      <c r="K287">
        <f t="shared" si="33"/>
        <v>0</v>
      </c>
      <c r="L287" s="10">
        <f t="shared" si="34"/>
        <v>1262.2</v>
      </c>
    </row>
    <row r="288" spans="1:12" x14ac:dyDescent="0.3">
      <c r="A288" s="7">
        <v>4920</v>
      </c>
      <c r="B288">
        <v>6</v>
      </c>
      <c r="C288">
        <v>25</v>
      </c>
      <c r="D288">
        <v>1</v>
      </c>
      <c r="E288" t="s">
        <v>19</v>
      </c>
      <c r="F288" s="10">
        <f t="shared" si="28"/>
        <v>296</v>
      </c>
      <c r="G288" s="14">
        <f t="shared" si="29"/>
        <v>1230</v>
      </c>
      <c r="H288" s="7">
        <f t="shared" si="30"/>
        <v>4666</v>
      </c>
      <c r="I288" s="10">
        <f t="shared" si="31"/>
        <v>6446</v>
      </c>
      <c r="J288">
        <f t="shared" si="32"/>
        <v>0</v>
      </c>
      <c r="K288">
        <f t="shared" si="33"/>
        <v>0</v>
      </c>
      <c r="L288" s="10">
        <f t="shared" si="34"/>
        <v>6446</v>
      </c>
    </row>
    <row r="289" spans="1:12" x14ac:dyDescent="0.3">
      <c r="A289" s="7">
        <v>574</v>
      </c>
      <c r="B289">
        <v>5</v>
      </c>
      <c r="C289">
        <v>40</v>
      </c>
      <c r="D289">
        <v>7</v>
      </c>
      <c r="E289" t="s">
        <v>15</v>
      </c>
      <c r="F289" s="10">
        <f t="shared" si="28"/>
        <v>29</v>
      </c>
      <c r="G289" s="14">
        <f t="shared" si="29"/>
        <v>229.6</v>
      </c>
      <c r="H289" s="7">
        <f t="shared" si="30"/>
        <v>666.57</v>
      </c>
      <c r="I289" s="10">
        <f t="shared" si="31"/>
        <v>832.6</v>
      </c>
      <c r="J289">
        <f t="shared" si="32"/>
        <v>0</v>
      </c>
      <c r="K289">
        <f t="shared" si="33"/>
        <v>0</v>
      </c>
      <c r="L289" s="10">
        <f t="shared" si="34"/>
        <v>832.6</v>
      </c>
    </row>
    <row r="290" spans="1:12" x14ac:dyDescent="0.3">
      <c r="A290" s="7">
        <v>1880</v>
      </c>
      <c r="B290">
        <v>8</v>
      </c>
      <c r="C290">
        <v>50</v>
      </c>
      <c r="D290">
        <v>3</v>
      </c>
      <c r="E290" t="s">
        <v>15</v>
      </c>
      <c r="F290" s="10">
        <f t="shared" si="28"/>
        <v>151</v>
      </c>
      <c r="G290" s="14">
        <f t="shared" si="29"/>
        <v>940</v>
      </c>
      <c r="H290" s="7">
        <f t="shared" si="30"/>
        <v>1555.33</v>
      </c>
      <c r="I290" s="10">
        <f t="shared" si="31"/>
        <v>2971</v>
      </c>
      <c r="J290">
        <f t="shared" si="32"/>
        <v>0</v>
      </c>
      <c r="K290">
        <f t="shared" si="33"/>
        <v>0</v>
      </c>
      <c r="L290" s="10">
        <f t="shared" si="34"/>
        <v>2971</v>
      </c>
    </row>
    <row r="291" spans="1:12" x14ac:dyDescent="0.3">
      <c r="A291" s="7">
        <v>5090</v>
      </c>
      <c r="B291">
        <v>11</v>
      </c>
      <c r="C291">
        <v>0</v>
      </c>
      <c r="D291">
        <v>1</v>
      </c>
      <c r="E291" t="s">
        <v>20</v>
      </c>
      <c r="F291" s="10">
        <f t="shared" si="28"/>
        <v>560</v>
      </c>
      <c r="G291" s="14">
        <f t="shared" si="29"/>
        <v>0</v>
      </c>
      <c r="H291" s="7">
        <f t="shared" si="30"/>
        <v>4666</v>
      </c>
      <c r="I291" s="10">
        <f t="shared" si="31"/>
        <v>5650</v>
      </c>
      <c r="J291">
        <f t="shared" si="32"/>
        <v>0</v>
      </c>
      <c r="K291">
        <f t="shared" si="33"/>
        <v>0</v>
      </c>
      <c r="L291" s="10">
        <f t="shared" si="34"/>
        <v>5650</v>
      </c>
    </row>
    <row r="292" spans="1:12" x14ac:dyDescent="0.3">
      <c r="A292" s="7">
        <v>2950</v>
      </c>
      <c r="B292">
        <v>10</v>
      </c>
      <c r="C292">
        <v>25</v>
      </c>
      <c r="D292">
        <v>1</v>
      </c>
      <c r="E292" t="s">
        <v>21</v>
      </c>
      <c r="F292" s="10">
        <f t="shared" si="28"/>
        <v>295</v>
      </c>
      <c r="G292" s="14">
        <f t="shared" si="29"/>
        <v>737.5</v>
      </c>
      <c r="H292" s="7">
        <f t="shared" si="30"/>
        <v>4666</v>
      </c>
      <c r="I292" s="10">
        <f t="shared" si="31"/>
        <v>3982.5</v>
      </c>
      <c r="J292">
        <f t="shared" si="32"/>
        <v>1</v>
      </c>
      <c r="K292">
        <f t="shared" si="33"/>
        <v>683.5</v>
      </c>
      <c r="L292" s="10">
        <f t="shared" si="34"/>
        <v>4666</v>
      </c>
    </row>
    <row r="293" spans="1:12" x14ac:dyDescent="0.3">
      <c r="A293" s="7">
        <v>409</v>
      </c>
      <c r="B293">
        <v>12</v>
      </c>
      <c r="C293">
        <v>40</v>
      </c>
      <c r="D293">
        <v>10</v>
      </c>
      <c r="E293" t="s">
        <v>21</v>
      </c>
      <c r="F293" s="10">
        <f t="shared" si="28"/>
        <v>50</v>
      </c>
      <c r="G293" s="14">
        <f t="shared" si="29"/>
        <v>163.6</v>
      </c>
      <c r="H293" s="7">
        <f t="shared" si="30"/>
        <v>466.6</v>
      </c>
      <c r="I293" s="10">
        <f t="shared" si="31"/>
        <v>622.6</v>
      </c>
      <c r="J293">
        <f t="shared" si="32"/>
        <v>0</v>
      </c>
      <c r="K293">
        <f t="shared" si="33"/>
        <v>0</v>
      </c>
      <c r="L293" s="10">
        <f t="shared" si="34"/>
        <v>622.6</v>
      </c>
    </row>
    <row r="294" spans="1:12" x14ac:dyDescent="0.3">
      <c r="A294" s="7">
        <v>997</v>
      </c>
      <c r="B294">
        <v>2</v>
      </c>
      <c r="C294">
        <v>35</v>
      </c>
      <c r="D294">
        <v>3</v>
      </c>
      <c r="E294" t="s">
        <v>19</v>
      </c>
      <c r="F294" s="10">
        <f t="shared" si="28"/>
        <v>20</v>
      </c>
      <c r="G294" s="14">
        <f t="shared" si="29"/>
        <v>348.95</v>
      </c>
      <c r="H294" s="7">
        <f t="shared" si="30"/>
        <v>1555.33</v>
      </c>
      <c r="I294" s="10">
        <f t="shared" si="31"/>
        <v>1365.95</v>
      </c>
      <c r="J294">
        <f t="shared" si="32"/>
        <v>1</v>
      </c>
      <c r="K294">
        <f t="shared" si="33"/>
        <v>189.37999999999988</v>
      </c>
      <c r="L294" s="10">
        <f t="shared" si="34"/>
        <v>1555.33</v>
      </c>
    </row>
    <row r="295" spans="1:12" x14ac:dyDescent="0.3">
      <c r="A295" s="7">
        <v>993</v>
      </c>
      <c r="B295">
        <v>19</v>
      </c>
      <c r="C295">
        <v>10</v>
      </c>
      <c r="D295">
        <v>6</v>
      </c>
      <c r="E295" t="s">
        <v>19</v>
      </c>
      <c r="F295" s="10">
        <f t="shared" si="28"/>
        <v>189</v>
      </c>
      <c r="G295" s="14">
        <f t="shared" si="29"/>
        <v>99.3</v>
      </c>
      <c r="H295" s="7">
        <f t="shared" si="30"/>
        <v>777.67</v>
      </c>
      <c r="I295" s="10">
        <f t="shared" si="31"/>
        <v>1281.3</v>
      </c>
      <c r="J295">
        <f t="shared" si="32"/>
        <v>0</v>
      </c>
      <c r="K295">
        <f t="shared" si="33"/>
        <v>0</v>
      </c>
      <c r="L295" s="10">
        <f t="shared" si="34"/>
        <v>1281.3</v>
      </c>
    </row>
    <row r="296" spans="1:12" x14ac:dyDescent="0.3">
      <c r="A296" s="7">
        <v>1017</v>
      </c>
      <c r="B296">
        <v>4</v>
      </c>
      <c r="C296">
        <v>5</v>
      </c>
      <c r="D296">
        <v>6</v>
      </c>
      <c r="E296" t="s">
        <v>20</v>
      </c>
      <c r="F296" s="10">
        <f t="shared" si="28"/>
        <v>41</v>
      </c>
      <c r="G296" s="14">
        <f t="shared" si="29"/>
        <v>50.85</v>
      </c>
      <c r="H296" s="7">
        <f t="shared" si="30"/>
        <v>777.67</v>
      </c>
      <c r="I296" s="10">
        <f t="shared" si="31"/>
        <v>1108.8499999999999</v>
      </c>
      <c r="J296">
        <f t="shared" si="32"/>
        <v>0</v>
      </c>
      <c r="K296">
        <f t="shared" si="33"/>
        <v>0</v>
      </c>
      <c r="L296" s="10">
        <f t="shared" si="34"/>
        <v>1108.8499999999999</v>
      </c>
    </row>
    <row r="297" spans="1:12" x14ac:dyDescent="0.3">
      <c r="A297" s="7">
        <v>683</v>
      </c>
      <c r="B297">
        <v>8</v>
      </c>
      <c r="C297">
        <v>5</v>
      </c>
      <c r="D297">
        <v>10</v>
      </c>
      <c r="E297" t="s">
        <v>20</v>
      </c>
      <c r="F297" s="10">
        <f t="shared" si="28"/>
        <v>55</v>
      </c>
      <c r="G297" s="14">
        <f t="shared" si="29"/>
        <v>34.15</v>
      </c>
      <c r="H297" s="7">
        <f t="shared" si="30"/>
        <v>466.6</v>
      </c>
      <c r="I297" s="10">
        <f t="shared" si="31"/>
        <v>772.15</v>
      </c>
      <c r="J297">
        <f t="shared" si="32"/>
        <v>0</v>
      </c>
      <c r="K297">
        <f t="shared" si="33"/>
        <v>0</v>
      </c>
      <c r="L297" s="10">
        <f t="shared" si="34"/>
        <v>772.15</v>
      </c>
    </row>
    <row r="298" spans="1:12" x14ac:dyDescent="0.3">
      <c r="A298" s="7">
        <v>880</v>
      </c>
      <c r="B298">
        <v>17</v>
      </c>
      <c r="C298">
        <v>10</v>
      </c>
      <c r="D298">
        <v>7</v>
      </c>
      <c r="E298" t="s">
        <v>20</v>
      </c>
      <c r="F298" s="10">
        <f t="shared" si="28"/>
        <v>150</v>
      </c>
      <c r="G298" s="14">
        <f t="shared" si="29"/>
        <v>88</v>
      </c>
      <c r="H298" s="7">
        <f t="shared" si="30"/>
        <v>666.57</v>
      </c>
      <c r="I298" s="10">
        <f t="shared" si="31"/>
        <v>1118</v>
      </c>
      <c r="J298">
        <f t="shared" si="32"/>
        <v>0</v>
      </c>
      <c r="K298">
        <f t="shared" si="33"/>
        <v>0</v>
      </c>
      <c r="L298" s="10">
        <f t="shared" si="34"/>
        <v>1118</v>
      </c>
    </row>
    <row r="299" spans="1:12" x14ac:dyDescent="0.3">
      <c r="A299" s="7">
        <v>576</v>
      </c>
      <c r="B299">
        <v>3</v>
      </c>
      <c r="C299">
        <v>20</v>
      </c>
      <c r="D299">
        <v>8</v>
      </c>
      <c r="E299" t="s">
        <v>19</v>
      </c>
      <c r="F299" s="10">
        <f t="shared" si="28"/>
        <v>18</v>
      </c>
      <c r="G299" s="14">
        <f t="shared" si="29"/>
        <v>115.2</v>
      </c>
      <c r="H299" s="7">
        <f t="shared" si="30"/>
        <v>583.25</v>
      </c>
      <c r="I299" s="10">
        <f t="shared" si="31"/>
        <v>709.2</v>
      </c>
      <c r="J299">
        <f t="shared" si="32"/>
        <v>0</v>
      </c>
      <c r="K299">
        <f t="shared" si="33"/>
        <v>0</v>
      </c>
      <c r="L299" s="10">
        <f t="shared" si="34"/>
        <v>709.2</v>
      </c>
    </row>
    <row r="300" spans="1:12" x14ac:dyDescent="0.3">
      <c r="A300" s="7">
        <v>281</v>
      </c>
      <c r="B300">
        <v>0</v>
      </c>
      <c r="C300">
        <v>50</v>
      </c>
      <c r="D300">
        <v>10</v>
      </c>
      <c r="E300" t="s">
        <v>19</v>
      </c>
      <c r="F300" s="10">
        <f t="shared" si="28"/>
        <v>0</v>
      </c>
      <c r="G300" s="14">
        <f t="shared" si="29"/>
        <v>140.5</v>
      </c>
      <c r="H300" s="7">
        <f t="shared" si="30"/>
        <v>466.6</v>
      </c>
      <c r="I300" s="10">
        <f t="shared" si="31"/>
        <v>421.5</v>
      </c>
      <c r="J300">
        <f t="shared" si="32"/>
        <v>1</v>
      </c>
      <c r="K300">
        <f t="shared" si="33"/>
        <v>45.100000000000023</v>
      </c>
      <c r="L300" s="10">
        <f t="shared" si="34"/>
        <v>466.6</v>
      </c>
    </row>
    <row r="301" spans="1:12" x14ac:dyDescent="0.3">
      <c r="A301" s="7">
        <v>434</v>
      </c>
      <c r="B301">
        <v>19</v>
      </c>
      <c r="C301">
        <v>15</v>
      </c>
      <c r="D301">
        <v>9</v>
      </c>
      <c r="E301" t="s">
        <v>15</v>
      </c>
      <c r="F301" s="10">
        <f t="shared" si="28"/>
        <v>83</v>
      </c>
      <c r="G301" s="14">
        <f t="shared" si="29"/>
        <v>65.099999999999994</v>
      </c>
      <c r="H301" s="7">
        <f t="shared" si="30"/>
        <v>518.44000000000005</v>
      </c>
      <c r="I301" s="10">
        <f t="shared" si="31"/>
        <v>582.1</v>
      </c>
      <c r="J301">
        <f t="shared" si="32"/>
        <v>0</v>
      </c>
      <c r="K301">
        <f t="shared" si="33"/>
        <v>0</v>
      </c>
      <c r="L301" s="10">
        <f t="shared" si="34"/>
        <v>582.1</v>
      </c>
    </row>
    <row r="302" spans="1:12" x14ac:dyDescent="0.3">
      <c r="A302" s="7">
        <v>1473</v>
      </c>
      <c r="B302">
        <v>1</v>
      </c>
      <c r="C302">
        <v>5</v>
      </c>
      <c r="D302">
        <v>4</v>
      </c>
      <c r="E302" t="s">
        <v>21</v>
      </c>
      <c r="F302" s="10">
        <f t="shared" si="28"/>
        <v>15</v>
      </c>
      <c r="G302" s="14">
        <f t="shared" si="29"/>
        <v>73.650000000000006</v>
      </c>
      <c r="H302" s="7">
        <f t="shared" si="30"/>
        <v>1166.5</v>
      </c>
      <c r="I302" s="10">
        <f t="shared" si="31"/>
        <v>1561.65</v>
      </c>
      <c r="J302">
        <f t="shared" si="32"/>
        <v>0</v>
      </c>
      <c r="K302">
        <f t="shared" si="33"/>
        <v>0</v>
      </c>
      <c r="L302" s="10">
        <f t="shared" si="34"/>
        <v>1561.65</v>
      </c>
    </row>
    <row r="303" spans="1:12" x14ac:dyDescent="0.3">
      <c r="A303" s="7">
        <v>618</v>
      </c>
      <c r="B303">
        <v>4</v>
      </c>
      <c r="C303">
        <v>15</v>
      </c>
      <c r="D303">
        <v>9</v>
      </c>
      <c r="E303" t="s">
        <v>18</v>
      </c>
      <c r="F303" s="10">
        <f t="shared" si="28"/>
        <v>25</v>
      </c>
      <c r="G303" s="14">
        <f t="shared" si="29"/>
        <v>92.7</v>
      </c>
      <c r="H303" s="7">
        <f t="shared" si="30"/>
        <v>518.44000000000005</v>
      </c>
      <c r="I303" s="10">
        <f t="shared" si="31"/>
        <v>735.7</v>
      </c>
      <c r="J303">
        <f t="shared" si="32"/>
        <v>0</v>
      </c>
      <c r="K303">
        <f t="shared" si="33"/>
        <v>0</v>
      </c>
      <c r="L303" s="10">
        <f t="shared" si="34"/>
        <v>735.7</v>
      </c>
    </row>
    <row r="304" spans="1:12" x14ac:dyDescent="0.3">
      <c r="A304" s="7">
        <v>401.9</v>
      </c>
      <c r="B304">
        <v>13</v>
      </c>
      <c r="C304">
        <v>5</v>
      </c>
      <c r="D304">
        <v>10</v>
      </c>
      <c r="E304" t="s">
        <v>20</v>
      </c>
      <c r="F304" s="10">
        <f t="shared" si="28"/>
        <v>53</v>
      </c>
      <c r="G304" s="14">
        <f t="shared" si="29"/>
        <v>20.100000000000001</v>
      </c>
      <c r="H304" s="7">
        <f t="shared" si="30"/>
        <v>466.6</v>
      </c>
      <c r="I304" s="10">
        <f t="shared" si="31"/>
        <v>475</v>
      </c>
      <c r="J304">
        <f t="shared" si="32"/>
        <v>0</v>
      </c>
      <c r="K304">
        <f t="shared" si="33"/>
        <v>0</v>
      </c>
      <c r="L304" s="10">
        <f t="shared" si="34"/>
        <v>475</v>
      </c>
    </row>
    <row r="305" spans="1:12" x14ac:dyDescent="0.3">
      <c r="A305" s="7">
        <v>905</v>
      </c>
      <c r="B305">
        <v>2</v>
      </c>
      <c r="C305">
        <v>15</v>
      </c>
      <c r="D305">
        <v>4</v>
      </c>
      <c r="E305" t="s">
        <v>21</v>
      </c>
      <c r="F305" s="10">
        <f t="shared" si="28"/>
        <v>19</v>
      </c>
      <c r="G305" s="14">
        <f t="shared" si="29"/>
        <v>135.75</v>
      </c>
      <c r="H305" s="7">
        <f t="shared" si="30"/>
        <v>1166.5</v>
      </c>
      <c r="I305" s="10">
        <f t="shared" si="31"/>
        <v>1059.75</v>
      </c>
      <c r="J305">
        <f t="shared" si="32"/>
        <v>1</v>
      </c>
      <c r="K305">
        <f t="shared" si="33"/>
        <v>106.75</v>
      </c>
      <c r="L305" s="10">
        <f t="shared" si="34"/>
        <v>1166.5</v>
      </c>
    </row>
    <row r="306" spans="1:12" x14ac:dyDescent="0.3">
      <c r="A306" s="7">
        <v>1900</v>
      </c>
      <c r="B306">
        <v>15</v>
      </c>
      <c r="C306">
        <v>0</v>
      </c>
      <c r="D306">
        <v>2</v>
      </c>
      <c r="E306" t="s">
        <v>15</v>
      </c>
      <c r="F306" s="10">
        <f t="shared" si="28"/>
        <v>285</v>
      </c>
      <c r="G306" s="14">
        <f t="shared" si="29"/>
        <v>0</v>
      </c>
      <c r="H306" s="7">
        <f t="shared" si="30"/>
        <v>2333</v>
      </c>
      <c r="I306" s="10">
        <f t="shared" si="31"/>
        <v>2185</v>
      </c>
      <c r="J306">
        <f t="shared" si="32"/>
        <v>1</v>
      </c>
      <c r="K306">
        <f t="shared" si="33"/>
        <v>148</v>
      </c>
      <c r="L306" s="10">
        <f t="shared" si="34"/>
        <v>2333</v>
      </c>
    </row>
    <row r="307" spans="1:12" x14ac:dyDescent="0.3">
      <c r="A307" s="7">
        <v>2100</v>
      </c>
      <c r="B307">
        <v>17</v>
      </c>
      <c r="C307">
        <v>5</v>
      </c>
      <c r="D307">
        <v>2</v>
      </c>
      <c r="E307" t="s">
        <v>15</v>
      </c>
      <c r="F307" s="10">
        <f t="shared" si="28"/>
        <v>357</v>
      </c>
      <c r="G307" s="14">
        <f t="shared" si="29"/>
        <v>105</v>
      </c>
      <c r="H307" s="7">
        <f t="shared" si="30"/>
        <v>2333</v>
      </c>
      <c r="I307" s="10">
        <f t="shared" si="31"/>
        <v>2562</v>
      </c>
      <c r="J307">
        <f t="shared" si="32"/>
        <v>0</v>
      </c>
      <c r="K307">
        <f t="shared" si="33"/>
        <v>0</v>
      </c>
      <c r="L307" s="10">
        <f t="shared" si="34"/>
        <v>2562</v>
      </c>
    </row>
    <row r="308" spans="1:12" x14ac:dyDescent="0.3">
      <c r="A308" s="7">
        <v>1847</v>
      </c>
      <c r="B308">
        <v>16</v>
      </c>
      <c r="C308">
        <v>15</v>
      </c>
      <c r="D308">
        <v>3</v>
      </c>
      <c r="E308" t="s">
        <v>17</v>
      </c>
      <c r="F308" s="10">
        <f t="shared" si="28"/>
        <v>296</v>
      </c>
      <c r="G308" s="14">
        <f t="shared" si="29"/>
        <v>277.05</v>
      </c>
      <c r="H308" s="7">
        <f t="shared" si="30"/>
        <v>1555.33</v>
      </c>
      <c r="I308" s="10">
        <f t="shared" si="31"/>
        <v>2420.0500000000002</v>
      </c>
      <c r="J308">
        <f t="shared" si="32"/>
        <v>0</v>
      </c>
      <c r="K308">
        <f t="shared" si="33"/>
        <v>0</v>
      </c>
      <c r="L308" s="10">
        <f t="shared" si="34"/>
        <v>2420.0500000000002</v>
      </c>
    </row>
    <row r="309" spans="1:12" x14ac:dyDescent="0.3">
      <c r="A309" s="7">
        <v>3600</v>
      </c>
      <c r="B309">
        <v>12</v>
      </c>
      <c r="C309">
        <v>5</v>
      </c>
      <c r="D309">
        <v>1</v>
      </c>
      <c r="E309" t="s">
        <v>17</v>
      </c>
      <c r="F309" s="10">
        <f t="shared" si="28"/>
        <v>432</v>
      </c>
      <c r="G309" s="14">
        <f t="shared" si="29"/>
        <v>180</v>
      </c>
      <c r="H309" s="7">
        <f t="shared" si="30"/>
        <v>4666</v>
      </c>
      <c r="I309" s="10">
        <f t="shared" si="31"/>
        <v>4212</v>
      </c>
      <c r="J309">
        <f t="shared" si="32"/>
        <v>1</v>
      </c>
      <c r="K309">
        <f t="shared" si="33"/>
        <v>454</v>
      </c>
      <c r="L309" s="10">
        <f t="shared" si="34"/>
        <v>4666</v>
      </c>
    </row>
    <row r="310" spans="1:12" x14ac:dyDescent="0.3">
      <c r="A310" s="7">
        <v>5880</v>
      </c>
      <c r="B310">
        <v>13</v>
      </c>
      <c r="C310">
        <v>25</v>
      </c>
      <c r="D310">
        <v>1</v>
      </c>
      <c r="E310" t="s">
        <v>18</v>
      </c>
      <c r="F310" s="10">
        <f t="shared" si="28"/>
        <v>765</v>
      </c>
      <c r="G310" s="14">
        <f t="shared" si="29"/>
        <v>1470</v>
      </c>
      <c r="H310" s="7">
        <f t="shared" si="30"/>
        <v>4666</v>
      </c>
      <c r="I310" s="10">
        <f t="shared" si="31"/>
        <v>8115</v>
      </c>
      <c r="J310">
        <f t="shared" si="32"/>
        <v>0</v>
      </c>
      <c r="K310">
        <f t="shared" si="33"/>
        <v>0</v>
      </c>
      <c r="L310" s="10">
        <f t="shared" si="34"/>
        <v>8115</v>
      </c>
    </row>
    <row r="311" spans="1:12" x14ac:dyDescent="0.3">
      <c r="A311" s="7">
        <v>5140</v>
      </c>
      <c r="B311">
        <v>13</v>
      </c>
      <c r="C311">
        <v>45</v>
      </c>
      <c r="D311">
        <v>1</v>
      </c>
      <c r="E311" t="s">
        <v>16</v>
      </c>
      <c r="F311" s="10">
        <f t="shared" si="28"/>
        <v>669</v>
      </c>
      <c r="G311" s="14">
        <f t="shared" si="29"/>
        <v>2313</v>
      </c>
      <c r="H311" s="7">
        <f t="shared" si="30"/>
        <v>4666</v>
      </c>
      <c r="I311" s="10">
        <f t="shared" si="31"/>
        <v>8122</v>
      </c>
      <c r="J311">
        <f t="shared" si="32"/>
        <v>0</v>
      </c>
      <c r="K311">
        <f t="shared" si="33"/>
        <v>0</v>
      </c>
      <c r="L311" s="10">
        <f t="shared" si="34"/>
        <v>8122</v>
      </c>
    </row>
    <row r="312" spans="1:12" x14ac:dyDescent="0.3">
      <c r="A312" s="7">
        <v>320</v>
      </c>
      <c r="B312">
        <v>19</v>
      </c>
      <c r="C312">
        <v>25</v>
      </c>
      <c r="D312">
        <v>9</v>
      </c>
      <c r="E312" t="s">
        <v>21</v>
      </c>
      <c r="F312" s="10">
        <f t="shared" si="28"/>
        <v>61</v>
      </c>
      <c r="G312" s="14">
        <f t="shared" si="29"/>
        <v>80</v>
      </c>
      <c r="H312" s="7">
        <f t="shared" si="30"/>
        <v>518.44000000000005</v>
      </c>
      <c r="I312" s="10">
        <f t="shared" si="31"/>
        <v>461</v>
      </c>
      <c r="J312">
        <f t="shared" si="32"/>
        <v>1</v>
      </c>
      <c r="K312">
        <f t="shared" si="33"/>
        <v>57.440000000000055</v>
      </c>
      <c r="L312" s="10">
        <f t="shared" si="34"/>
        <v>518.44000000000005</v>
      </c>
    </row>
    <row r="313" spans="1:12" x14ac:dyDescent="0.3">
      <c r="A313" s="7">
        <v>819</v>
      </c>
      <c r="B313">
        <v>12</v>
      </c>
      <c r="C313">
        <v>20</v>
      </c>
      <c r="D313">
        <v>7</v>
      </c>
      <c r="E313" t="s">
        <v>16</v>
      </c>
      <c r="F313" s="10">
        <f t="shared" si="28"/>
        <v>99</v>
      </c>
      <c r="G313" s="14">
        <f t="shared" si="29"/>
        <v>163.80000000000001</v>
      </c>
      <c r="H313" s="7">
        <f t="shared" si="30"/>
        <v>666.57</v>
      </c>
      <c r="I313" s="10">
        <f t="shared" si="31"/>
        <v>1081.8</v>
      </c>
      <c r="J313">
        <f t="shared" si="32"/>
        <v>0</v>
      </c>
      <c r="K313">
        <f t="shared" si="33"/>
        <v>0</v>
      </c>
      <c r="L313" s="10">
        <f t="shared" si="34"/>
        <v>1081.8</v>
      </c>
    </row>
    <row r="314" spans="1:12" x14ac:dyDescent="0.3">
      <c r="A314" s="7">
        <v>6370</v>
      </c>
      <c r="B314">
        <v>13</v>
      </c>
      <c r="C314">
        <v>45</v>
      </c>
      <c r="D314">
        <v>1</v>
      </c>
      <c r="E314" t="s">
        <v>20</v>
      </c>
      <c r="F314" s="10">
        <f t="shared" si="28"/>
        <v>829</v>
      </c>
      <c r="G314" s="14">
        <f t="shared" si="29"/>
        <v>2866.5</v>
      </c>
      <c r="H314" s="7">
        <f t="shared" si="30"/>
        <v>4666</v>
      </c>
      <c r="I314" s="10">
        <f t="shared" si="31"/>
        <v>10065.5</v>
      </c>
      <c r="J314">
        <f t="shared" si="32"/>
        <v>0</v>
      </c>
      <c r="K314">
        <f t="shared" si="33"/>
        <v>0</v>
      </c>
      <c r="L314" s="10">
        <f t="shared" si="34"/>
        <v>10065.5</v>
      </c>
    </row>
    <row r="315" spans="1:12" x14ac:dyDescent="0.3">
      <c r="A315" s="7">
        <v>4770</v>
      </c>
      <c r="B315">
        <v>3</v>
      </c>
      <c r="C315">
        <v>35</v>
      </c>
      <c r="D315">
        <v>1</v>
      </c>
      <c r="E315" t="s">
        <v>17</v>
      </c>
      <c r="F315" s="10">
        <f t="shared" si="28"/>
        <v>144</v>
      </c>
      <c r="G315" s="14">
        <f t="shared" si="29"/>
        <v>1669.5</v>
      </c>
      <c r="H315" s="7">
        <f t="shared" si="30"/>
        <v>4666</v>
      </c>
      <c r="I315" s="10">
        <f t="shared" si="31"/>
        <v>6583.5</v>
      </c>
      <c r="J315">
        <f t="shared" si="32"/>
        <v>0</v>
      </c>
      <c r="K315">
        <f t="shared" si="33"/>
        <v>0</v>
      </c>
      <c r="L315" s="10">
        <f t="shared" si="34"/>
        <v>6583.5</v>
      </c>
    </row>
    <row r="316" spans="1:12" x14ac:dyDescent="0.3">
      <c r="A316" s="7">
        <v>377</v>
      </c>
      <c r="B316">
        <v>20</v>
      </c>
      <c r="C316">
        <v>25</v>
      </c>
      <c r="D316">
        <v>9</v>
      </c>
      <c r="E316" t="s">
        <v>18</v>
      </c>
      <c r="F316" s="10">
        <f t="shared" si="28"/>
        <v>76</v>
      </c>
      <c r="G316" s="14">
        <f t="shared" si="29"/>
        <v>94.25</v>
      </c>
      <c r="H316" s="7">
        <f t="shared" si="30"/>
        <v>518.44000000000005</v>
      </c>
      <c r="I316" s="10">
        <f t="shared" si="31"/>
        <v>547.25</v>
      </c>
      <c r="J316">
        <f t="shared" si="32"/>
        <v>0</v>
      </c>
      <c r="K316">
        <f t="shared" si="33"/>
        <v>0</v>
      </c>
      <c r="L316" s="10">
        <f t="shared" si="34"/>
        <v>547.25</v>
      </c>
    </row>
    <row r="317" spans="1:12" x14ac:dyDescent="0.3">
      <c r="A317" s="7">
        <v>6690</v>
      </c>
      <c r="B317">
        <v>2</v>
      </c>
      <c r="C317">
        <v>20</v>
      </c>
      <c r="D317">
        <v>1</v>
      </c>
      <c r="E317" t="s">
        <v>16</v>
      </c>
      <c r="F317" s="10">
        <f t="shared" si="28"/>
        <v>134</v>
      </c>
      <c r="G317" s="14">
        <f t="shared" si="29"/>
        <v>1338</v>
      </c>
      <c r="H317" s="7">
        <f t="shared" si="30"/>
        <v>4666</v>
      </c>
      <c r="I317" s="10">
        <f t="shared" si="31"/>
        <v>8162</v>
      </c>
      <c r="J317">
        <f t="shared" si="32"/>
        <v>0</v>
      </c>
      <c r="K317">
        <f t="shared" si="33"/>
        <v>0</v>
      </c>
      <c r="L317" s="10">
        <f t="shared" si="34"/>
        <v>8162</v>
      </c>
    </row>
    <row r="318" spans="1:12" x14ac:dyDescent="0.3">
      <c r="A318" s="7">
        <v>2790</v>
      </c>
      <c r="B318">
        <v>16</v>
      </c>
      <c r="C318">
        <v>40</v>
      </c>
      <c r="D318">
        <v>1</v>
      </c>
      <c r="E318" t="s">
        <v>20</v>
      </c>
      <c r="F318" s="10">
        <f t="shared" si="28"/>
        <v>447</v>
      </c>
      <c r="G318" s="14">
        <f t="shared" si="29"/>
        <v>1116</v>
      </c>
      <c r="H318" s="7">
        <f t="shared" si="30"/>
        <v>4666</v>
      </c>
      <c r="I318" s="10">
        <f t="shared" si="31"/>
        <v>4353</v>
      </c>
      <c r="J318">
        <f t="shared" si="32"/>
        <v>1</v>
      </c>
      <c r="K318">
        <f t="shared" si="33"/>
        <v>313</v>
      </c>
      <c r="L318" s="10">
        <f t="shared" si="34"/>
        <v>4666</v>
      </c>
    </row>
    <row r="319" spans="1:12" x14ac:dyDescent="0.3">
      <c r="A319" s="7">
        <v>6090</v>
      </c>
      <c r="B319">
        <v>17</v>
      </c>
      <c r="C319">
        <v>50</v>
      </c>
      <c r="D319">
        <v>1</v>
      </c>
      <c r="E319" t="s">
        <v>19</v>
      </c>
      <c r="F319" s="10">
        <f t="shared" si="28"/>
        <v>1036</v>
      </c>
      <c r="G319" s="14">
        <f t="shared" si="29"/>
        <v>3045</v>
      </c>
      <c r="H319" s="7">
        <f t="shared" si="30"/>
        <v>4666</v>
      </c>
      <c r="I319" s="10">
        <f t="shared" si="31"/>
        <v>10171</v>
      </c>
      <c r="J319">
        <f t="shared" si="32"/>
        <v>0</v>
      </c>
      <c r="K319">
        <f t="shared" si="33"/>
        <v>0</v>
      </c>
      <c r="L319" s="10">
        <f t="shared" si="34"/>
        <v>10171</v>
      </c>
    </row>
    <row r="320" spans="1:12" x14ac:dyDescent="0.3">
      <c r="A320" s="7">
        <v>1158</v>
      </c>
      <c r="B320">
        <v>14</v>
      </c>
      <c r="C320">
        <v>40</v>
      </c>
      <c r="D320">
        <v>4</v>
      </c>
      <c r="E320" t="s">
        <v>18</v>
      </c>
      <c r="F320" s="10">
        <f t="shared" si="28"/>
        <v>163</v>
      </c>
      <c r="G320" s="14">
        <f t="shared" si="29"/>
        <v>463.2</v>
      </c>
      <c r="H320" s="7">
        <f t="shared" si="30"/>
        <v>1166.5</v>
      </c>
      <c r="I320" s="10">
        <f t="shared" si="31"/>
        <v>1784.2</v>
      </c>
      <c r="J320">
        <f t="shared" si="32"/>
        <v>0</v>
      </c>
      <c r="K320">
        <f t="shared" si="33"/>
        <v>0</v>
      </c>
      <c r="L320" s="10">
        <f t="shared" si="34"/>
        <v>1784.2</v>
      </c>
    </row>
    <row r="321" spans="1:12" x14ac:dyDescent="0.3">
      <c r="A321" s="7">
        <v>5440</v>
      </c>
      <c r="B321">
        <v>6</v>
      </c>
      <c r="C321">
        <v>30</v>
      </c>
      <c r="D321">
        <v>1</v>
      </c>
      <c r="E321" t="s">
        <v>17</v>
      </c>
      <c r="F321" s="10">
        <f t="shared" si="28"/>
        <v>327</v>
      </c>
      <c r="G321" s="14">
        <f t="shared" si="29"/>
        <v>1632</v>
      </c>
      <c r="H321" s="7">
        <f t="shared" si="30"/>
        <v>4666</v>
      </c>
      <c r="I321" s="10">
        <f t="shared" si="31"/>
        <v>7399</v>
      </c>
      <c r="J321">
        <f t="shared" si="32"/>
        <v>0</v>
      </c>
      <c r="K321">
        <f t="shared" si="33"/>
        <v>0</v>
      </c>
      <c r="L321" s="10">
        <f t="shared" si="34"/>
        <v>7399</v>
      </c>
    </row>
    <row r="322" spans="1:12" x14ac:dyDescent="0.3">
      <c r="A322" s="7">
        <v>471</v>
      </c>
      <c r="B322">
        <v>5</v>
      </c>
      <c r="C322">
        <v>35</v>
      </c>
      <c r="D322">
        <v>10</v>
      </c>
      <c r="E322" t="s">
        <v>20</v>
      </c>
      <c r="F322" s="10">
        <f t="shared" si="28"/>
        <v>24</v>
      </c>
      <c r="G322" s="14">
        <f t="shared" si="29"/>
        <v>164.85</v>
      </c>
      <c r="H322" s="7">
        <f t="shared" si="30"/>
        <v>466.6</v>
      </c>
      <c r="I322" s="10">
        <f t="shared" si="31"/>
        <v>659.85</v>
      </c>
      <c r="J322">
        <f t="shared" si="32"/>
        <v>0</v>
      </c>
      <c r="K322">
        <f t="shared" si="33"/>
        <v>0</v>
      </c>
      <c r="L322" s="10">
        <f t="shared" si="34"/>
        <v>659.85</v>
      </c>
    </row>
    <row r="323" spans="1:12" x14ac:dyDescent="0.3">
      <c r="A323" s="7">
        <v>340</v>
      </c>
      <c r="B323">
        <v>5</v>
      </c>
      <c r="C323">
        <v>10</v>
      </c>
      <c r="D323">
        <v>10</v>
      </c>
      <c r="E323" t="s">
        <v>15</v>
      </c>
      <c r="F323" s="10">
        <f t="shared" ref="F323:F386" si="35">ROUNDUP(0.01*B323*A323,0)</f>
        <v>17</v>
      </c>
      <c r="G323" s="14">
        <f t="shared" ref="G323:G386" si="36">ROUND(C323/100*A323,2)</f>
        <v>34</v>
      </c>
      <c r="H323" s="7">
        <f t="shared" ref="H323:H386" si="37">ROUND(4666/D323:D822,2)</f>
        <v>466.6</v>
      </c>
      <c r="I323" s="10">
        <f t="shared" ref="I323:I386" si="38">G323+A323+F323</f>
        <v>391</v>
      </c>
      <c r="J323">
        <f t="shared" ref="J323:J386" si="39">IF(H323&gt;I323,1,0)</f>
        <v>1</v>
      </c>
      <c r="K323">
        <f t="shared" ref="K323:K386" si="40">IF(J323=1,H323-I323,0)</f>
        <v>75.600000000000023</v>
      </c>
      <c r="L323" s="10">
        <f t="shared" ref="L323:L386" si="41">I323+K323</f>
        <v>466.6</v>
      </c>
    </row>
    <row r="324" spans="1:12" x14ac:dyDescent="0.3">
      <c r="A324" s="7">
        <v>1825</v>
      </c>
      <c r="B324">
        <v>19</v>
      </c>
      <c r="C324">
        <v>15</v>
      </c>
      <c r="D324">
        <v>2</v>
      </c>
      <c r="E324" t="s">
        <v>16</v>
      </c>
      <c r="F324" s="10">
        <f t="shared" si="35"/>
        <v>347</v>
      </c>
      <c r="G324" s="14">
        <f t="shared" si="36"/>
        <v>273.75</v>
      </c>
      <c r="H324" s="7">
        <f t="shared" si="37"/>
        <v>2333</v>
      </c>
      <c r="I324" s="10">
        <f t="shared" si="38"/>
        <v>2445.75</v>
      </c>
      <c r="J324">
        <f t="shared" si="39"/>
        <v>0</v>
      </c>
      <c r="K324">
        <f t="shared" si="40"/>
        <v>0</v>
      </c>
      <c r="L324" s="10">
        <f t="shared" si="41"/>
        <v>2445.75</v>
      </c>
    </row>
    <row r="325" spans="1:12" x14ac:dyDescent="0.3">
      <c r="A325" s="7">
        <v>1510</v>
      </c>
      <c r="B325">
        <v>10</v>
      </c>
      <c r="C325">
        <v>20</v>
      </c>
      <c r="D325">
        <v>2</v>
      </c>
      <c r="E325" t="s">
        <v>15</v>
      </c>
      <c r="F325" s="10">
        <f t="shared" si="35"/>
        <v>151</v>
      </c>
      <c r="G325" s="14">
        <f t="shared" si="36"/>
        <v>302</v>
      </c>
      <c r="H325" s="7">
        <f t="shared" si="37"/>
        <v>2333</v>
      </c>
      <c r="I325" s="10">
        <f t="shared" si="38"/>
        <v>1963</v>
      </c>
      <c r="J325">
        <f t="shared" si="39"/>
        <v>1</v>
      </c>
      <c r="K325">
        <f t="shared" si="40"/>
        <v>370</v>
      </c>
      <c r="L325" s="10">
        <f t="shared" si="41"/>
        <v>2333</v>
      </c>
    </row>
    <row r="326" spans="1:12" x14ac:dyDescent="0.3">
      <c r="A326" s="7">
        <v>1175</v>
      </c>
      <c r="B326">
        <v>14</v>
      </c>
      <c r="C326">
        <v>30</v>
      </c>
      <c r="D326">
        <v>4</v>
      </c>
      <c r="E326" t="s">
        <v>17</v>
      </c>
      <c r="F326" s="10">
        <f t="shared" si="35"/>
        <v>165</v>
      </c>
      <c r="G326" s="14">
        <f t="shared" si="36"/>
        <v>352.5</v>
      </c>
      <c r="H326" s="7">
        <f t="shared" si="37"/>
        <v>1166.5</v>
      </c>
      <c r="I326" s="10">
        <f t="shared" si="38"/>
        <v>1692.5</v>
      </c>
      <c r="J326">
        <f t="shared" si="39"/>
        <v>0</v>
      </c>
      <c r="K326">
        <f t="shared" si="40"/>
        <v>0</v>
      </c>
      <c r="L326" s="10">
        <f t="shared" si="41"/>
        <v>1692.5</v>
      </c>
    </row>
    <row r="327" spans="1:12" x14ac:dyDescent="0.3">
      <c r="A327" s="7">
        <v>3780</v>
      </c>
      <c r="B327">
        <v>19</v>
      </c>
      <c r="C327">
        <v>15</v>
      </c>
      <c r="D327">
        <v>1</v>
      </c>
      <c r="E327" t="s">
        <v>18</v>
      </c>
      <c r="F327" s="10">
        <f t="shared" si="35"/>
        <v>719</v>
      </c>
      <c r="G327" s="14">
        <f t="shared" si="36"/>
        <v>567</v>
      </c>
      <c r="H327" s="7">
        <f t="shared" si="37"/>
        <v>4666</v>
      </c>
      <c r="I327" s="10">
        <f t="shared" si="38"/>
        <v>5066</v>
      </c>
      <c r="J327">
        <f t="shared" si="39"/>
        <v>0</v>
      </c>
      <c r="K327">
        <f t="shared" si="40"/>
        <v>0</v>
      </c>
      <c r="L327" s="10">
        <f t="shared" si="41"/>
        <v>5066</v>
      </c>
    </row>
    <row r="328" spans="1:12" x14ac:dyDescent="0.3">
      <c r="A328" s="7">
        <v>2915</v>
      </c>
      <c r="B328">
        <v>15</v>
      </c>
      <c r="C328">
        <v>45</v>
      </c>
      <c r="D328">
        <v>2</v>
      </c>
      <c r="E328" t="s">
        <v>20</v>
      </c>
      <c r="F328" s="10">
        <f t="shared" si="35"/>
        <v>438</v>
      </c>
      <c r="G328" s="14">
        <f t="shared" si="36"/>
        <v>1311.75</v>
      </c>
      <c r="H328" s="7">
        <f t="shared" si="37"/>
        <v>2333</v>
      </c>
      <c r="I328" s="10">
        <f t="shared" si="38"/>
        <v>4664.75</v>
      </c>
      <c r="J328">
        <f t="shared" si="39"/>
        <v>0</v>
      </c>
      <c r="K328">
        <f t="shared" si="40"/>
        <v>0</v>
      </c>
      <c r="L328" s="10">
        <f t="shared" si="41"/>
        <v>4664.75</v>
      </c>
    </row>
    <row r="329" spans="1:12" x14ac:dyDescent="0.3">
      <c r="A329" s="7">
        <v>4220</v>
      </c>
      <c r="B329">
        <v>6</v>
      </c>
      <c r="C329">
        <v>50</v>
      </c>
      <c r="D329">
        <v>1</v>
      </c>
      <c r="E329" t="s">
        <v>17</v>
      </c>
      <c r="F329" s="10">
        <f t="shared" si="35"/>
        <v>254</v>
      </c>
      <c r="G329" s="14">
        <f t="shared" si="36"/>
        <v>2110</v>
      </c>
      <c r="H329" s="7">
        <f t="shared" si="37"/>
        <v>4666</v>
      </c>
      <c r="I329" s="10">
        <f t="shared" si="38"/>
        <v>6584</v>
      </c>
      <c r="J329">
        <f t="shared" si="39"/>
        <v>0</v>
      </c>
      <c r="K329">
        <f t="shared" si="40"/>
        <v>0</v>
      </c>
      <c r="L329" s="10">
        <f t="shared" si="41"/>
        <v>6584</v>
      </c>
    </row>
    <row r="330" spans="1:12" x14ac:dyDescent="0.3">
      <c r="A330" s="7">
        <v>552</v>
      </c>
      <c r="B330">
        <v>18</v>
      </c>
      <c r="C330">
        <v>25</v>
      </c>
      <c r="D330">
        <v>5</v>
      </c>
      <c r="E330" t="s">
        <v>19</v>
      </c>
      <c r="F330" s="10">
        <f t="shared" si="35"/>
        <v>100</v>
      </c>
      <c r="G330" s="14">
        <f t="shared" si="36"/>
        <v>138</v>
      </c>
      <c r="H330" s="7">
        <f t="shared" si="37"/>
        <v>933.2</v>
      </c>
      <c r="I330" s="10">
        <f t="shared" si="38"/>
        <v>790</v>
      </c>
      <c r="J330">
        <f t="shared" si="39"/>
        <v>1</v>
      </c>
      <c r="K330">
        <f t="shared" si="40"/>
        <v>143.20000000000005</v>
      </c>
      <c r="L330" s="10">
        <f t="shared" si="41"/>
        <v>933.2</v>
      </c>
    </row>
    <row r="331" spans="1:12" x14ac:dyDescent="0.3">
      <c r="A331" s="7">
        <v>6160</v>
      </c>
      <c r="B331">
        <v>5</v>
      </c>
      <c r="C331">
        <v>20</v>
      </c>
      <c r="D331">
        <v>1</v>
      </c>
      <c r="E331" t="s">
        <v>20</v>
      </c>
      <c r="F331" s="10">
        <f t="shared" si="35"/>
        <v>308</v>
      </c>
      <c r="G331" s="14">
        <f t="shared" si="36"/>
        <v>1232</v>
      </c>
      <c r="H331" s="7">
        <f t="shared" si="37"/>
        <v>4666</v>
      </c>
      <c r="I331" s="10">
        <f t="shared" si="38"/>
        <v>7700</v>
      </c>
      <c r="J331">
        <f t="shared" si="39"/>
        <v>0</v>
      </c>
      <c r="K331">
        <f t="shared" si="40"/>
        <v>0</v>
      </c>
      <c r="L331" s="10">
        <f t="shared" si="41"/>
        <v>7700</v>
      </c>
    </row>
    <row r="332" spans="1:12" x14ac:dyDescent="0.3">
      <c r="A332" s="7">
        <v>1437</v>
      </c>
      <c r="B332">
        <v>9</v>
      </c>
      <c r="C332">
        <v>40</v>
      </c>
      <c r="D332">
        <v>3</v>
      </c>
      <c r="E332" t="s">
        <v>20</v>
      </c>
      <c r="F332" s="10">
        <f t="shared" si="35"/>
        <v>130</v>
      </c>
      <c r="G332" s="14">
        <f t="shared" si="36"/>
        <v>574.79999999999995</v>
      </c>
      <c r="H332" s="7">
        <f t="shared" si="37"/>
        <v>1555.33</v>
      </c>
      <c r="I332" s="10">
        <f t="shared" si="38"/>
        <v>2141.8000000000002</v>
      </c>
      <c r="J332">
        <f t="shared" si="39"/>
        <v>0</v>
      </c>
      <c r="K332">
        <f t="shared" si="40"/>
        <v>0</v>
      </c>
      <c r="L332" s="10">
        <f t="shared" si="41"/>
        <v>2141.8000000000002</v>
      </c>
    </row>
    <row r="333" spans="1:12" x14ac:dyDescent="0.3">
      <c r="A333" s="7">
        <v>952</v>
      </c>
      <c r="B333">
        <v>5</v>
      </c>
      <c r="C333">
        <v>45</v>
      </c>
      <c r="D333">
        <v>6</v>
      </c>
      <c r="E333" t="s">
        <v>19</v>
      </c>
      <c r="F333" s="10">
        <f t="shared" si="35"/>
        <v>48</v>
      </c>
      <c r="G333" s="14">
        <f t="shared" si="36"/>
        <v>428.4</v>
      </c>
      <c r="H333" s="7">
        <f t="shared" si="37"/>
        <v>777.67</v>
      </c>
      <c r="I333" s="10">
        <f t="shared" si="38"/>
        <v>1428.4</v>
      </c>
      <c r="J333">
        <f t="shared" si="39"/>
        <v>0</v>
      </c>
      <c r="K333">
        <f t="shared" si="40"/>
        <v>0</v>
      </c>
      <c r="L333" s="10">
        <f t="shared" si="41"/>
        <v>1428.4</v>
      </c>
    </row>
    <row r="334" spans="1:12" x14ac:dyDescent="0.3">
      <c r="A334" s="7">
        <v>404</v>
      </c>
      <c r="B334">
        <v>14</v>
      </c>
      <c r="C334">
        <v>20</v>
      </c>
      <c r="D334">
        <v>8</v>
      </c>
      <c r="E334" t="s">
        <v>18</v>
      </c>
      <c r="F334" s="10">
        <f t="shared" si="35"/>
        <v>57</v>
      </c>
      <c r="G334" s="14">
        <f t="shared" si="36"/>
        <v>80.8</v>
      </c>
      <c r="H334" s="7">
        <f t="shared" si="37"/>
        <v>583.25</v>
      </c>
      <c r="I334" s="10">
        <f t="shared" si="38"/>
        <v>541.79999999999995</v>
      </c>
      <c r="J334">
        <f t="shared" si="39"/>
        <v>1</v>
      </c>
      <c r="K334">
        <f t="shared" si="40"/>
        <v>41.450000000000045</v>
      </c>
      <c r="L334" s="10">
        <f t="shared" si="41"/>
        <v>583.25</v>
      </c>
    </row>
    <row r="335" spans="1:12" x14ac:dyDescent="0.3">
      <c r="A335" s="7">
        <v>828</v>
      </c>
      <c r="B335">
        <v>11</v>
      </c>
      <c r="C335">
        <v>40</v>
      </c>
      <c r="D335">
        <v>5</v>
      </c>
      <c r="E335" t="s">
        <v>15</v>
      </c>
      <c r="F335" s="10">
        <f t="shared" si="35"/>
        <v>92</v>
      </c>
      <c r="G335" s="14">
        <f t="shared" si="36"/>
        <v>331.2</v>
      </c>
      <c r="H335" s="7">
        <f t="shared" si="37"/>
        <v>933.2</v>
      </c>
      <c r="I335" s="10">
        <f t="shared" si="38"/>
        <v>1251.2</v>
      </c>
      <c r="J335">
        <f t="shared" si="39"/>
        <v>0</v>
      </c>
      <c r="K335">
        <f t="shared" si="40"/>
        <v>0</v>
      </c>
      <c r="L335" s="10">
        <f t="shared" si="41"/>
        <v>1251.2</v>
      </c>
    </row>
    <row r="336" spans="1:12" x14ac:dyDescent="0.3">
      <c r="A336" s="7">
        <v>906</v>
      </c>
      <c r="B336">
        <v>17</v>
      </c>
      <c r="C336">
        <v>35</v>
      </c>
      <c r="D336">
        <v>7</v>
      </c>
      <c r="E336" t="s">
        <v>20</v>
      </c>
      <c r="F336" s="10">
        <f t="shared" si="35"/>
        <v>155</v>
      </c>
      <c r="G336" s="14">
        <f t="shared" si="36"/>
        <v>317.10000000000002</v>
      </c>
      <c r="H336" s="7">
        <f t="shared" si="37"/>
        <v>666.57</v>
      </c>
      <c r="I336" s="10">
        <f t="shared" si="38"/>
        <v>1378.1</v>
      </c>
      <c r="J336">
        <f t="shared" si="39"/>
        <v>0</v>
      </c>
      <c r="K336">
        <f t="shared" si="40"/>
        <v>0</v>
      </c>
      <c r="L336" s="10">
        <f t="shared" si="41"/>
        <v>1378.1</v>
      </c>
    </row>
    <row r="337" spans="1:12" x14ac:dyDescent="0.3">
      <c r="A337" s="7">
        <v>981</v>
      </c>
      <c r="B337">
        <v>11</v>
      </c>
      <c r="C337">
        <v>0</v>
      </c>
      <c r="D337">
        <v>7</v>
      </c>
      <c r="E337" t="s">
        <v>18</v>
      </c>
      <c r="F337" s="10">
        <f t="shared" si="35"/>
        <v>108</v>
      </c>
      <c r="G337" s="14">
        <f t="shared" si="36"/>
        <v>0</v>
      </c>
      <c r="H337" s="7">
        <f t="shared" si="37"/>
        <v>666.57</v>
      </c>
      <c r="I337" s="10">
        <f t="shared" si="38"/>
        <v>1089</v>
      </c>
      <c r="J337">
        <f t="shared" si="39"/>
        <v>0</v>
      </c>
      <c r="K337">
        <f t="shared" si="40"/>
        <v>0</v>
      </c>
      <c r="L337" s="10">
        <f t="shared" si="41"/>
        <v>1089</v>
      </c>
    </row>
    <row r="338" spans="1:12" x14ac:dyDescent="0.3">
      <c r="A338" s="7">
        <v>1510</v>
      </c>
      <c r="B338">
        <v>20</v>
      </c>
      <c r="C338">
        <v>10</v>
      </c>
      <c r="D338">
        <v>3</v>
      </c>
      <c r="E338" t="s">
        <v>20</v>
      </c>
      <c r="F338" s="10">
        <f t="shared" si="35"/>
        <v>302</v>
      </c>
      <c r="G338" s="14">
        <f t="shared" si="36"/>
        <v>151</v>
      </c>
      <c r="H338" s="7">
        <f t="shared" si="37"/>
        <v>1555.33</v>
      </c>
      <c r="I338" s="10">
        <f t="shared" si="38"/>
        <v>1963</v>
      </c>
      <c r="J338">
        <f t="shared" si="39"/>
        <v>0</v>
      </c>
      <c r="K338">
        <f t="shared" si="40"/>
        <v>0</v>
      </c>
      <c r="L338" s="10">
        <f t="shared" si="41"/>
        <v>1963</v>
      </c>
    </row>
    <row r="339" spans="1:12" x14ac:dyDescent="0.3">
      <c r="A339" s="7">
        <v>1563</v>
      </c>
      <c r="B339">
        <v>13</v>
      </c>
      <c r="C339">
        <v>35</v>
      </c>
      <c r="D339">
        <v>4</v>
      </c>
      <c r="E339" t="s">
        <v>19</v>
      </c>
      <c r="F339" s="10">
        <f t="shared" si="35"/>
        <v>204</v>
      </c>
      <c r="G339" s="14">
        <f t="shared" si="36"/>
        <v>547.04999999999995</v>
      </c>
      <c r="H339" s="7">
        <f t="shared" si="37"/>
        <v>1166.5</v>
      </c>
      <c r="I339" s="10">
        <f t="shared" si="38"/>
        <v>2314.0500000000002</v>
      </c>
      <c r="J339">
        <f t="shared" si="39"/>
        <v>0</v>
      </c>
      <c r="K339">
        <f t="shared" si="40"/>
        <v>0</v>
      </c>
      <c r="L339" s="10">
        <f t="shared" si="41"/>
        <v>2314.0500000000002</v>
      </c>
    </row>
    <row r="340" spans="1:12" x14ac:dyDescent="0.3">
      <c r="A340" s="7">
        <v>531</v>
      </c>
      <c r="B340">
        <v>19</v>
      </c>
      <c r="C340">
        <v>10</v>
      </c>
      <c r="D340">
        <v>7</v>
      </c>
      <c r="E340" t="s">
        <v>17</v>
      </c>
      <c r="F340" s="10">
        <f t="shared" si="35"/>
        <v>101</v>
      </c>
      <c r="G340" s="14">
        <f t="shared" si="36"/>
        <v>53.1</v>
      </c>
      <c r="H340" s="7">
        <f t="shared" si="37"/>
        <v>666.57</v>
      </c>
      <c r="I340" s="10">
        <f t="shared" si="38"/>
        <v>685.1</v>
      </c>
      <c r="J340">
        <f t="shared" si="39"/>
        <v>0</v>
      </c>
      <c r="K340">
        <f t="shared" si="40"/>
        <v>0</v>
      </c>
      <c r="L340" s="10">
        <f t="shared" si="41"/>
        <v>685.1</v>
      </c>
    </row>
    <row r="341" spans="1:12" x14ac:dyDescent="0.3">
      <c r="A341" s="7">
        <v>839</v>
      </c>
      <c r="B341">
        <v>11</v>
      </c>
      <c r="C341">
        <v>20</v>
      </c>
      <c r="D341">
        <v>8</v>
      </c>
      <c r="E341" t="s">
        <v>16</v>
      </c>
      <c r="F341" s="10">
        <f t="shared" si="35"/>
        <v>93</v>
      </c>
      <c r="G341" s="14">
        <f t="shared" si="36"/>
        <v>167.8</v>
      </c>
      <c r="H341" s="7">
        <f t="shared" si="37"/>
        <v>583.25</v>
      </c>
      <c r="I341" s="10">
        <f t="shared" si="38"/>
        <v>1099.8</v>
      </c>
      <c r="J341">
        <f t="shared" si="39"/>
        <v>0</v>
      </c>
      <c r="K341">
        <f t="shared" si="40"/>
        <v>0</v>
      </c>
      <c r="L341" s="10">
        <f t="shared" si="41"/>
        <v>1099.8</v>
      </c>
    </row>
    <row r="342" spans="1:12" x14ac:dyDescent="0.3">
      <c r="A342" s="7">
        <v>3650</v>
      </c>
      <c r="B342">
        <v>6</v>
      </c>
      <c r="C342">
        <v>5</v>
      </c>
      <c r="D342">
        <v>1</v>
      </c>
      <c r="E342" t="s">
        <v>17</v>
      </c>
      <c r="F342" s="10">
        <f t="shared" si="35"/>
        <v>219</v>
      </c>
      <c r="G342" s="14">
        <f t="shared" si="36"/>
        <v>182.5</v>
      </c>
      <c r="H342" s="7">
        <f t="shared" si="37"/>
        <v>4666</v>
      </c>
      <c r="I342" s="10">
        <f t="shared" si="38"/>
        <v>4051.5</v>
      </c>
      <c r="J342">
        <f t="shared" si="39"/>
        <v>1</v>
      </c>
      <c r="K342">
        <f t="shared" si="40"/>
        <v>614.5</v>
      </c>
      <c r="L342" s="10">
        <f t="shared" si="41"/>
        <v>4666</v>
      </c>
    </row>
    <row r="343" spans="1:12" x14ac:dyDescent="0.3">
      <c r="A343" s="7">
        <v>1100</v>
      </c>
      <c r="B343">
        <v>4</v>
      </c>
      <c r="C343">
        <v>5</v>
      </c>
      <c r="D343">
        <v>4</v>
      </c>
      <c r="E343" t="s">
        <v>15</v>
      </c>
      <c r="F343" s="10">
        <f t="shared" si="35"/>
        <v>44</v>
      </c>
      <c r="G343" s="14">
        <f t="shared" si="36"/>
        <v>55</v>
      </c>
      <c r="H343" s="7">
        <f t="shared" si="37"/>
        <v>1166.5</v>
      </c>
      <c r="I343" s="10">
        <f t="shared" si="38"/>
        <v>1199</v>
      </c>
      <c r="J343">
        <f t="shared" si="39"/>
        <v>0</v>
      </c>
      <c r="K343">
        <f t="shared" si="40"/>
        <v>0</v>
      </c>
      <c r="L343" s="10">
        <f t="shared" si="41"/>
        <v>1199</v>
      </c>
    </row>
    <row r="344" spans="1:12" x14ac:dyDescent="0.3">
      <c r="A344" s="7">
        <v>584</v>
      </c>
      <c r="B344">
        <v>6</v>
      </c>
      <c r="C344">
        <v>10</v>
      </c>
      <c r="D344">
        <v>8</v>
      </c>
      <c r="E344" t="s">
        <v>16</v>
      </c>
      <c r="F344" s="10">
        <f t="shared" si="35"/>
        <v>36</v>
      </c>
      <c r="G344" s="14">
        <f t="shared" si="36"/>
        <v>58.4</v>
      </c>
      <c r="H344" s="7">
        <f t="shared" si="37"/>
        <v>583.25</v>
      </c>
      <c r="I344" s="10">
        <f t="shared" si="38"/>
        <v>678.4</v>
      </c>
      <c r="J344">
        <f t="shared" si="39"/>
        <v>0</v>
      </c>
      <c r="K344">
        <f t="shared" si="40"/>
        <v>0</v>
      </c>
      <c r="L344" s="10">
        <f t="shared" si="41"/>
        <v>678.4</v>
      </c>
    </row>
    <row r="345" spans="1:12" x14ac:dyDescent="0.3">
      <c r="A345" s="7">
        <v>5250</v>
      </c>
      <c r="B345">
        <v>16</v>
      </c>
      <c r="C345">
        <v>20</v>
      </c>
      <c r="D345">
        <v>1</v>
      </c>
      <c r="E345" t="s">
        <v>21</v>
      </c>
      <c r="F345" s="10">
        <f t="shared" si="35"/>
        <v>840</v>
      </c>
      <c r="G345" s="14">
        <f t="shared" si="36"/>
        <v>1050</v>
      </c>
      <c r="H345" s="7">
        <f t="shared" si="37"/>
        <v>4666</v>
      </c>
      <c r="I345" s="10">
        <f t="shared" si="38"/>
        <v>7140</v>
      </c>
      <c r="J345">
        <f t="shared" si="39"/>
        <v>0</v>
      </c>
      <c r="K345">
        <f t="shared" si="40"/>
        <v>0</v>
      </c>
      <c r="L345" s="10">
        <f t="shared" si="41"/>
        <v>7140</v>
      </c>
    </row>
    <row r="346" spans="1:12" x14ac:dyDescent="0.3">
      <c r="A346" s="7">
        <v>905</v>
      </c>
      <c r="B346">
        <v>11</v>
      </c>
      <c r="C346">
        <v>15</v>
      </c>
      <c r="D346">
        <v>4</v>
      </c>
      <c r="E346" t="s">
        <v>21</v>
      </c>
      <c r="F346" s="10">
        <f t="shared" si="35"/>
        <v>100</v>
      </c>
      <c r="G346" s="14">
        <f t="shared" si="36"/>
        <v>135.75</v>
      </c>
      <c r="H346" s="7">
        <f t="shared" si="37"/>
        <v>1166.5</v>
      </c>
      <c r="I346" s="10">
        <f t="shared" si="38"/>
        <v>1140.75</v>
      </c>
      <c r="J346">
        <f t="shared" si="39"/>
        <v>1</v>
      </c>
      <c r="K346">
        <f t="shared" si="40"/>
        <v>25.75</v>
      </c>
      <c r="L346" s="10">
        <f t="shared" si="41"/>
        <v>1166.5</v>
      </c>
    </row>
    <row r="347" spans="1:12" x14ac:dyDescent="0.3">
      <c r="A347" s="7">
        <v>3800</v>
      </c>
      <c r="B347">
        <v>9</v>
      </c>
      <c r="C347">
        <v>35</v>
      </c>
      <c r="D347">
        <v>1</v>
      </c>
      <c r="E347" t="s">
        <v>19</v>
      </c>
      <c r="F347" s="10">
        <f t="shared" si="35"/>
        <v>342</v>
      </c>
      <c r="G347" s="14">
        <f t="shared" si="36"/>
        <v>1330</v>
      </c>
      <c r="H347" s="7">
        <f t="shared" si="37"/>
        <v>4666</v>
      </c>
      <c r="I347" s="10">
        <f t="shared" si="38"/>
        <v>5472</v>
      </c>
      <c r="J347">
        <f t="shared" si="39"/>
        <v>0</v>
      </c>
      <c r="K347">
        <f t="shared" si="40"/>
        <v>0</v>
      </c>
      <c r="L347" s="10">
        <f t="shared" si="41"/>
        <v>5472</v>
      </c>
    </row>
    <row r="348" spans="1:12" x14ac:dyDescent="0.3">
      <c r="A348" s="7">
        <v>2095</v>
      </c>
      <c r="B348">
        <v>9</v>
      </c>
      <c r="C348">
        <v>35</v>
      </c>
      <c r="D348">
        <v>2</v>
      </c>
      <c r="E348" t="s">
        <v>21</v>
      </c>
      <c r="F348" s="10">
        <f t="shared" si="35"/>
        <v>189</v>
      </c>
      <c r="G348" s="14">
        <f t="shared" si="36"/>
        <v>733.25</v>
      </c>
      <c r="H348" s="7">
        <f t="shared" si="37"/>
        <v>2333</v>
      </c>
      <c r="I348" s="10">
        <f t="shared" si="38"/>
        <v>3017.25</v>
      </c>
      <c r="J348">
        <f t="shared" si="39"/>
        <v>0</v>
      </c>
      <c r="K348">
        <f t="shared" si="40"/>
        <v>0</v>
      </c>
      <c r="L348" s="10">
        <f t="shared" si="41"/>
        <v>3017.25</v>
      </c>
    </row>
    <row r="349" spans="1:12" x14ac:dyDescent="0.3">
      <c r="A349" s="7">
        <v>6890</v>
      </c>
      <c r="B349">
        <v>19</v>
      </c>
      <c r="C349">
        <v>0</v>
      </c>
      <c r="D349">
        <v>1</v>
      </c>
      <c r="E349" t="s">
        <v>15</v>
      </c>
      <c r="F349" s="10">
        <f t="shared" si="35"/>
        <v>1310</v>
      </c>
      <c r="G349" s="14">
        <f t="shared" si="36"/>
        <v>0</v>
      </c>
      <c r="H349" s="7">
        <f t="shared" si="37"/>
        <v>4666</v>
      </c>
      <c r="I349" s="10">
        <f t="shared" si="38"/>
        <v>8200</v>
      </c>
      <c r="J349">
        <f t="shared" si="39"/>
        <v>0</v>
      </c>
      <c r="K349">
        <f t="shared" si="40"/>
        <v>0</v>
      </c>
      <c r="L349" s="10">
        <f t="shared" si="41"/>
        <v>8200</v>
      </c>
    </row>
    <row r="350" spans="1:12" x14ac:dyDescent="0.3">
      <c r="A350" s="7">
        <v>1117</v>
      </c>
      <c r="B350">
        <v>10</v>
      </c>
      <c r="C350">
        <v>45</v>
      </c>
      <c r="D350">
        <v>3</v>
      </c>
      <c r="E350" t="s">
        <v>19</v>
      </c>
      <c r="F350" s="10">
        <f t="shared" si="35"/>
        <v>112</v>
      </c>
      <c r="G350" s="14">
        <f t="shared" si="36"/>
        <v>502.65</v>
      </c>
      <c r="H350" s="7">
        <f t="shared" si="37"/>
        <v>1555.33</v>
      </c>
      <c r="I350" s="10">
        <f t="shared" si="38"/>
        <v>1731.65</v>
      </c>
      <c r="J350">
        <f t="shared" si="39"/>
        <v>0</v>
      </c>
      <c r="K350">
        <f t="shared" si="40"/>
        <v>0</v>
      </c>
      <c r="L350" s="10">
        <f t="shared" si="41"/>
        <v>1731.65</v>
      </c>
    </row>
    <row r="351" spans="1:12" x14ac:dyDescent="0.3">
      <c r="A351" s="7">
        <v>5900</v>
      </c>
      <c r="B351">
        <v>11</v>
      </c>
      <c r="C351">
        <v>15</v>
      </c>
      <c r="D351">
        <v>1</v>
      </c>
      <c r="E351" t="s">
        <v>17</v>
      </c>
      <c r="F351" s="10">
        <f t="shared" si="35"/>
        <v>649</v>
      </c>
      <c r="G351" s="14">
        <f t="shared" si="36"/>
        <v>885</v>
      </c>
      <c r="H351" s="7">
        <f t="shared" si="37"/>
        <v>4666</v>
      </c>
      <c r="I351" s="10">
        <f t="shared" si="38"/>
        <v>7434</v>
      </c>
      <c r="J351">
        <f t="shared" si="39"/>
        <v>0</v>
      </c>
      <c r="K351">
        <f t="shared" si="40"/>
        <v>0</v>
      </c>
      <c r="L351" s="10">
        <f t="shared" si="41"/>
        <v>7434</v>
      </c>
    </row>
    <row r="352" spans="1:12" x14ac:dyDescent="0.3">
      <c r="A352" s="7">
        <v>3240</v>
      </c>
      <c r="B352">
        <v>18</v>
      </c>
      <c r="C352">
        <v>15</v>
      </c>
      <c r="D352">
        <v>2</v>
      </c>
      <c r="E352" t="s">
        <v>19</v>
      </c>
      <c r="F352" s="10">
        <f t="shared" si="35"/>
        <v>584</v>
      </c>
      <c r="G352" s="14">
        <f t="shared" si="36"/>
        <v>486</v>
      </c>
      <c r="H352" s="7">
        <f t="shared" si="37"/>
        <v>2333</v>
      </c>
      <c r="I352" s="10">
        <f t="shared" si="38"/>
        <v>4310</v>
      </c>
      <c r="J352">
        <f t="shared" si="39"/>
        <v>0</v>
      </c>
      <c r="K352">
        <f t="shared" si="40"/>
        <v>0</v>
      </c>
      <c r="L352" s="10">
        <f t="shared" si="41"/>
        <v>4310</v>
      </c>
    </row>
    <row r="353" spans="1:12" x14ac:dyDescent="0.3">
      <c r="A353" s="7">
        <v>1530</v>
      </c>
      <c r="B353">
        <v>6</v>
      </c>
      <c r="C353">
        <v>0</v>
      </c>
      <c r="D353">
        <v>3</v>
      </c>
      <c r="E353" t="s">
        <v>15</v>
      </c>
      <c r="F353" s="10">
        <f t="shared" si="35"/>
        <v>92</v>
      </c>
      <c r="G353" s="14">
        <f t="shared" si="36"/>
        <v>0</v>
      </c>
      <c r="H353" s="7">
        <f t="shared" si="37"/>
        <v>1555.33</v>
      </c>
      <c r="I353" s="10">
        <f t="shared" si="38"/>
        <v>1622</v>
      </c>
      <c r="J353">
        <f t="shared" si="39"/>
        <v>0</v>
      </c>
      <c r="K353">
        <f t="shared" si="40"/>
        <v>0</v>
      </c>
      <c r="L353" s="10">
        <f t="shared" si="41"/>
        <v>1622</v>
      </c>
    </row>
    <row r="354" spans="1:12" x14ac:dyDescent="0.3">
      <c r="A354" s="7">
        <v>388</v>
      </c>
      <c r="B354">
        <v>18</v>
      </c>
      <c r="C354">
        <v>30</v>
      </c>
      <c r="D354">
        <v>8</v>
      </c>
      <c r="E354" t="s">
        <v>16</v>
      </c>
      <c r="F354" s="10">
        <f t="shared" si="35"/>
        <v>70</v>
      </c>
      <c r="G354" s="14">
        <f t="shared" si="36"/>
        <v>116.4</v>
      </c>
      <c r="H354" s="7">
        <f t="shared" si="37"/>
        <v>583.25</v>
      </c>
      <c r="I354" s="10">
        <f t="shared" si="38"/>
        <v>574.4</v>
      </c>
      <c r="J354">
        <f t="shared" si="39"/>
        <v>1</v>
      </c>
      <c r="K354">
        <f t="shared" si="40"/>
        <v>8.8500000000000227</v>
      </c>
      <c r="L354" s="10">
        <f t="shared" si="41"/>
        <v>583.25</v>
      </c>
    </row>
    <row r="355" spans="1:12" x14ac:dyDescent="0.3">
      <c r="A355" s="7">
        <v>3360</v>
      </c>
      <c r="B355">
        <v>3</v>
      </c>
      <c r="C355">
        <v>30</v>
      </c>
      <c r="D355">
        <v>1</v>
      </c>
      <c r="E355" t="s">
        <v>19</v>
      </c>
      <c r="F355" s="10">
        <f t="shared" si="35"/>
        <v>101</v>
      </c>
      <c r="G355" s="14">
        <f t="shared" si="36"/>
        <v>1008</v>
      </c>
      <c r="H355" s="7">
        <f t="shared" si="37"/>
        <v>4666</v>
      </c>
      <c r="I355" s="10">
        <f t="shared" si="38"/>
        <v>4469</v>
      </c>
      <c r="J355">
        <f t="shared" si="39"/>
        <v>1</v>
      </c>
      <c r="K355">
        <f t="shared" si="40"/>
        <v>197</v>
      </c>
      <c r="L355" s="10">
        <f t="shared" si="41"/>
        <v>4666</v>
      </c>
    </row>
    <row r="356" spans="1:12" x14ac:dyDescent="0.3">
      <c r="A356" s="7">
        <v>608</v>
      </c>
      <c r="B356">
        <v>19</v>
      </c>
      <c r="C356">
        <v>10</v>
      </c>
      <c r="D356">
        <v>9</v>
      </c>
      <c r="E356" t="s">
        <v>20</v>
      </c>
      <c r="F356" s="10">
        <f t="shared" si="35"/>
        <v>116</v>
      </c>
      <c r="G356" s="14">
        <f t="shared" si="36"/>
        <v>60.8</v>
      </c>
      <c r="H356" s="7">
        <f t="shared" si="37"/>
        <v>518.44000000000005</v>
      </c>
      <c r="I356" s="10">
        <f t="shared" si="38"/>
        <v>784.8</v>
      </c>
      <c r="J356">
        <f t="shared" si="39"/>
        <v>0</v>
      </c>
      <c r="K356">
        <f t="shared" si="40"/>
        <v>0</v>
      </c>
      <c r="L356" s="10">
        <f t="shared" si="41"/>
        <v>784.8</v>
      </c>
    </row>
    <row r="357" spans="1:12" x14ac:dyDescent="0.3">
      <c r="A357" s="7">
        <v>904</v>
      </c>
      <c r="B357">
        <v>9</v>
      </c>
      <c r="C357">
        <v>25</v>
      </c>
      <c r="D357">
        <v>7</v>
      </c>
      <c r="E357" t="s">
        <v>16</v>
      </c>
      <c r="F357" s="10">
        <f t="shared" si="35"/>
        <v>82</v>
      </c>
      <c r="G357" s="14">
        <f t="shared" si="36"/>
        <v>226</v>
      </c>
      <c r="H357" s="7">
        <f t="shared" si="37"/>
        <v>666.57</v>
      </c>
      <c r="I357" s="10">
        <f t="shared" si="38"/>
        <v>1212</v>
      </c>
      <c r="J357">
        <f t="shared" si="39"/>
        <v>0</v>
      </c>
      <c r="K357">
        <f t="shared" si="40"/>
        <v>0</v>
      </c>
      <c r="L357" s="10">
        <f t="shared" si="41"/>
        <v>1212</v>
      </c>
    </row>
    <row r="358" spans="1:12" x14ac:dyDescent="0.3">
      <c r="A358" s="7">
        <v>1028</v>
      </c>
      <c r="B358">
        <v>11</v>
      </c>
      <c r="C358">
        <v>5</v>
      </c>
      <c r="D358">
        <v>6</v>
      </c>
      <c r="E358" t="s">
        <v>17</v>
      </c>
      <c r="F358" s="10">
        <f t="shared" si="35"/>
        <v>114</v>
      </c>
      <c r="G358" s="14">
        <f t="shared" si="36"/>
        <v>51.4</v>
      </c>
      <c r="H358" s="7">
        <f t="shared" si="37"/>
        <v>777.67</v>
      </c>
      <c r="I358" s="10">
        <f t="shared" si="38"/>
        <v>1193.4000000000001</v>
      </c>
      <c r="J358">
        <f t="shared" si="39"/>
        <v>0</v>
      </c>
      <c r="K358">
        <f t="shared" si="40"/>
        <v>0</v>
      </c>
      <c r="L358" s="10">
        <f t="shared" si="41"/>
        <v>1193.4000000000001</v>
      </c>
    </row>
    <row r="359" spans="1:12" x14ac:dyDescent="0.3">
      <c r="A359" s="7">
        <v>6790</v>
      </c>
      <c r="B359">
        <v>5</v>
      </c>
      <c r="C359">
        <v>10</v>
      </c>
      <c r="D359">
        <v>1</v>
      </c>
      <c r="E359" t="s">
        <v>15</v>
      </c>
      <c r="F359" s="10">
        <f t="shared" si="35"/>
        <v>340</v>
      </c>
      <c r="G359" s="14">
        <f t="shared" si="36"/>
        <v>679</v>
      </c>
      <c r="H359" s="7">
        <f t="shared" si="37"/>
        <v>4666</v>
      </c>
      <c r="I359" s="10">
        <f t="shared" si="38"/>
        <v>7809</v>
      </c>
      <c r="J359">
        <f t="shared" si="39"/>
        <v>0</v>
      </c>
      <c r="K359">
        <f t="shared" si="40"/>
        <v>0</v>
      </c>
      <c r="L359" s="10">
        <f t="shared" si="41"/>
        <v>7809</v>
      </c>
    </row>
    <row r="360" spans="1:12" x14ac:dyDescent="0.3">
      <c r="A360" s="7">
        <v>852</v>
      </c>
      <c r="B360">
        <v>18</v>
      </c>
      <c r="C360">
        <v>45</v>
      </c>
      <c r="D360">
        <v>5</v>
      </c>
      <c r="E360" t="s">
        <v>19</v>
      </c>
      <c r="F360" s="10">
        <f t="shared" si="35"/>
        <v>154</v>
      </c>
      <c r="G360" s="14">
        <f t="shared" si="36"/>
        <v>383.4</v>
      </c>
      <c r="H360" s="7">
        <f t="shared" si="37"/>
        <v>933.2</v>
      </c>
      <c r="I360" s="10">
        <f t="shared" si="38"/>
        <v>1389.4</v>
      </c>
      <c r="J360">
        <f t="shared" si="39"/>
        <v>0</v>
      </c>
      <c r="K360">
        <f t="shared" si="40"/>
        <v>0</v>
      </c>
      <c r="L360" s="10">
        <f t="shared" si="41"/>
        <v>1389.4</v>
      </c>
    </row>
    <row r="361" spans="1:12" x14ac:dyDescent="0.3">
      <c r="A361" s="7">
        <v>918</v>
      </c>
      <c r="B361">
        <v>5</v>
      </c>
      <c r="C361">
        <v>10</v>
      </c>
      <c r="D361">
        <v>6</v>
      </c>
      <c r="E361" t="s">
        <v>21</v>
      </c>
      <c r="F361" s="10">
        <f t="shared" si="35"/>
        <v>46</v>
      </c>
      <c r="G361" s="14">
        <f t="shared" si="36"/>
        <v>91.8</v>
      </c>
      <c r="H361" s="7">
        <f t="shared" si="37"/>
        <v>777.67</v>
      </c>
      <c r="I361" s="10">
        <f t="shared" si="38"/>
        <v>1055.8</v>
      </c>
      <c r="J361">
        <f t="shared" si="39"/>
        <v>0</v>
      </c>
      <c r="K361">
        <f t="shared" si="40"/>
        <v>0</v>
      </c>
      <c r="L361" s="10">
        <f t="shared" si="41"/>
        <v>1055.8</v>
      </c>
    </row>
    <row r="362" spans="1:12" x14ac:dyDescent="0.3">
      <c r="A362" s="7">
        <v>1527</v>
      </c>
      <c r="B362">
        <v>10</v>
      </c>
      <c r="C362">
        <v>45</v>
      </c>
      <c r="D362">
        <v>3</v>
      </c>
      <c r="E362" t="s">
        <v>16</v>
      </c>
      <c r="F362" s="10">
        <f t="shared" si="35"/>
        <v>153</v>
      </c>
      <c r="G362" s="14">
        <f t="shared" si="36"/>
        <v>687.15</v>
      </c>
      <c r="H362" s="7">
        <f t="shared" si="37"/>
        <v>1555.33</v>
      </c>
      <c r="I362" s="10">
        <f t="shared" si="38"/>
        <v>2367.15</v>
      </c>
      <c r="J362">
        <f t="shared" si="39"/>
        <v>0</v>
      </c>
      <c r="K362">
        <f t="shared" si="40"/>
        <v>0</v>
      </c>
      <c r="L362" s="10">
        <f t="shared" si="41"/>
        <v>2367.15</v>
      </c>
    </row>
    <row r="363" spans="1:12" x14ac:dyDescent="0.3">
      <c r="A363" s="7">
        <v>6640</v>
      </c>
      <c r="B363">
        <v>18</v>
      </c>
      <c r="C363">
        <v>35</v>
      </c>
      <c r="D363">
        <v>1</v>
      </c>
      <c r="E363" t="s">
        <v>20</v>
      </c>
      <c r="F363" s="10">
        <f t="shared" si="35"/>
        <v>1196</v>
      </c>
      <c r="G363" s="14">
        <f t="shared" si="36"/>
        <v>2324</v>
      </c>
      <c r="H363" s="7">
        <f t="shared" si="37"/>
        <v>4666</v>
      </c>
      <c r="I363" s="10">
        <f t="shared" si="38"/>
        <v>10160</v>
      </c>
      <c r="J363">
        <f t="shared" si="39"/>
        <v>0</v>
      </c>
      <c r="K363">
        <f t="shared" si="40"/>
        <v>0</v>
      </c>
      <c r="L363" s="10">
        <f t="shared" si="41"/>
        <v>10160</v>
      </c>
    </row>
    <row r="364" spans="1:12" x14ac:dyDescent="0.3">
      <c r="A364" s="7">
        <v>3200</v>
      </c>
      <c r="B364">
        <v>1</v>
      </c>
      <c r="C364">
        <v>25</v>
      </c>
      <c r="D364">
        <v>1</v>
      </c>
      <c r="E364" t="s">
        <v>21</v>
      </c>
      <c r="F364" s="10">
        <f t="shared" si="35"/>
        <v>32</v>
      </c>
      <c r="G364" s="14">
        <f t="shared" si="36"/>
        <v>800</v>
      </c>
      <c r="H364" s="7">
        <f t="shared" si="37"/>
        <v>4666</v>
      </c>
      <c r="I364" s="10">
        <f t="shared" si="38"/>
        <v>4032</v>
      </c>
      <c r="J364">
        <f t="shared" si="39"/>
        <v>1</v>
      </c>
      <c r="K364">
        <f t="shared" si="40"/>
        <v>634</v>
      </c>
      <c r="L364" s="10">
        <f t="shared" si="41"/>
        <v>4666</v>
      </c>
    </row>
    <row r="365" spans="1:12" x14ac:dyDescent="0.3">
      <c r="A365" s="7">
        <v>6310</v>
      </c>
      <c r="B365">
        <v>6</v>
      </c>
      <c r="C365">
        <v>30</v>
      </c>
      <c r="D365">
        <v>1</v>
      </c>
      <c r="E365" t="s">
        <v>20</v>
      </c>
      <c r="F365" s="10">
        <f t="shared" si="35"/>
        <v>379</v>
      </c>
      <c r="G365" s="14">
        <f t="shared" si="36"/>
        <v>1893</v>
      </c>
      <c r="H365" s="7">
        <f t="shared" si="37"/>
        <v>4666</v>
      </c>
      <c r="I365" s="10">
        <f t="shared" si="38"/>
        <v>8582</v>
      </c>
      <c r="J365">
        <f t="shared" si="39"/>
        <v>0</v>
      </c>
      <c r="K365">
        <f t="shared" si="40"/>
        <v>0</v>
      </c>
      <c r="L365" s="10">
        <f t="shared" si="41"/>
        <v>8582</v>
      </c>
    </row>
    <row r="366" spans="1:12" x14ac:dyDescent="0.3">
      <c r="A366" s="7">
        <v>403</v>
      </c>
      <c r="B366">
        <v>20</v>
      </c>
      <c r="C366">
        <v>20</v>
      </c>
      <c r="D366">
        <v>8</v>
      </c>
      <c r="E366" t="s">
        <v>21</v>
      </c>
      <c r="F366" s="10">
        <f t="shared" si="35"/>
        <v>81</v>
      </c>
      <c r="G366" s="14">
        <f t="shared" si="36"/>
        <v>80.599999999999994</v>
      </c>
      <c r="H366" s="7">
        <f t="shared" si="37"/>
        <v>583.25</v>
      </c>
      <c r="I366" s="10">
        <f t="shared" si="38"/>
        <v>564.6</v>
      </c>
      <c r="J366">
        <f t="shared" si="39"/>
        <v>1</v>
      </c>
      <c r="K366">
        <f t="shared" si="40"/>
        <v>18.649999999999977</v>
      </c>
      <c r="L366" s="10">
        <f t="shared" si="41"/>
        <v>583.25</v>
      </c>
    </row>
    <row r="367" spans="1:12" x14ac:dyDescent="0.3">
      <c r="A367" s="7">
        <v>648</v>
      </c>
      <c r="B367">
        <v>18</v>
      </c>
      <c r="C367">
        <v>30</v>
      </c>
      <c r="D367">
        <v>9</v>
      </c>
      <c r="E367" t="s">
        <v>17</v>
      </c>
      <c r="F367" s="10">
        <f t="shared" si="35"/>
        <v>117</v>
      </c>
      <c r="G367" s="14">
        <f t="shared" si="36"/>
        <v>194.4</v>
      </c>
      <c r="H367" s="7">
        <f t="shared" si="37"/>
        <v>518.44000000000005</v>
      </c>
      <c r="I367" s="10">
        <f t="shared" si="38"/>
        <v>959.4</v>
      </c>
      <c r="J367">
        <f t="shared" si="39"/>
        <v>0</v>
      </c>
      <c r="K367">
        <f t="shared" si="40"/>
        <v>0</v>
      </c>
      <c r="L367" s="10">
        <f t="shared" si="41"/>
        <v>959.4</v>
      </c>
    </row>
    <row r="368" spans="1:12" x14ac:dyDescent="0.3">
      <c r="A368" s="7">
        <v>4930</v>
      </c>
      <c r="B368">
        <v>10</v>
      </c>
      <c r="C368">
        <v>10</v>
      </c>
      <c r="D368">
        <v>1</v>
      </c>
      <c r="E368" t="s">
        <v>18</v>
      </c>
      <c r="F368" s="10">
        <f t="shared" si="35"/>
        <v>493</v>
      </c>
      <c r="G368" s="14">
        <f t="shared" si="36"/>
        <v>493</v>
      </c>
      <c r="H368" s="7">
        <f t="shared" si="37"/>
        <v>4666</v>
      </c>
      <c r="I368" s="10">
        <f t="shared" si="38"/>
        <v>5916</v>
      </c>
      <c r="J368">
        <f t="shared" si="39"/>
        <v>0</v>
      </c>
      <c r="K368">
        <f t="shared" si="40"/>
        <v>0</v>
      </c>
      <c r="L368" s="10">
        <f t="shared" si="41"/>
        <v>5916</v>
      </c>
    </row>
    <row r="369" spans="1:12" x14ac:dyDescent="0.3">
      <c r="A369" s="7">
        <v>496</v>
      </c>
      <c r="B369">
        <v>17</v>
      </c>
      <c r="C369">
        <v>35</v>
      </c>
      <c r="D369">
        <v>10</v>
      </c>
      <c r="E369" t="s">
        <v>15</v>
      </c>
      <c r="F369" s="10">
        <f t="shared" si="35"/>
        <v>85</v>
      </c>
      <c r="G369" s="14">
        <f t="shared" si="36"/>
        <v>173.6</v>
      </c>
      <c r="H369" s="7">
        <f t="shared" si="37"/>
        <v>466.6</v>
      </c>
      <c r="I369" s="10">
        <f t="shared" si="38"/>
        <v>754.6</v>
      </c>
      <c r="J369">
        <f t="shared" si="39"/>
        <v>0</v>
      </c>
      <c r="K369">
        <f t="shared" si="40"/>
        <v>0</v>
      </c>
      <c r="L369" s="10">
        <f t="shared" si="41"/>
        <v>754.6</v>
      </c>
    </row>
    <row r="370" spans="1:12" x14ac:dyDescent="0.3">
      <c r="A370" s="7">
        <v>1338</v>
      </c>
      <c r="B370">
        <v>20</v>
      </c>
      <c r="C370">
        <v>30</v>
      </c>
      <c r="D370">
        <v>4</v>
      </c>
      <c r="E370" t="s">
        <v>18</v>
      </c>
      <c r="F370" s="10">
        <f t="shared" si="35"/>
        <v>268</v>
      </c>
      <c r="G370" s="14">
        <f t="shared" si="36"/>
        <v>401.4</v>
      </c>
      <c r="H370" s="7">
        <f t="shared" si="37"/>
        <v>1166.5</v>
      </c>
      <c r="I370" s="10">
        <f t="shared" si="38"/>
        <v>2007.4</v>
      </c>
      <c r="J370">
        <f t="shared" si="39"/>
        <v>0</v>
      </c>
      <c r="K370">
        <f t="shared" si="40"/>
        <v>0</v>
      </c>
      <c r="L370" s="10">
        <f t="shared" si="41"/>
        <v>2007.4</v>
      </c>
    </row>
    <row r="371" spans="1:12" x14ac:dyDescent="0.3">
      <c r="A371" s="7">
        <v>4190</v>
      </c>
      <c r="B371">
        <v>13</v>
      </c>
      <c r="C371">
        <v>0</v>
      </c>
      <c r="D371">
        <v>1</v>
      </c>
      <c r="E371" t="s">
        <v>19</v>
      </c>
      <c r="F371" s="10">
        <f t="shared" si="35"/>
        <v>545</v>
      </c>
      <c r="G371" s="14">
        <f t="shared" si="36"/>
        <v>0</v>
      </c>
      <c r="H371" s="7">
        <f t="shared" si="37"/>
        <v>4666</v>
      </c>
      <c r="I371" s="10">
        <f t="shared" si="38"/>
        <v>4735</v>
      </c>
      <c r="J371">
        <f t="shared" si="39"/>
        <v>0</v>
      </c>
      <c r="K371">
        <f t="shared" si="40"/>
        <v>0</v>
      </c>
      <c r="L371" s="10">
        <f t="shared" si="41"/>
        <v>4735</v>
      </c>
    </row>
    <row r="372" spans="1:12" x14ac:dyDescent="0.3">
      <c r="A372" s="7">
        <v>610</v>
      </c>
      <c r="B372">
        <v>17</v>
      </c>
      <c r="C372">
        <v>0</v>
      </c>
      <c r="D372">
        <v>10</v>
      </c>
      <c r="E372" t="s">
        <v>15</v>
      </c>
      <c r="F372" s="10">
        <f t="shared" si="35"/>
        <v>104</v>
      </c>
      <c r="G372" s="14">
        <f t="shared" si="36"/>
        <v>0</v>
      </c>
      <c r="H372" s="7">
        <f t="shared" si="37"/>
        <v>466.6</v>
      </c>
      <c r="I372" s="10">
        <f t="shared" si="38"/>
        <v>714</v>
      </c>
      <c r="J372">
        <f t="shared" si="39"/>
        <v>0</v>
      </c>
      <c r="K372">
        <f t="shared" si="40"/>
        <v>0</v>
      </c>
      <c r="L372" s="10">
        <f t="shared" si="41"/>
        <v>714</v>
      </c>
    </row>
    <row r="373" spans="1:12" x14ac:dyDescent="0.3">
      <c r="A373" s="7">
        <v>5220</v>
      </c>
      <c r="B373">
        <v>0</v>
      </c>
      <c r="C373">
        <v>15</v>
      </c>
      <c r="D373">
        <v>1</v>
      </c>
      <c r="E373" t="s">
        <v>21</v>
      </c>
      <c r="F373" s="10">
        <f t="shared" si="35"/>
        <v>0</v>
      </c>
      <c r="G373" s="14">
        <f t="shared" si="36"/>
        <v>783</v>
      </c>
      <c r="H373" s="7">
        <f t="shared" si="37"/>
        <v>4666</v>
      </c>
      <c r="I373" s="10">
        <f t="shared" si="38"/>
        <v>6003</v>
      </c>
      <c r="J373">
        <f t="shared" si="39"/>
        <v>0</v>
      </c>
      <c r="K373">
        <f t="shared" si="40"/>
        <v>0</v>
      </c>
      <c r="L373" s="10">
        <f t="shared" si="41"/>
        <v>6003</v>
      </c>
    </row>
    <row r="374" spans="1:12" x14ac:dyDescent="0.3">
      <c r="A374" s="7">
        <v>457</v>
      </c>
      <c r="B374">
        <v>7</v>
      </c>
      <c r="C374">
        <v>20</v>
      </c>
      <c r="D374">
        <v>9</v>
      </c>
      <c r="E374" t="s">
        <v>17</v>
      </c>
      <c r="F374" s="10">
        <f t="shared" si="35"/>
        <v>32</v>
      </c>
      <c r="G374" s="14">
        <f t="shared" si="36"/>
        <v>91.4</v>
      </c>
      <c r="H374" s="7">
        <f t="shared" si="37"/>
        <v>518.44000000000005</v>
      </c>
      <c r="I374" s="10">
        <f t="shared" si="38"/>
        <v>580.4</v>
      </c>
      <c r="J374">
        <f t="shared" si="39"/>
        <v>0</v>
      </c>
      <c r="K374">
        <f t="shared" si="40"/>
        <v>0</v>
      </c>
      <c r="L374" s="10">
        <f t="shared" si="41"/>
        <v>580.4</v>
      </c>
    </row>
    <row r="375" spans="1:12" x14ac:dyDescent="0.3">
      <c r="A375" s="7">
        <v>991</v>
      </c>
      <c r="B375">
        <v>18</v>
      </c>
      <c r="C375">
        <v>5</v>
      </c>
      <c r="D375">
        <v>7</v>
      </c>
      <c r="E375" t="s">
        <v>21</v>
      </c>
      <c r="F375" s="10">
        <f t="shared" si="35"/>
        <v>179</v>
      </c>
      <c r="G375" s="14">
        <f t="shared" si="36"/>
        <v>49.55</v>
      </c>
      <c r="H375" s="7">
        <f t="shared" si="37"/>
        <v>666.57</v>
      </c>
      <c r="I375" s="10">
        <f t="shared" si="38"/>
        <v>1219.55</v>
      </c>
      <c r="J375">
        <f t="shared" si="39"/>
        <v>0</v>
      </c>
      <c r="K375">
        <f t="shared" si="40"/>
        <v>0</v>
      </c>
      <c r="L375" s="10">
        <f t="shared" si="41"/>
        <v>1219.55</v>
      </c>
    </row>
    <row r="376" spans="1:12" x14ac:dyDescent="0.3">
      <c r="A376" s="7">
        <v>1083</v>
      </c>
      <c r="B376">
        <v>2</v>
      </c>
      <c r="C376">
        <v>35</v>
      </c>
      <c r="D376">
        <v>3</v>
      </c>
      <c r="E376" t="s">
        <v>21</v>
      </c>
      <c r="F376" s="10">
        <f t="shared" si="35"/>
        <v>22</v>
      </c>
      <c r="G376" s="14">
        <f t="shared" si="36"/>
        <v>379.05</v>
      </c>
      <c r="H376" s="7">
        <f t="shared" si="37"/>
        <v>1555.33</v>
      </c>
      <c r="I376" s="10">
        <f t="shared" si="38"/>
        <v>1484.05</v>
      </c>
      <c r="J376">
        <f t="shared" si="39"/>
        <v>1</v>
      </c>
      <c r="K376">
        <f t="shared" si="40"/>
        <v>71.279999999999973</v>
      </c>
      <c r="L376" s="10">
        <f t="shared" si="41"/>
        <v>1555.33</v>
      </c>
    </row>
    <row r="377" spans="1:12" x14ac:dyDescent="0.3">
      <c r="A377" s="7">
        <v>380</v>
      </c>
      <c r="B377">
        <v>20</v>
      </c>
      <c r="C377">
        <v>10</v>
      </c>
      <c r="D377">
        <v>8</v>
      </c>
      <c r="E377" t="s">
        <v>16</v>
      </c>
      <c r="F377" s="10">
        <f t="shared" si="35"/>
        <v>76</v>
      </c>
      <c r="G377" s="14">
        <f t="shared" si="36"/>
        <v>38</v>
      </c>
      <c r="H377" s="7">
        <f t="shared" si="37"/>
        <v>583.25</v>
      </c>
      <c r="I377" s="10">
        <f t="shared" si="38"/>
        <v>494</v>
      </c>
      <c r="J377">
        <f t="shared" si="39"/>
        <v>1</v>
      </c>
      <c r="K377">
        <f t="shared" si="40"/>
        <v>89.25</v>
      </c>
      <c r="L377" s="10">
        <f t="shared" si="41"/>
        <v>583.25</v>
      </c>
    </row>
    <row r="378" spans="1:12" x14ac:dyDescent="0.3">
      <c r="A378" s="7">
        <v>849</v>
      </c>
      <c r="B378">
        <v>13</v>
      </c>
      <c r="C378">
        <v>50</v>
      </c>
      <c r="D378">
        <v>8</v>
      </c>
      <c r="E378" t="s">
        <v>15</v>
      </c>
      <c r="F378" s="10">
        <f t="shared" si="35"/>
        <v>111</v>
      </c>
      <c r="G378" s="14">
        <f t="shared" si="36"/>
        <v>424.5</v>
      </c>
      <c r="H378" s="7">
        <f t="shared" si="37"/>
        <v>583.25</v>
      </c>
      <c r="I378" s="10">
        <f t="shared" si="38"/>
        <v>1384.5</v>
      </c>
      <c r="J378">
        <f t="shared" si="39"/>
        <v>0</v>
      </c>
      <c r="K378">
        <f t="shared" si="40"/>
        <v>0</v>
      </c>
      <c r="L378" s="10">
        <f t="shared" si="41"/>
        <v>1384.5</v>
      </c>
    </row>
    <row r="379" spans="1:12" x14ac:dyDescent="0.3">
      <c r="A379" s="7">
        <v>1453</v>
      </c>
      <c r="B379">
        <v>5</v>
      </c>
      <c r="C379">
        <v>50</v>
      </c>
      <c r="D379">
        <v>3</v>
      </c>
      <c r="E379" t="s">
        <v>15</v>
      </c>
      <c r="F379" s="10">
        <f t="shared" si="35"/>
        <v>73</v>
      </c>
      <c r="G379" s="14">
        <f t="shared" si="36"/>
        <v>726.5</v>
      </c>
      <c r="H379" s="7">
        <f t="shared" si="37"/>
        <v>1555.33</v>
      </c>
      <c r="I379" s="10">
        <f t="shared" si="38"/>
        <v>2252.5</v>
      </c>
      <c r="J379">
        <f t="shared" si="39"/>
        <v>0</v>
      </c>
      <c r="K379">
        <f t="shared" si="40"/>
        <v>0</v>
      </c>
      <c r="L379" s="10">
        <f t="shared" si="41"/>
        <v>2252.5</v>
      </c>
    </row>
    <row r="380" spans="1:12" x14ac:dyDescent="0.3">
      <c r="A380" s="7">
        <v>4060</v>
      </c>
      <c r="B380">
        <v>5</v>
      </c>
      <c r="C380">
        <v>30</v>
      </c>
      <c r="D380">
        <v>1</v>
      </c>
      <c r="E380" t="s">
        <v>18</v>
      </c>
      <c r="F380" s="10">
        <f t="shared" si="35"/>
        <v>203</v>
      </c>
      <c r="G380" s="14">
        <f t="shared" si="36"/>
        <v>1218</v>
      </c>
      <c r="H380" s="7">
        <f t="shared" si="37"/>
        <v>4666</v>
      </c>
      <c r="I380" s="10">
        <f t="shared" si="38"/>
        <v>5481</v>
      </c>
      <c r="J380">
        <f t="shared" si="39"/>
        <v>0</v>
      </c>
      <c r="K380">
        <f t="shared" si="40"/>
        <v>0</v>
      </c>
      <c r="L380" s="10">
        <f t="shared" si="41"/>
        <v>5481</v>
      </c>
    </row>
    <row r="381" spans="1:12" x14ac:dyDescent="0.3">
      <c r="A381" s="7">
        <v>997</v>
      </c>
      <c r="B381">
        <v>11</v>
      </c>
      <c r="C381">
        <v>10</v>
      </c>
      <c r="D381">
        <v>6</v>
      </c>
      <c r="E381" t="s">
        <v>16</v>
      </c>
      <c r="F381" s="10">
        <f t="shared" si="35"/>
        <v>110</v>
      </c>
      <c r="G381" s="14">
        <f t="shared" si="36"/>
        <v>99.7</v>
      </c>
      <c r="H381" s="7">
        <f t="shared" si="37"/>
        <v>777.67</v>
      </c>
      <c r="I381" s="10">
        <f t="shared" si="38"/>
        <v>1206.7</v>
      </c>
      <c r="J381">
        <f t="shared" si="39"/>
        <v>0</v>
      </c>
      <c r="K381">
        <f t="shared" si="40"/>
        <v>0</v>
      </c>
      <c r="L381" s="10">
        <f t="shared" si="41"/>
        <v>1206.7</v>
      </c>
    </row>
    <row r="382" spans="1:12" x14ac:dyDescent="0.3">
      <c r="A382" s="7">
        <v>3445</v>
      </c>
      <c r="B382">
        <v>10</v>
      </c>
      <c r="C382">
        <v>50</v>
      </c>
      <c r="D382">
        <v>2</v>
      </c>
      <c r="E382" t="s">
        <v>21</v>
      </c>
      <c r="F382" s="10">
        <f t="shared" si="35"/>
        <v>345</v>
      </c>
      <c r="G382" s="14">
        <f t="shared" si="36"/>
        <v>1722.5</v>
      </c>
      <c r="H382" s="7">
        <f t="shared" si="37"/>
        <v>2333</v>
      </c>
      <c r="I382" s="10">
        <f t="shared" si="38"/>
        <v>5512.5</v>
      </c>
      <c r="J382">
        <f t="shared" si="39"/>
        <v>0</v>
      </c>
      <c r="K382">
        <f t="shared" si="40"/>
        <v>0</v>
      </c>
      <c r="L382" s="10">
        <f t="shared" si="41"/>
        <v>5512.5</v>
      </c>
    </row>
    <row r="383" spans="1:12" x14ac:dyDescent="0.3">
      <c r="A383" s="7">
        <v>1158</v>
      </c>
      <c r="B383">
        <v>12</v>
      </c>
      <c r="C383">
        <v>25</v>
      </c>
      <c r="D383">
        <v>5</v>
      </c>
      <c r="E383" t="s">
        <v>20</v>
      </c>
      <c r="F383" s="10">
        <f t="shared" si="35"/>
        <v>139</v>
      </c>
      <c r="G383" s="14">
        <f t="shared" si="36"/>
        <v>289.5</v>
      </c>
      <c r="H383" s="7">
        <f t="shared" si="37"/>
        <v>933.2</v>
      </c>
      <c r="I383" s="10">
        <f t="shared" si="38"/>
        <v>1586.5</v>
      </c>
      <c r="J383">
        <f t="shared" si="39"/>
        <v>0</v>
      </c>
      <c r="K383">
        <f t="shared" si="40"/>
        <v>0</v>
      </c>
      <c r="L383" s="10">
        <f t="shared" si="41"/>
        <v>1586.5</v>
      </c>
    </row>
    <row r="384" spans="1:12" x14ac:dyDescent="0.3">
      <c r="A384" s="7">
        <v>3250</v>
      </c>
      <c r="B384">
        <v>10</v>
      </c>
      <c r="C384">
        <v>15</v>
      </c>
      <c r="D384">
        <v>1</v>
      </c>
      <c r="E384" t="s">
        <v>18</v>
      </c>
      <c r="F384" s="10">
        <f t="shared" si="35"/>
        <v>325</v>
      </c>
      <c r="G384" s="14">
        <f t="shared" si="36"/>
        <v>487.5</v>
      </c>
      <c r="H384" s="7">
        <f t="shared" si="37"/>
        <v>4666</v>
      </c>
      <c r="I384" s="10">
        <f t="shared" si="38"/>
        <v>4062.5</v>
      </c>
      <c r="J384">
        <f t="shared" si="39"/>
        <v>1</v>
      </c>
      <c r="K384">
        <f t="shared" si="40"/>
        <v>603.5</v>
      </c>
      <c r="L384" s="10">
        <f t="shared" si="41"/>
        <v>4666</v>
      </c>
    </row>
    <row r="385" spans="1:12" x14ac:dyDescent="0.3">
      <c r="A385" s="7">
        <v>6940</v>
      </c>
      <c r="B385">
        <v>18</v>
      </c>
      <c r="C385">
        <v>35</v>
      </c>
      <c r="D385">
        <v>1</v>
      </c>
      <c r="E385" t="s">
        <v>21</v>
      </c>
      <c r="F385" s="10">
        <f t="shared" si="35"/>
        <v>1250</v>
      </c>
      <c r="G385" s="14">
        <f t="shared" si="36"/>
        <v>2429</v>
      </c>
      <c r="H385" s="7">
        <f t="shared" si="37"/>
        <v>4666</v>
      </c>
      <c r="I385" s="10">
        <f t="shared" si="38"/>
        <v>10619</v>
      </c>
      <c r="J385">
        <f t="shared" si="39"/>
        <v>0</v>
      </c>
      <c r="K385">
        <f t="shared" si="40"/>
        <v>0</v>
      </c>
      <c r="L385" s="10">
        <f t="shared" si="41"/>
        <v>10619</v>
      </c>
    </row>
    <row r="386" spans="1:12" x14ac:dyDescent="0.3">
      <c r="A386" s="7">
        <v>2725</v>
      </c>
      <c r="B386">
        <v>11</v>
      </c>
      <c r="C386">
        <v>45</v>
      </c>
      <c r="D386">
        <v>2</v>
      </c>
      <c r="E386" t="s">
        <v>18</v>
      </c>
      <c r="F386" s="10">
        <f t="shared" si="35"/>
        <v>300</v>
      </c>
      <c r="G386" s="14">
        <f t="shared" si="36"/>
        <v>1226.25</v>
      </c>
      <c r="H386" s="7">
        <f t="shared" si="37"/>
        <v>2333</v>
      </c>
      <c r="I386" s="10">
        <f t="shared" si="38"/>
        <v>4251.25</v>
      </c>
      <c r="J386">
        <f t="shared" si="39"/>
        <v>0</v>
      </c>
      <c r="K386">
        <f t="shared" si="40"/>
        <v>0</v>
      </c>
      <c r="L386" s="10">
        <f t="shared" si="41"/>
        <v>4251.25</v>
      </c>
    </row>
    <row r="387" spans="1:12" x14ac:dyDescent="0.3">
      <c r="A387" s="7">
        <v>6000</v>
      </c>
      <c r="B387">
        <v>19</v>
      </c>
      <c r="C387">
        <v>15</v>
      </c>
      <c r="D387">
        <v>1</v>
      </c>
      <c r="E387" t="s">
        <v>20</v>
      </c>
      <c r="F387" s="10">
        <f t="shared" ref="F387:F450" si="42">ROUNDUP(0.01*B387*A387,0)</f>
        <v>1140</v>
      </c>
      <c r="G387" s="14">
        <f t="shared" ref="G387:G450" si="43">ROUND(C387/100*A387,2)</f>
        <v>900</v>
      </c>
      <c r="H387" s="7">
        <f t="shared" ref="H387:H450" si="44">ROUND(4666/D387:D886,2)</f>
        <v>4666</v>
      </c>
      <c r="I387" s="10">
        <f t="shared" ref="I387:I450" si="45">G387+A387+F387</f>
        <v>8040</v>
      </c>
      <c r="J387">
        <f t="shared" ref="J387:J450" si="46">IF(H387&gt;I387,1,0)</f>
        <v>0</v>
      </c>
      <c r="K387">
        <f t="shared" ref="K387:K450" si="47">IF(J387=1,H387-I387,0)</f>
        <v>0</v>
      </c>
      <c r="L387" s="10">
        <f t="shared" ref="L387:L450" si="48">I387+K387</f>
        <v>8040</v>
      </c>
    </row>
    <row r="388" spans="1:12" x14ac:dyDescent="0.3">
      <c r="A388" s="7">
        <v>628</v>
      </c>
      <c r="B388">
        <v>12</v>
      </c>
      <c r="C388">
        <v>15</v>
      </c>
      <c r="D388">
        <v>8</v>
      </c>
      <c r="E388" t="s">
        <v>21</v>
      </c>
      <c r="F388" s="10">
        <f t="shared" si="42"/>
        <v>76</v>
      </c>
      <c r="G388" s="14">
        <f t="shared" si="43"/>
        <v>94.2</v>
      </c>
      <c r="H388" s="7">
        <f t="shared" si="44"/>
        <v>583.25</v>
      </c>
      <c r="I388" s="10">
        <f t="shared" si="45"/>
        <v>798.2</v>
      </c>
      <c r="J388">
        <f t="shared" si="46"/>
        <v>0</v>
      </c>
      <c r="K388">
        <f t="shared" si="47"/>
        <v>0</v>
      </c>
      <c r="L388" s="10">
        <f t="shared" si="48"/>
        <v>798.2</v>
      </c>
    </row>
    <row r="389" spans="1:12" x14ac:dyDescent="0.3">
      <c r="A389" s="7">
        <v>3250</v>
      </c>
      <c r="B389">
        <v>17</v>
      </c>
      <c r="C389">
        <v>10</v>
      </c>
      <c r="D389">
        <v>2</v>
      </c>
      <c r="E389" t="s">
        <v>16</v>
      </c>
      <c r="F389" s="10">
        <f t="shared" si="42"/>
        <v>553</v>
      </c>
      <c r="G389" s="14">
        <f t="shared" si="43"/>
        <v>325</v>
      </c>
      <c r="H389" s="7">
        <f t="shared" si="44"/>
        <v>2333</v>
      </c>
      <c r="I389" s="10">
        <f t="shared" si="45"/>
        <v>4128</v>
      </c>
      <c r="J389">
        <f t="shared" si="46"/>
        <v>0</v>
      </c>
      <c r="K389">
        <f t="shared" si="47"/>
        <v>0</v>
      </c>
      <c r="L389" s="10">
        <f t="shared" si="48"/>
        <v>4128</v>
      </c>
    </row>
    <row r="390" spans="1:12" x14ac:dyDescent="0.3">
      <c r="A390" s="7">
        <v>469</v>
      </c>
      <c r="B390">
        <v>15</v>
      </c>
      <c r="C390">
        <v>15</v>
      </c>
      <c r="D390">
        <v>7</v>
      </c>
      <c r="E390" t="s">
        <v>15</v>
      </c>
      <c r="F390" s="10">
        <f t="shared" si="42"/>
        <v>71</v>
      </c>
      <c r="G390" s="14">
        <f t="shared" si="43"/>
        <v>70.349999999999994</v>
      </c>
      <c r="H390" s="7">
        <f t="shared" si="44"/>
        <v>666.57</v>
      </c>
      <c r="I390" s="10">
        <f t="shared" si="45"/>
        <v>610.35</v>
      </c>
      <c r="J390">
        <f t="shared" si="46"/>
        <v>1</v>
      </c>
      <c r="K390">
        <f t="shared" si="47"/>
        <v>56.220000000000027</v>
      </c>
      <c r="L390" s="10">
        <f t="shared" si="48"/>
        <v>666.57</v>
      </c>
    </row>
    <row r="391" spans="1:12" x14ac:dyDescent="0.3">
      <c r="A391" s="7">
        <v>5590</v>
      </c>
      <c r="B391">
        <v>13</v>
      </c>
      <c r="C391">
        <v>0</v>
      </c>
      <c r="D391">
        <v>1</v>
      </c>
      <c r="E391" t="s">
        <v>16</v>
      </c>
      <c r="F391" s="10">
        <f t="shared" si="42"/>
        <v>727</v>
      </c>
      <c r="G391" s="14">
        <f t="shared" si="43"/>
        <v>0</v>
      </c>
      <c r="H391" s="7">
        <f t="shared" si="44"/>
        <v>4666</v>
      </c>
      <c r="I391" s="10">
        <f t="shared" si="45"/>
        <v>6317</v>
      </c>
      <c r="J391">
        <f t="shared" si="46"/>
        <v>0</v>
      </c>
      <c r="K391">
        <f t="shared" si="47"/>
        <v>0</v>
      </c>
      <c r="L391" s="10">
        <f t="shared" si="48"/>
        <v>6317</v>
      </c>
    </row>
    <row r="392" spans="1:12" x14ac:dyDescent="0.3">
      <c r="A392" s="7">
        <v>1680</v>
      </c>
      <c r="B392">
        <v>10</v>
      </c>
      <c r="C392">
        <v>35</v>
      </c>
      <c r="D392">
        <v>4</v>
      </c>
      <c r="E392" t="s">
        <v>20</v>
      </c>
      <c r="F392" s="10">
        <f t="shared" si="42"/>
        <v>168</v>
      </c>
      <c r="G392" s="14">
        <f t="shared" si="43"/>
        <v>588</v>
      </c>
      <c r="H392" s="7">
        <f t="shared" si="44"/>
        <v>1166.5</v>
      </c>
      <c r="I392" s="10">
        <f t="shared" si="45"/>
        <v>2436</v>
      </c>
      <c r="J392">
        <f t="shared" si="46"/>
        <v>0</v>
      </c>
      <c r="K392">
        <f t="shared" si="47"/>
        <v>0</v>
      </c>
      <c r="L392" s="10">
        <f t="shared" si="48"/>
        <v>2436</v>
      </c>
    </row>
    <row r="393" spans="1:12" x14ac:dyDescent="0.3">
      <c r="A393" s="7">
        <v>526</v>
      </c>
      <c r="B393">
        <v>16</v>
      </c>
      <c r="C393">
        <v>45</v>
      </c>
      <c r="D393">
        <v>7</v>
      </c>
      <c r="E393" t="s">
        <v>15</v>
      </c>
      <c r="F393" s="10">
        <f t="shared" si="42"/>
        <v>85</v>
      </c>
      <c r="G393" s="14">
        <f t="shared" si="43"/>
        <v>236.7</v>
      </c>
      <c r="H393" s="7">
        <f t="shared" si="44"/>
        <v>666.57</v>
      </c>
      <c r="I393" s="10">
        <f t="shared" si="45"/>
        <v>847.7</v>
      </c>
      <c r="J393">
        <f t="shared" si="46"/>
        <v>0</v>
      </c>
      <c r="K393">
        <f t="shared" si="47"/>
        <v>0</v>
      </c>
      <c r="L393" s="10">
        <f t="shared" si="48"/>
        <v>847.7</v>
      </c>
    </row>
    <row r="394" spans="1:12" x14ac:dyDescent="0.3">
      <c r="A394" s="7">
        <v>4240</v>
      </c>
      <c r="B394">
        <v>1</v>
      </c>
      <c r="C394">
        <v>40</v>
      </c>
      <c r="D394">
        <v>1</v>
      </c>
      <c r="E394" t="s">
        <v>21</v>
      </c>
      <c r="F394" s="10">
        <f t="shared" si="42"/>
        <v>43</v>
      </c>
      <c r="G394" s="14">
        <f t="shared" si="43"/>
        <v>1696</v>
      </c>
      <c r="H394" s="7">
        <f t="shared" si="44"/>
        <v>4666</v>
      </c>
      <c r="I394" s="10">
        <f t="shared" si="45"/>
        <v>5979</v>
      </c>
      <c r="J394">
        <f t="shared" si="46"/>
        <v>0</v>
      </c>
      <c r="K394">
        <f t="shared" si="47"/>
        <v>0</v>
      </c>
      <c r="L394" s="10">
        <f t="shared" si="48"/>
        <v>5979</v>
      </c>
    </row>
    <row r="395" spans="1:12" x14ac:dyDescent="0.3">
      <c r="A395" s="7">
        <v>622</v>
      </c>
      <c r="B395">
        <v>10</v>
      </c>
      <c r="C395">
        <v>10</v>
      </c>
      <c r="D395">
        <v>10</v>
      </c>
      <c r="E395" t="s">
        <v>16</v>
      </c>
      <c r="F395" s="10">
        <f t="shared" si="42"/>
        <v>63</v>
      </c>
      <c r="G395" s="14">
        <f t="shared" si="43"/>
        <v>62.2</v>
      </c>
      <c r="H395" s="7">
        <f t="shared" si="44"/>
        <v>466.6</v>
      </c>
      <c r="I395" s="10">
        <f t="shared" si="45"/>
        <v>747.2</v>
      </c>
      <c r="J395">
        <f t="shared" si="46"/>
        <v>0</v>
      </c>
      <c r="K395">
        <f t="shared" si="47"/>
        <v>0</v>
      </c>
      <c r="L395" s="10">
        <f t="shared" si="48"/>
        <v>747.2</v>
      </c>
    </row>
    <row r="396" spans="1:12" x14ac:dyDescent="0.3">
      <c r="A396" s="7">
        <v>372</v>
      </c>
      <c r="B396">
        <v>15</v>
      </c>
      <c r="C396">
        <v>40</v>
      </c>
      <c r="D396">
        <v>9</v>
      </c>
      <c r="E396" t="s">
        <v>16</v>
      </c>
      <c r="F396" s="10">
        <f t="shared" si="42"/>
        <v>56</v>
      </c>
      <c r="G396" s="14">
        <f t="shared" si="43"/>
        <v>148.80000000000001</v>
      </c>
      <c r="H396" s="7">
        <f t="shared" si="44"/>
        <v>518.44000000000005</v>
      </c>
      <c r="I396" s="10">
        <f t="shared" si="45"/>
        <v>576.79999999999995</v>
      </c>
      <c r="J396">
        <f t="shared" si="46"/>
        <v>0</v>
      </c>
      <c r="K396">
        <f t="shared" si="47"/>
        <v>0</v>
      </c>
      <c r="L396" s="10">
        <f t="shared" si="48"/>
        <v>576.79999999999995</v>
      </c>
    </row>
    <row r="397" spans="1:12" x14ac:dyDescent="0.3">
      <c r="A397" s="7">
        <v>509</v>
      </c>
      <c r="B397">
        <v>4</v>
      </c>
      <c r="C397">
        <v>10</v>
      </c>
      <c r="D397">
        <v>10</v>
      </c>
      <c r="E397" t="s">
        <v>20</v>
      </c>
      <c r="F397" s="10">
        <f t="shared" si="42"/>
        <v>21</v>
      </c>
      <c r="G397" s="14">
        <f t="shared" si="43"/>
        <v>50.9</v>
      </c>
      <c r="H397" s="7">
        <f t="shared" si="44"/>
        <v>466.6</v>
      </c>
      <c r="I397" s="10">
        <f t="shared" si="45"/>
        <v>580.9</v>
      </c>
      <c r="J397">
        <f t="shared" si="46"/>
        <v>0</v>
      </c>
      <c r="K397">
        <f t="shared" si="47"/>
        <v>0</v>
      </c>
      <c r="L397" s="10">
        <f t="shared" si="48"/>
        <v>580.9</v>
      </c>
    </row>
    <row r="398" spans="1:12" x14ac:dyDescent="0.3">
      <c r="A398" s="7">
        <v>1228</v>
      </c>
      <c r="B398">
        <v>0</v>
      </c>
      <c r="C398">
        <v>5</v>
      </c>
      <c r="D398">
        <v>4</v>
      </c>
      <c r="E398" t="s">
        <v>16</v>
      </c>
      <c r="F398" s="10">
        <f t="shared" si="42"/>
        <v>0</v>
      </c>
      <c r="G398" s="14">
        <f t="shared" si="43"/>
        <v>61.4</v>
      </c>
      <c r="H398" s="7">
        <f t="shared" si="44"/>
        <v>1166.5</v>
      </c>
      <c r="I398" s="10">
        <f t="shared" si="45"/>
        <v>1289.4000000000001</v>
      </c>
      <c r="J398">
        <f t="shared" si="46"/>
        <v>0</v>
      </c>
      <c r="K398">
        <f t="shared" si="47"/>
        <v>0</v>
      </c>
      <c r="L398" s="10">
        <f t="shared" si="48"/>
        <v>1289.4000000000001</v>
      </c>
    </row>
    <row r="399" spans="1:12" x14ac:dyDescent="0.3">
      <c r="A399" s="7">
        <v>1360</v>
      </c>
      <c r="B399">
        <v>12</v>
      </c>
      <c r="C399">
        <v>25</v>
      </c>
      <c r="D399">
        <v>3</v>
      </c>
      <c r="E399" t="s">
        <v>17</v>
      </c>
      <c r="F399" s="10">
        <f t="shared" si="42"/>
        <v>164</v>
      </c>
      <c r="G399" s="14">
        <f t="shared" si="43"/>
        <v>340</v>
      </c>
      <c r="H399" s="7">
        <f t="shared" si="44"/>
        <v>1555.33</v>
      </c>
      <c r="I399" s="10">
        <f t="shared" si="45"/>
        <v>1864</v>
      </c>
      <c r="J399">
        <f t="shared" si="46"/>
        <v>0</v>
      </c>
      <c r="K399">
        <f t="shared" si="47"/>
        <v>0</v>
      </c>
      <c r="L399" s="10">
        <f t="shared" si="48"/>
        <v>1864</v>
      </c>
    </row>
    <row r="400" spans="1:12" x14ac:dyDescent="0.3">
      <c r="A400" s="7">
        <v>4650</v>
      </c>
      <c r="B400">
        <v>2</v>
      </c>
      <c r="C400">
        <v>50</v>
      </c>
      <c r="D400">
        <v>1</v>
      </c>
      <c r="E400" t="s">
        <v>17</v>
      </c>
      <c r="F400" s="10">
        <f t="shared" si="42"/>
        <v>93</v>
      </c>
      <c r="G400" s="14">
        <f t="shared" si="43"/>
        <v>2325</v>
      </c>
      <c r="H400" s="7">
        <f t="shared" si="44"/>
        <v>4666</v>
      </c>
      <c r="I400" s="10">
        <f t="shared" si="45"/>
        <v>7068</v>
      </c>
      <c r="J400">
        <f t="shared" si="46"/>
        <v>0</v>
      </c>
      <c r="K400">
        <f t="shared" si="47"/>
        <v>0</v>
      </c>
      <c r="L400" s="10">
        <f t="shared" si="48"/>
        <v>7068</v>
      </c>
    </row>
    <row r="401" spans="1:12" x14ac:dyDescent="0.3">
      <c r="A401" s="7">
        <v>2860</v>
      </c>
      <c r="B401">
        <v>14</v>
      </c>
      <c r="C401">
        <v>35</v>
      </c>
      <c r="D401">
        <v>1</v>
      </c>
      <c r="E401" t="s">
        <v>15</v>
      </c>
      <c r="F401" s="10">
        <f t="shared" si="42"/>
        <v>401</v>
      </c>
      <c r="G401" s="14">
        <f t="shared" si="43"/>
        <v>1001</v>
      </c>
      <c r="H401" s="7">
        <f t="shared" si="44"/>
        <v>4666</v>
      </c>
      <c r="I401" s="10">
        <f t="shared" si="45"/>
        <v>4262</v>
      </c>
      <c r="J401">
        <f t="shared" si="46"/>
        <v>1</v>
      </c>
      <c r="K401">
        <f t="shared" si="47"/>
        <v>404</v>
      </c>
      <c r="L401" s="10">
        <f t="shared" si="48"/>
        <v>4666</v>
      </c>
    </row>
    <row r="402" spans="1:12" x14ac:dyDescent="0.3">
      <c r="A402" s="7">
        <v>1615</v>
      </c>
      <c r="B402">
        <v>2</v>
      </c>
      <c r="C402">
        <v>5</v>
      </c>
      <c r="D402">
        <v>4</v>
      </c>
      <c r="E402" t="s">
        <v>19</v>
      </c>
      <c r="F402" s="10">
        <f t="shared" si="42"/>
        <v>33</v>
      </c>
      <c r="G402" s="14">
        <f t="shared" si="43"/>
        <v>80.75</v>
      </c>
      <c r="H402" s="7">
        <f t="shared" si="44"/>
        <v>1166.5</v>
      </c>
      <c r="I402" s="10">
        <f t="shared" si="45"/>
        <v>1728.75</v>
      </c>
      <c r="J402">
        <f t="shared" si="46"/>
        <v>0</v>
      </c>
      <c r="K402">
        <f t="shared" si="47"/>
        <v>0</v>
      </c>
      <c r="L402" s="10">
        <f t="shared" si="48"/>
        <v>1728.75</v>
      </c>
    </row>
    <row r="403" spans="1:12" x14ac:dyDescent="0.3">
      <c r="A403" s="7">
        <v>1650</v>
      </c>
      <c r="B403">
        <v>10</v>
      </c>
      <c r="C403">
        <v>15</v>
      </c>
      <c r="D403">
        <v>2</v>
      </c>
      <c r="E403" t="s">
        <v>15</v>
      </c>
      <c r="F403" s="10">
        <f t="shared" si="42"/>
        <v>165</v>
      </c>
      <c r="G403" s="14">
        <f t="shared" si="43"/>
        <v>247.5</v>
      </c>
      <c r="H403" s="7">
        <f t="shared" si="44"/>
        <v>2333</v>
      </c>
      <c r="I403" s="10">
        <f t="shared" si="45"/>
        <v>2062.5</v>
      </c>
      <c r="J403">
        <f t="shared" si="46"/>
        <v>1</v>
      </c>
      <c r="K403">
        <f t="shared" si="47"/>
        <v>270.5</v>
      </c>
      <c r="L403" s="10">
        <f t="shared" si="48"/>
        <v>2333</v>
      </c>
    </row>
    <row r="404" spans="1:12" x14ac:dyDescent="0.3">
      <c r="A404" s="7">
        <v>5870</v>
      </c>
      <c r="B404">
        <v>19</v>
      </c>
      <c r="C404">
        <v>45</v>
      </c>
      <c r="D404">
        <v>1</v>
      </c>
      <c r="E404" t="s">
        <v>20</v>
      </c>
      <c r="F404" s="10">
        <f t="shared" si="42"/>
        <v>1116</v>
      </c>
      <c r="G404" s="14">
        <f t="shared" si="43"/>
        <v>2641.5</v>
      </c>
      <c r="H404" s="7">
        <f t="shared" si="44"/>
        <v>4666</v>
      </c>
      <c r="I404" s="10">
        <f t="shared" si="45"/>
        <v>9627.5</v>
      </c>
      <c r="J404">
        <f t="shared" si="46"/>
        <v>0</v>
      </c>
      <c r="K404">
        <f t="shared" si="47"/>
        <v>0</v>
      </c>
      <c r="L404" s="10">
        <f t="shared" si="48"/>
        <v>9627.5</v>
      </c>
    </row>
    <row r="405" spans="1:12" x14ac:dyDescent="0.3">
      <c r="A405" s="7">
        <v>4450</v>
      </c>
      <c r="B405">
        <v>10</v>
      </c>
      <c r="C405">
        <v>25</v>
      </c>
      <c r="D405">
        <v>1</v>
      </c>
      <c r="E405" t="s">
        <v>17</v>
      </c>
      <c r="F405" s="10">
        <f t="shared" si="42"/>
        <v>445</v>
      </c>
      <c r="G405" s="14">
        <f t="shared" si="43"/>
        <v>1112.5</v>
      </c>
      <c r="H405" s="7">
        <f t="shared" si="44"/>
        <v>4666</v>
      </c>
      <c r="I405" s="10">
        <f t="shared" si="45"/>
        <v>6007.5</v>
      </c>
      <c r="J405">
        <f t="shared" si="46"/>
        <v>0</v>
      </c>
      <c r="K405">
        <f t="shared" si="47"/>
        <v>0</v>
      </c>
      <c r="L405" s="10">
        <f t="shared" si="48"/>
        <v>6007.5</v>
      </c>
    </row>
    <row r="406" spans="1:12" x14ac:dyDescent="0.3">
      <c r="A406" s="7">
        <v>6830</v>
      </c>
      <c r="B406">
        <v>3</v>
      </c>
      <c r="C406">
        <v>25</v>
      </c>
      <c r="D406">
        <v>1</v>
      </c>
      <c r="E406" t="s">
        <v>18</v>
      </c>
      <c r="F406" s="10">
        <f t="shared" si="42"/>
        <v>205</v>
      </c>
      <c r="G406" s="14">
        <f t="shared" si="43"/>
        <v>1707.5</v>
      </c>
      <c r="H406" s="7">
        <f t="shared" si="44"/>
        <v>4666</v>
      </c>
      <c r="I406" s="10">
        <f t="shared" si="45"/>
        <v>8742.5</v>
      </c>
      <c r="J406">
        <f t="shared" si="46"/>
        <v>0</v>
      </c>
      <c r="K406">
        <f t="shared" si="47"/>
        <v>0</v>
      </c>
      <c r="L406" s="10">
        <f t="shared" si="48"/>
        <v>8742.5</v>
      </c>
    </row>
    <row r="407" spans="1:12" x14ac:dyDescent="0.3">
      <c r="A407" s="7">
        <v>3940</v>
      </c>
      <c r="B407">
        <v>9</v>
      </c>
      <c r="C407">
        <v>30</v>
      </c>
      <c r="D407">
        <v>1</v>
      </c>
      <c r="E407" t="s">
        <v>19</v>
      </c>
      <c r="F407" s="10">
        <f t="shared" si="42"/>
        <v>355</v>
      </c>
      <c r="G407" s="14">
        <f t="shared" si="43"/>
        <v>1182</v>
      </c>
      <c r="H407" s="7">
        <f t="shared" si="44"/>
        <v>4666</v>
      </c>
      <c r="I407" s="10">
        <f t="shared" si="45"/>
        <v>5477</v>
      </c>
      <c r="J407">
        <f t="shared" si="46"/>
        <v>0</v>
      </c>
      <c r="K407">
        <f t="shared" si="47"/>
        <v>0</v>
      </c>
      <c r="L407" s="10">
        <f t="shared" si="48"/>
        <v>5477</v>
      </c>
    </row>
    <row r="408" spans="1:12" x14ac:dyDescent="0.3">
      <c r="A408" s="7">
        <v>2480</v>
      </c>
      <c r="B408">
        <v>15</v>
      </c>
      <c r="C408">
        <v>35</v>
      </c>
      <c r="D408">
        <v>2</v>
      </c>
      <c r="E408" t="s">
        <v>17</v>
      </c>
      <c r="F408" s="10">
        <f t="shared" si="42"/>
        <v>372</v>
      </c>
      <c r="G408" s="14">
        <f t="shared" si="43"/>
        <v>868</v>
      </c>
      <c r="H408" s="7">
        <f t="shared" si="44"/>
        <v>2333</v>
      </c>
      <c r="I408" s="10">
        <f t="shared" si="45"/>
        <v>3720</v>
      </c>
      <c r="J408">
        <f t="shared" si="46"/>
        <v>0</v>
      </c>
      <c r="K408">
        <f t="shared" si="47"/>
        <v>0</v>
      </c>
      <c r="L408" s="10">
        <f t="shared" si="48"/>
        <v>3720</v>
      </c>
    </row>
    <row r="409" spans="1:12" x14ac:dyDescent="0.3">
      <c r="A409" s="7">
        <v>1285</v>
      </c>
      <c r="B409">
        <v>8</v>
      </c>
      <c r="C409">
        <v>40</v>
      </c>
      <c r="D409">
        <v>4</v>
      </c>
      <c r="E409" t="s">
        <v>16</v>
      </c>
      <c r="F409" s="10">
        <f t="shared" si="42"/>
        <v>103</v>
      </c>
      <c r="G409" s="14">
        <f t="shared" si="43"/>
        <v>514</v>
      </c>
      <c r="H409" s="7">
        <f t="shared" si="44"/>
        <v>1166.5</v>
      </c>
      <c r="I409" s="10">
        <f t="shared" si="45"/>
        <v>1902</v>
      </c>
      <c r="J409">
        <f t="shared" si="46"/>
        <v>0</v>
      </c>
      <c r="K409">
        <f t="shared" si="47"/>
        <v>0</v>
      </c>
      <c r="L409" s="10">
        <f t="shared" si="48"/>
        <v>1902</v>
      </c>
    </row>
    <row r="410" spans="1:12" x14ac:dyDescent="0.3">
      <c r="A410" s="7">
        <v>2870</v>
      </c>
      <c r="B410">
        <v>17</v>
      </c>
      <c r="C410">
        <v>50</v>
      </c>
      <c r="D410">
        <v>1</v>
      </c>
      <c r="E410" t="s">
        <v>15</v>
      </c>
      <c r="F410" s="10">
        <f t="shared" si="42"/>
        <v>488</v>
      </c>
      <c r="G410" s="14">
        <f t="shared" si="43"/>
        <v>1435</v>
      </c>
      <c r="H410" s="7">
        <f t="shared" si="44"/>
        <v>4666</v>
      </c>
      <c r="I410" s="10">
        <f t="shared" si="45"/>
        <v>4793</v>
      </c>
      <c r="J410">
        <f t="shared" si="46"/>
        <v>0</v>
      </c>
      <c r="K410">
        <f t="shared" si="47"/>
        <v>0</v>
      </c>
      <c r="L410" s="10">
        <f t="shared" si="48"/>
        <v>4793</v>
      </c>
    </row>
    <row r="411" spans="1:12" x14ac:dyDescent="0.3">
      <c r="A411" s="7">
        <v>1483.5</v>
      </c>
      <c r="B411">
        <v>1</v>
      </c>
      <c r="C411">
        <v>45</v>
      </c>
      <c r="D411">
        <v>3</v>
      </c>
      <c r="E411" t="s">
        <v>19</v>
      </c>
      <c r="F411" s="10">
        <f t="shared" si="42"/>
        <v>15</v>
      </c>
      <c r="G411" s="14">
        <f t="shared" si="43"/>
        <v>667.58</v>
      </c>
      <c r="H411" s="7">
        <f t="shared" si="44"/>
        <v>1555.33</v>
      </c>
      <c r="I411" s="10">
        <f t="shared" si="45"/>
        <v>2166.08</v>
      </c>
      <c r="J411">
        <f t="shared" si="46"/>
        <v>0</v>
      </c>
      <c r="K411">
        <f t="shared" si="47"/>
        <v>0</v>
      </c>
      <c r="L411" s="10">
        <f t="shared" si="48"/>
        <v>2166.08</v>
      </c>
    </row>
    <row r="412" spans="1:12" x14ac:dyDescent="0.3">
      <c r="A412" s="7">
        <v>4590</v>
      </c>
      <c r="B412">
        <v>1</v>
      </c>
      <c r="C412">
        <v>40</v>
      </c>
      <c r="D412">
        <v>1</v>
      </c>
      <c r="E412" t="s">
        <v>16</v>
      </c>
      <c r="F412" s="10">
        <f t="shared" si="42"/>
        <v>46</v>
      </c>
      <c r="G412" s="14">
        <f t="shared" si="43"/>
        <v>1836</v>
      </c>
      <c r="H412" s="7">
        <f t="shared" si="44"/>
        <v>4666</v>
      </c>
      <c r="I412" s="10">
        <f t="shared" si="45"/>
        <v>6472</v>
      </c>
      <c r="J412">
        <f t="shared" si="46"/>
        <v>0</v>
      </c>
      <c r="K412">
        <f t="shared" si="47"/>
        <v>0</v>
      </c>
      <c r="L412" s="10">
        <f t="shared" si="48"/>
        <v>6472</v>
      </c>
    </row>
    <row r="413" spans="1:12" x14ac:dyDescent="0.3">
      <c r="A413" s="7">
        <v>3350</v>
      </c>
      <c r="B413">
        <v>9</v>
      </c>
      <c r="C413">
        <v>45</v>
      </c>
      <c r="D413">
        <v>1</v>
      </c>
      <c r="E413" t="s">
        <v>15</v>
      </c>
      <c r="F413" s="10">
        <f t="shared" si="42"/>
        <v>302</v>
      </c>
      <c r="G413" s="14">
        <f t="shared" si="43"/>
        <v>1507.5</v>
      </c>
      <c r="H413" s="7">
        <f t="shared" si="44"/>
        <v>4666</v>
      </c>
      <c r="I413" s="10">
        <f t="shared" si="45"/>
        <v>5159.5</v>
      </c>
      <c r="J413">
        <f t="shared" si="46"/>
        <v>0</v>
      </c>
      <c r="K413">
        <f t="shared" si="47"/>
        <v>0</v>
      </c>
      <c r="L413" s="10">
        <f t="shared" si="48"/>
        <v>5159.5</v>
      </c>
    </row>
    <row r="414" spans="1:12" x14ac:dyDescent="0.3">
      <c r="A414" s="7">
        <v>5940</v>
      </c>
      <c r="B414">
        <v>8</v>
      </c>
      <c r="C414">
        <v>35</v>
      </c>
      <c r="D414">
        <v>1</v>
      </c>
      <c r="E414" t="s">
        <v>19</v>
      </c>
      <c r="F414" s="10">
        <f t="shared" si="42"/>
        <v>476</v>
      </c>
      <c r="G414" s="14">
        <f t="shared" si="43"/>
        <v>2079</v>
      </c>
      <c r="H414" s="7">
        <f t="shared" si="44"/>
        <v>4666</v>
      </c>
      <c r="I414" s="10">
        <f t="shared" si="45"/>
        <v>8495</v>
      </c>
      <c r="J414">
        <f t="shared" si="46"/>
        <v>0</v>
      </c>
      <c r="K414">
        <f t="shared" si="47"/>
        <v>0</v>
      </c>
      <c r="L414" s="10">
        <f t="shared" si="48"/>
        <v>8495</v>
      </c>
    </row>
    <row r="415" spans="1:12" x14ac:dyDescent="0.3">
      <c r="A415" s="7">
        <v>1137</v>
      </c>
      <c r="B415">
        <v>20</v>
      </c>
      <c r="C415">
        <v>30</v>
      </c>
      <c r="D415">
        <v>6</v>
      </c>
      <c r="E415" t="s">
        <v>18</v>
      </c>
      <c r="F415" s="10">
        <f t="shared" si="42"/>
        <v>228</v>
      </c>
      <c r="G415" s="14">
        <f t="shared" si="43"/>
        <v>341.1</v>
      </c>
      <c r="H415" s="7">
        <f t="shared" si="44"/>
        <v>777.67</v>
      </c>
      <c r="I415" s="10">
        <f t="shared" si="45"/>
        <v>1706.1</v>
      </c>
      <c r="J415">
        <f t="shared" si="46"/>
        <v>0</v>
      </c>
      <c r="K415">
        <f t="shared" si="47"/>
        <v>0</v>
      </c>
      <c r="L415" s="10">
        <f t="shared" si="48"/>
        <v>1706.1</v>
      </c>
    </row>
    <row r="416" spans="1:12" x14ac:dyDescent="0.3">
      <c r="A416" s="7">
        <v>1396</v>
      </c>
      <c r="B416">
        <v>2</v>
      </c>
      <c r="C416">
        <v>45</v>
      </c>
      <c r="D416">
        <v>5</v>
      </c>
      <c r="E416" t="s">
        <v>17</v>
      </c>
      <c r="F416" s="10">
        <f t="shared" si="42"/>
        <v>28</v>
      </c>
      <c r="G416" s="14">
        <f t="shared" si="43"/>
        <v>628.20000000000005</v>
      </c>
      <c r="H416" s="7">
        <f t="shared" si="44"/>
        <v>933.2</v>
      </c>
      <c r="I416" s="10">
        <f t="shared" si="45"/>
        <v>2052.1999999999998</v>
      </c>
      <c r="J416">
        <f t="shared" si="46"/>
        <v>0</v>
      </c>
      <c r="K416">
        <f t="shared" si="47"/>
        <v>0</v>
      </c>
      <c r="L416" s="10">
        <f t="shared" si="48"/>
        <v>2052.1999999999998</v>
      </c>
    </row>
    <row r="417" spans="1:12" x14ac:dyDescent="0.3">
      <c r="A417" s="7">
        <v>6490</v>
      </c>
      <c r="B417">
        <v>1</v>
      </c>
      <c r="C417">
        <v>50</v>
      </c>
      <c r="D417">
        <v>1</v>
      </c>
      <c r="E417" t="s">
        <v>19</v>
      </c>
      <c r="F417" s="10">
        <f t="shared" si="42"/>
        <v>65</v>
      </c>
      <c r="G417" s="14">
        <f t="shared" si="43"/>
        <v>3245</v>
      </c>
      <c r="H417" s="7">
        <f t="shared" si="44"/>
        <v>4666</v>
      </c>
      <c r="I417" s="10">
        <f t="shared" si="45"/>
        <v>9800</v>
      </c>
      <c r="J417">
        <f t="shared" si="46"/>
        <v>0</v>
      </c>
      <c r="K417">
        <f t="shared" si="47"/>
        <v>0</v>
      </c>
      <c r="L417" s="10">
        <f t="shared" si="48"/>
        <v>9800</v>
      </c>
    </row>
    <row r="418" spans="1:12" x14ac:dyDescent="0.3">
      <c r="A418" s="7">
        <v>326</v>
      </c>
      <c r="B418">
        <v>17</v>
      </c>
      <c r="C418">
        <v>40</v>
      </c>
      <c r="D418">
        <v>9</v>
      </c>
      <c r="E418" t="s">
        <v>15</v>
      </c>
      <c r="F418" s="10">
        <f t="shared" si="42"/>
        <v>56</v>
      </c>
      <c r="G418" s="14">
        <f t="shared" si="43"/>
        <v>130.4</v>
      </c>
      <c r="H418" s="7">
        <f t="shared" si="44"/>
        <v>518.44000000000005</v>
      </c>
      <c r="I418" s="10">
        <f t="shared" si="45"/>
        <v>512.4</v>
      </c>
      <c r="J418">
        <f t="shared" si="46"/>
        <v>1</v>
      </c>
      <c r="K418">
        <f t="shared" si="47"/>
        <v>6.0400000000000773</v>
      </c>
      <c r="L418" s="10">
        <f t="shared" si="48"/>
        <v>518.44000000000005</v>
      </c>
    </row>
    <row r="419" spans="1:12" x14ac:dyDescent="0.3">
      <c r="A419" s="7">
        <v>5900</v>
      </c>
      <c r="B419">
        <v>6</v>
      </c>
      <c r="C419">
        <v>5</v>
      </c>
      <c r="D419">
        <v>1</v>
      </c>
      <c r="E419" t="s">
        <v>17</v>
      </c>
      <c r="F419" s="10">
        <f t="shared" si="42"/>
        <v>354</v>
      </c>
      <c r="G419" s="14">
        <f t="shared" si="43"/>
        <v>295</v>
      </c>
      <c r="H419" s="7">
        <f t="shared" si="44"/>
        <v>4666</v>
      </c>
      <c r="I419" s="10">
        <f t="shared" si="45"/>
        <v>6549</v>
      </c>
      <c r="J419">
        <f t="shared" si="46"/>
        <v>0</v>
      </c>
      <c r="K419">
        <f t="shared" si="47"/>
        <v>0</v>
      </c>
      <c r="L419" s="10">
        <f t="shared" si="48"/>
        <v>6549</v>
      </c>
    </row>
    <row r="420" spans="1:12" x14ac:dyDescent="0.3">
      <c r="A420" s="7">
        <v>1897</v>
      </c>
      <c r="B420">
        <v>16</v>
      </c>
      <c r="C420">
        <v>5</v>
      </c>
      <c r="D420">
        <v>3</v>
      </c>
      <c r="E420" t="s">
        <v>15</v>
      </c>
      <c r="F420" s="10">
        <f t="shared" si="42"/>
        <v>304</v>
      </c>
      <c r="G420" s="14">
        <f t="shared" si="43"/>
        <v>94.85</v>
      </c>
      <c r="H420" s="7">
        <f t="shared" si="44"/>
        <v>1555.33</v>
      </c>
      <c r="I420" s="10">
        <f t="shared" si="45"/>
        <v>2295.85</v>
      </c>
      <c r="J420">
        <f t="shared" si="46"/>
        <v>0</v>
      </c>
      <c r="K420">
        <f t="shared" si="47"/>
        <v>0</v>
      </c>
      <c r="L420" s="10">
        <f t="shared" si="48"/>
        <v>2295.85</v>
      </c>
    </row>
    <row r="421" spans="1:12" x14ac:dyDescent="0.3">
      <c r="A421" s="7">
        <v>835</v>
      </c>
      <c r="B421">
        <v>15</v>
      </c>
      <c r="C421">
        <v>5</v>
      </c>
      <c r="D421">
        <v>4</v>
      </c>
      <c r="E421" t="s">
        <v>19</v>
      </c>
      <c r="F421" s="10">
        <f t="shared" si="42"/>
        <v>126</v>
      </c>
      <c r="G421" s="14">
        <f t="shared" si="43"/>
        <v>41.75</v>
      </c>
      <c r="H421" s="7">
        <f t="shared" si="44"/>
        <v>1166.5</v>
      </c>
      <c r="I421" s="10">
        <f t="shared" si="45"/>
        <v>1002.75</v>
      </c>
      <c r="J421">
        <f t="shared" si="46"/>
        <v>1</v>
      </c>
      <c r="K421">
        <f t="shared" si="47"/>
        <v>163.75</v>
      </c>
      <c r="L421" s="10">
        <f t="shared" si="48"/>
        <v>1166.5</v>
      </c>
    </row>
    <row r="422" spans="1:12" x14ac:dyDescent="0.3">
      <c r="A422" s="7">
        <v>1022</v>
      </c>
      <c r="B422">
        <v>4</v>
      </c>
      <c r="C422">
        <v>5</v>
      </c>
      <c r="D422">
        <v>6</v>
      </c>
      <c r="E422" t="s">
        <v>18</v>
      </c>
      <c r="F422" s="10">
        <f t="shared" si="42"/>
        <v>41</v>
      </c>
      <c r="G422" s="14">
        <f t="shared" si="43"/>
        <v>51.1</v>
      </c>
      <c r="H422" s="7">
        <f t="shared" si="44"/>
        <v>777.67</v>
      </c>
      <c r="I422" s="10">
        <f t="shared" si="45"/>
        <v>1114.0999999999999</v>
      </c>
      <c r="J422">
        <f t="shared" si="46"/>
        <v>0</v>
      </c>
      <c r="K422">
        <f t="shared" si="47"/>
        <v>0</v>
      </c>
      <c r="L422" s="10">
        <f t="shared" si="48"/>
        <v>1114.0999999999999</v>
      </c>
    </row>
    <row r="423" spans="1:12" x14ac:dyDescent="0.3">
      <c r="A423" s="7">
        <v>1680</v>
      </c>
      <c r="B423">
        <v>6</v>
      </c>
      <c r="C423">
        <v>15</v>
      </c>
      <c r="D423">
        <v>3</v>
      </c>
      <c r="E423" t="s">
        <v>15</v>
      </c>
      <c r="F423" s="10">
        <f t="shared" si="42"/>
        <v>101</v>
      </c>
      <c r="G423" s="14">
        <f t="shared" si="43"/>
        <v>252</v>
      </c>
      <c r="H423" s="7">
        <f t="shared" si="44"/>
        <v>1555.33</v>
      </c>
      <c r="I423" s="10">
        <f t="shared" si="45"/>
        <v>2033</v>
      </c>
      <c r="J423">
        <f t="shared" si="46"/>
        <v>0</v>
      </c>
      <c r="K423">
        <f t="shared" si="47"/>
        <v>0</v>
      </c>
      <c r="L423" s="10">
        <f t="shared" si="48"/>
        <v>2033</v>
      </c>
    </row>
    <row r="424" spans="1:12" x14ac:dyDescent="0.3">
      <c r="A424" s="7">
        <v>510</v>
      </c>
      <c r="B424">
        <v>5</v>
      </c>
      <c r="C424">
        <v>0</v>
      </c>
      <c r="D424">
        <v>8</v>
      </c>
      <c r="E424" t="s">
        <v>17</v>
      </c>
      <c r="F424" s="10">
        <f t="shared" si="42"/>
        <v>26</v>
      </c>
      <c r="G424" s="14">
        <f t="shared" si="43"/>
        <v>0</v>
      </c>
      <c r="H424" s="7">
        <f t="shared" si="44"/>
        <v>583.25</v>
      </c>
      <c r="I424" s="10">
        <f t="shared" si="45"/>
        <v>536</v>
      </c>
      <c r="J424">
        <f t="shared" si="46"/>
        <v>1</v>
      </c>
      <c r="K424">
        <f t="shared" si="47"/>
        <v>47.25</v>
      </c>
      <c r="L424" s="10">
        <f t="shared" si="48"/>
        <v>583.25</v>
      </c>
    </row>
    <row r="425" spans="1:12" x14ac:dyDescent="0.3">
      <c r="A425" s="7">
        <v>1893</v>
      </c>
      <c r="B425">
        <v>5</v>
      </c>
      <c r="C425">
        <v>40</v>
      </c>
      <c r="D425">
        <v>3</v>
      </c>
      <c r="E425" t="s">
        <v>20</v>
      </c>
      <c r="F425" s="10">
        <f t="shared" si="42"/>
        <v>95</v>
      </c>
      <c r="G425" s="14">
        <f t="shared" si="43"/>
        <v>757.2</v>
      </c>
      <c r="H425" s="7">
        <f t="shared" si="44"/>
        <v>1555.33</v>
      </c>
      <c r="I425" s="10">
        <f t="shared" si="45"/>
        <v>2745.2</v>
      </c>
      <c r="J425">
        <f t="shared" si="46"/>
        <v>0</v>
      </c>
      <c r="K425">
        <f t="shared" si="47"/>
        <v>0</v>
      </c>
      <c r="L425" s="10">
        <f t="shared" si="48"/>
        <v>2745.2</v>
      </c>
    </row>
    <row r="426" spans="1:12" x14ac:dyDescent="0.3">
      <c r="A426" s="7">
        <v>4620</v>
      </c>
      <c r="B426">
        <v>20</v>
      </c>
      <c r="C426">
        <v>20</v>
      </c>
      <c r="D426">
        <v>1</v>
      </c>
      <c r="E426" t="s">
        <v>18</v>
      </c>
      <c r="F426" s="10">
        <f t="shared" si="42"/>
        <v>924</v>
      </c>
      <c r="G426" s="14">
        <f t="shared" si="43"/>
        <v>924</v>
      </c>
      <c r="H426" s="7">
        <f t="shared" si="44"/>
        <v>4666</v>
      </c>
      <c r="I426" s="10">
        <f t="shared" si="45"/>
        <v>6468</v>
      </c>
      <c r="J426">
        <f t="shared" si="46"/>
        <v>0</v>
      </c>
      <c r="K426">
        <f t="shared" si="47"/>
        <v>0</v>
      </c>
      <c r="L426" s="10">
        <f t="shared" si="48"/>
        <v>6468</v>
      </c>
    </row>
    <row r="427" spans="1:12" x14ac:dyDescent="0.3">
      <c r="A427" s="7">
        <v>3500</v>
      </c>
      <c r="B427">
        <v>7</v>
      </c>
      <c r="C427">
        <v>20</v>
      </c>
      <c r="D427">
        <v>1</v>
      </c>
      <c r="E427" t="s">
        <v>15</v>
      </c>
      <c r="F427" s="10">
        <f t="shared" si="42"/>
        <v>245</v>
      </c>
      <c r="G427" s="14">
        <f t="shared" si="43"/>
        <v>700</v>
      </c>
      <c r="H427" s="7">
        <f t="shared" si="44"/>
        <v>4666</v>
      </c>
      <c r="I427" s="10">
        <f t="shared" si="45"/>
        <v>4445</v>
      </c>
      <c r="J427">
        <f t="shared" si="46"/>
        <v>1</v>
      </c>
      <c r="K427">
        <f t="shared" si="47"/>
        <v>221</v>
      </c>
      <c r="L427" s="10">
        <f t="shared" si="48"/>
        <v>4666</v>
      </c>
    </row>
    <row r="428" spans="1:12" x14ac:dyDescent="0.3">
      <c r="A428" s="7">
        <v>5890</v>
      </c>
      <c r="B428">
        <v>6</v>
      </c>
      <c r="C428">
        <v>45</v>
      </c>
      <c r="D428">
        <v>1</v>
      </c>
      <c r="E428" t="s">
        <v>21</v>
      </c>
      <c r="F428" s="10">
        <f t="shared" si="42"/>
        <v>354</v>
      </c>
      <c r="G428" s="14">
        <f t="shared" si="43"/>
        <v>2650.5</v>
      </c>
      <c r="H428" s="7">
        <f t="shared" si="44"/>
        <v>4666</v>
      </c>
      <c r="I428" s="10">
        <f t="shared" si="45"/>
        <v>8894.5</v>
      </c>
      <c r="J428">
        <f t="shared" si="46"/>
        <v>0</v>
      </c>
      <c r="K428">
        <f t="shared" si="47"/>
        <v>0</v>
      </c>
      <c r="L428" s="10">
        <f t="shared" si="48"/>
        <v>8894.5</v>
      </c>
    </row>
    <row r="429" spans="1:12" x14ac:dyDescent="0.3">
      <c r="A429" s="7">
        <v>636</v>
      </c>
      <c r="B429">
        <v>20</v>
      </c>
      <c r="C429">
        <v>40</v>
      </c>
      <c r="D429">
        <v>8</v>
      </c>
      <c r="E429" t="s">
        <v>20</v>
      </c>
      <c r="F429" s="10">
        <f t="shared" si="42"/>
        <v>128</v>
      </c>
      <c r="G429" s="14">
        <f t="shared" si="43"/>
        <v>254.4</v>
      </c>
      <c r="H429" s="7">
        <f t="shared" si="44"/>
        <v>583.25</v>
      </c>
      <c r="I429" s="10">
        <f t="shared" si="45"/>
        <v>1018.4</v>
      </c>
      <c r="J429">
        <f t="shared" si="46"/>
        <v>0</v>
      </c>
      <c r="K429">
        <f t="shared" si="47"/>
        <v>0</v>
      </c>
      <c r="L429" s="10">
        <f t="shared" si="48"/>
        <v>1018.4</v>
      </c>
    </row>
    <row r="430" spans="1:12" x14ac:dyDescent="0.3">
      <c r="A430" s="7">
        <v>1543</v>
      </c>
      <c r="B430">
        <v>9</v>
      </c>
      <c r="C430">
        <v>45</v>
      </c>
      <c r="D430">
        <v>4</v>
      </c>
      <c r="E430" t="s">
        <v>19</v>
      </c>
      <c r="F430" s="10">
        <f t="shared" si="42"/>
        <v>139</v>
      </c>
      <c r="G430" s="14">
        <f t="shared" si="43"/>
        <v>694.35</v>
      </c>
      <c r="H430" s="7">
        <f t="shared" si="44"/>
        <v>1166.5</v>
      </c>
      <c r="I430" s="10">
        <f t="shared" si="45"/>
        <v>2376.35</v>
      </c>
      <c r="J430">
        <f t="shared" si="46"/>
        <v>0</v>
      </c>
      <c r="K430">
        <f t="shared" si="47"/>
        <v>0</v>
      </c>
      <c r="L430" s="10">
        <f t="shared" si="48"/>
        <v>2376.35</v>
      </c>
    </row>
    <row r="431" spans="1:12" x14ac:dyDescent="0.3">
      <c r="A431" s="7">
        <v>306</v>
      </c>
      <c r="B431">
        <v>3</v>
      </c>
      <c r="C431">
        <v>45</v>
      </c>
      <c r="D431">
        <v>9</v>
      </c>
      <c r="E431" t="s">
        <v>15</v>
      </c>
      <c r="F431" s="10">
        <f t="shared" si="42"/>
        <v>10</v>
      </c>
      <c r="G431" s="14">
        <f t="shared" si="43"/>
        <v>137.69999999999999</v>
      </c>
      <c r="H431" s="7">
        <f t="shared" si="44"/>
        <v>518.44000000000005</v>
      </c>
      <c r="I431" s="10">
        <f t="shared" si="45"/>
        <v>453.7</v>
      </c>
      <c r="J431">
        <f t="shared" si="46"/>
        <v>1</v>
      </c>
      <c r="K431">
        <f t="shared" si="47"/>
        <v>64.740000000000066</v>
      </c>
      <c r="L431" s="10">
        <f t="shared" si="48"/>
        <v>518.44000000000005</v>
      </c>
    </row>
    <row r="432" spans="1:12" x14ac:dyDescent="0.3">
      <c r="A432" s="7">
        <v>1690</v>
      </c>
      <c r="B432">
        <v>11</v>
      </c>
      <c r="C432">
        <v>40</v>
      </c>
      <c r="D432">
        <v>3</v>
      </c>
      <c r="E432" t="s">
        <v>16</v>
      </c>
      <c r="F432" s="10">
        <f t="shared" si="42"/>
        <v>186</v>
      </c>
      <c r="G432" s="14">
        <f t="shared" si="43"/>
        <v>676</v>
      </c>
      <c r="H432" s="7">
        <f t="shared" si="44"/>
        <v>1555.33</v>
      </c>
      <c r="I432" s="10">
        <f t="shared" si="45"/>
        <v>2552</v>
      </c>
      <c r="J432">
        <f t="shared" si="46"/>
        <v>0</v>
      </c>
      <c r="K432">
        <f t="shared" si="47"/>
        <v>0</v>
      </c>
      <c r="L432" s="10">
        <f t="shared" si="48"/>
        <v>2552</v>
      </c>
    </row>
    <row r="433" spans="1:12" x14ac:dyDescent="0.3">
      <c r="A433" s="7">
        <v>606</v>
      </c>
      <c r="B433">
        <v>16</v>
      </c>
      <c r="C433">
        <v>30</v>
      </c>
      <c r="D433">
        <v>7</v>
      </c>
      <c r="E433" t="s">
        <v>21</v>
      </c>
      <c r="F433" s="10">
        <f t="shared" si="42"/>
        <v>97</v>
      </c>
      <c r="G433" s="14">
        <f t="shared" si="43"/>
        <v>181.8</v>
      </c>
      <c r="H433" s="7">
        <f t="shared" si="44"/>
        <v>666.57</v>
      </c>
      <c r="I433" s="10">
        <f t="shared" si="45"/>
        <v>884.8</v>
      </c>
      <c r="J433">
        <f t="shared" si="46"/>
        <v>0</v>
      </c>
      <c r="K433">
        <f t="shared" si="47"/>
        <v>0</v>
      </c>
      <c r="L433" s="10">
        <f t="shared" si="48"/>
        <v>884.8</v>
      </c>
    </row>
    <row r="434" spans="1:12" x14ac:dyDescent="0.3">
      <c r="A434" s="7">
        <v>5910</v>
      </c>
      <c r="B434">
        <v>17</v>
      </c>
      <c r="C434">
        <v>5</v>
      </c>
      <c r="D434">
        <v>1</v>
      </c>
      <c r="E434" t="s">
        <v>19</v>
      </c>
      <c r="F434" s="10">
        <f t="shared" si="42"/>
        <v>1005</v>
      </c>
      <c r="G434" s="14">
        <f t="shared" si="43"/>
        <v>295.5</v>
      </c>
      <c r="H434" s="7">
        <f t="shared" si="44"/>
        <v>4666</v>
      </c>
      <c r="I434" s="10">
        <f t="shared" si="45"/>
        <v>7210.5</v>
      </c>
      <c r="J434">
        <f t="shared" si="46"/>
        <v>0</v>
      </c>
      <c r="K434">
        <f t="shared" si="47"/>
        <v>0</v>
      </c>
      <c r="L434" s="10">
        <f t="shared" si="48"/>
        <v>7210.5</v>
      </c>
    </row>
    <row r="435" spans="1:12" x14ac:dyDescent="0.3">
      <c r="A435" s="7">
        <v>339</v>
      </c>
      <c r="B435">
        <v>18</v>
      </c>
      <c r="C435">
        <v>25</v>
      </c>
      <c r="D435">
        <v>10</v>
      </c>
      <c r="E435" t="s">
        <v>21</v>
      </c>
      <c r="F435" s="10">
        <f t="shared" si="42"/>
        <v>62</v>
      </c>
      <c r="G435" s="14">
        <f t="shared" si="43"/>
        <v>84.75</v>
      </c>
      <c r="H435" s="7">
        <f t="shared" si="44"/>
        <v>466.6</v>
      </c>
      <c r="I435" s="10">
        <f t="shared" si="45"/>
        <v>485.75</v>
      </c>
      <c r="J435">
        <f t="shared" si="46"/>
        <v>0</v>
      </c>
      <c r="K435">
        <f t="shared" si="47"/>
        <v>0</v>
      </c>
      <c r="L435" s="10">
        <f t="shared" si="48"/>
        <v>485.75</v>
      </c>
    </row>
    <row r="436" spans="1:12" x14ac:dyDescent="0.3">
      <c r="A436" s="7">
        <v>4060</v>
      </c>
      <c r="B436">
        <v>4</v>
      </c>
      <c r="C436">
        <v>25</v>
      </c>
      <c r="D436">
        <v>1</v>
      </c>
      <c r="E436" t="s">
        <v>19</v>
      </c>
      <c r="F436" s="10">
        <f t="shared" si="42"/>
        <v>163</v>
      </c>
      <c r="G436" s="14">
        <f t="shared" si="43"/>
        <v>1015</v>
      </c>
      <c r="H436" s="7">
        <f t="shared" si="44"/>
        <v>4666</v>
      </c>
      <c r="I436" s="10">
        <f t="shared" si="45"/>
        <v>5238</v>
      </c>
      <c r="J436">
        <f t="shared" si="46"/>
        <v>0</v>
      </c>
      <c r="K436">
        <f t="shared" si="47"/>
        <v>0</v>
      </c>
      <c r="L436" s="10">
        <f t="shared" si="48"/>
        <v>5238</v>
      </c>
    </row>
    <row r="437" spans="1:12" x14ac:dyDescent="0.3">
      <c r="A437" s="7">
        <v>1160</v>
      </c>
      <c r="B437">
        <v>0</v>
      </c>
      <c r="C437">
        <v>25</v>
      </c>
      <c r="D437">
        <v>6</v>
      </c>
      <c r="E437" t="s">
        <v>15</v>
      </c>
      <c r="F437" s="10">
        <f t="shared" si="42"/>
        <v>0</v>
      </c>
      <c r="G437" s="14">
        <f t="shared" si="43"/>
        <v>290</v>
      </c>
      <c r="H437" s="7">
        <f t="shared" si="44"/>
        <v>777.67</v>
      </c>
      <c r="I437" s="10">
        <f t="shared" si="45"/>
        <v>1450</v>
      </c>
      <c r="J437">
        <f t="shared" si="46"/>
        <v>0</v>
      </c>
      <c r="K437">
        <f t="shared" si="47"/>
        <v>0</v>
      </c>
      <c r="L437" s="10">
        <f t="shared" si="48"/>
        <v>1450</v>
      </c>
    </row>
    <row r="438" spans="1:12" x14ac:dyDescent="0.3">
      <c r="A438" s="7">
        <v>394</v>
      </c>
      <c r="B438">
        <v>12</v>
      </c>
      <c r="C438">
        <v>30</v>
      </c>
      <c r="D438">
        <v>9</v>
      </c>
      <c r="E438" t="s">
        <v>17</v>
      </c>
      <c r="F438" s="10">
        <f t="shared" si="42"/>
        <v>48</v>
      </c>
      <c r="G438" s="14">
        <f t="shared" si="43"/>
        <v>118.2</v>
      </c>
      <c r="H438" s="7">
        <f t="shared" si="44"/>
        <v>518.44000000000005</v>
      </c>
      <c r="I438" s="10">
        <f t="shared" si="45"/>
        <v>560.20000000000005</v>
      </c>
      <c r="J438">
        <f t="shared" si="46"/>
        <v>0</v>
      </c>
      <c r="K438">
        <f t="shared" si="47"/>
        <v>0</v>
      </c>
      <c r="L438" s="10">
        <f t="shared" si="48"/>
        <v>560.20000000000005</v>
      </c>
    </row>
    <row r="439" spans="1:12" x14ac:dyDescent="0.3">
      <c r="A439" s="7">
        <v>930</v>
      </c>
      <c r="B439">
        <v>7</v>
      </c>
      <c r="C439">
        <v>35</v>
      </c>
      <c r="D439">
        <v>7</v>
      </c>
      <c r="E439" t="s">
        <v>19</v>
      </c>
      <c r="F439" s="10">
        <f t="shared" si="42"/>
        <v>66</v>
      </c>
      <c r="G439" s="14">
        <f t="shared" si="43"/>
        <v>325.5</v>
      </c>
      <c r="H439" s="7">
        <f t="shared" si="44"/>
        <v>666.57</v>
      </c>
      <c r="I439" s="10">
        <f t="shared" si="45"/>
        <v>1321.5</v>
      </c>
      <c r="J439">
        <f t="shared" si="46"/>
        <v>0</v>
      </c>
      <c r="K439">
        <f t="shared" si="47"/>
        <v>0</v>
      </c>
      <c r="L439" s="10">
        <f t="shared" si="48"/>
        <v>1321.5</v>
      </c>
    </row>
    <row r="440" spans="1:12" x14ac:dyDescent="0.3">
      <c r="A440" s="7">
        <v>366</v>
      </c>
      <c r="B440">
        <v>7</v>
      </c>
      <c r="C440">
        <v>35</v>
      </c>
      <c r="D440">
        <v>10</v>
      </c>
      <c r="E440" t="s">
        <v>17</v>
      </c>
      <c r="F440" s="10">
        <f t="shared" si="42"/>
        <v>26</v>
      </c>
      <c r="G440" s="14">
        <f t="shared" si="43"/>
        <v>128.1</v>
      </c>
      <c r="H440" s="7">
        <f t="shared" si="44"/>
        <v>466.6</v>
      </c>
      <c r="I440" s="10">
        <f t="shared" si="45"/>
        <v>520.1</v>
      </c>
      <c r="J440">
        <f t="shared" si="46"/>
        <v>0</v>
      </c>
      <c r="K440">
        <f t="shared" si="47"/>
        <v>0</v>
      </c>
      <c r="L440" s="10">
        <f t="shared" si="48"/>
        <v>520.1</v>
      </c>
    </row>
    <row r="441" spans="1:12" x14ac:dyDescent="0.3">
      <c r="A441" s="7">
        <v>413</v>
      </c>
      <c r="B441">
        <v>11</v>
      </c>
      <c r="C441">
        <v>10</v>
      </c>
      <c r="D441">
        <v>9</v>
      </c>
      <c r="E441" t="s">
        <v>18</v>
      </c>
      <c r="F441" s="10">
        <f t="shared" si="42"/>
        <v>46</v>
      </c>
      <c r="G441" s="14">
        <f t="shared" si="43"/>
        <v>41.3</v>
      </c>
      <c r="H441" s="7">
        <f t="shared" si="44"/>
        <v>518.44000000000005</v>
      </c>
      <c r="I441" s="10">
        <f t="shared" si="45"/>
        <v>500.3</v>
      </c>
      <c r="J441">
        <f t="shared" si="46"/>
        <v>1</v>
      </c>
      <c r="K441">
        <f t="shared" si="47"/>
        <v>18.140000000000043</v>
      </c>
      <c r="L441" s="10">
        <f t="shared" si="48"/>
        <v>518.44000000000005</v>
      </c>
    </row>
    <row r="442" spans="1:12" x14ac:dyDescent="0.3">
      <c r="A442" s="7">
        <v>357.5</v>
      </c>
      <c r="B442">
        <v>10</v>
      </c>
      <c r="C442">
        <v>25</v>
      </c>
      <c r="D442">
        <v>9</v>
      </c>
      <c r="E442" t="s">
        <v>15</v>
      </c>
      <c r="F442" s="10">
        <f t="shared" si="42"/>
        <v>36</v>
      </c>
      <c r="G442" s="14">
        <f t="shared" si="43"/>
        <v>89.38</v>
      </c>
      <c r="H442" s="7">
        <f t="shared" si="44"/>
        <v>518.44000000000005</v>
      </c>
      <c r="I442" s="10">
        <f t="shared" si="45"/>
        <v>482.88</v>
      </c>
      <c r="J442">
        <f t="shared" si="46"/>
        <v>1</v>
      </c>
      <c r="K442">
        <f t="shared" si="47"/>
        <v>35.560000000000059</v>
      </c>
      <c r="L442" s="10">
        <f t="shared" si="48"/>
        <v>518.44000000000005</v>
      </c>
    </row>
    <row r="443" spans="1:12" x14ac:dyDescent="0.3">
      <c r="A443" s="7">
        <v>2825</v>
      </c>
      <c r="B443">
        <v>2</v>
      </c>
      <c r="C443">
        <v>10</v>
      </c>
      <c r="D443">
        <v>2</v>
      </c>
      <c r="E443" t="s">
        <v>21</v>
      </c>
      <c r="F443" s="10">
        <f t="shared" si="42"/>
        <v>57</v>
      </c>
      <c r="G443" s="14">
        <f t="shared" si="43"/>
        <v>282.5</v>
      </c>
      <c r="H443" s="7">
        <f t="shared" si="44"/>
        <v>2333</v>
      </c>
      <c r="I443" s="10">
        <f t="shared" si="45"/>
        <v>3164.5</v>
      </c>
      <c r="J443">
        <f t="shared" si="46"/>
        <v>0</v>
      </c>
      <c r="K443">
        <f t="shared" si="47"/>
        <v>0</v>
      </c>
      <c r="L443" s="10">
        <f t="shared" si="48"/>
        <v>3164.5</v>
      </c>
    </row>
    <row r="444" spans="1:12" x14ac:dyDescent="0.3">
      <c r="A444" s="7">
        <v>608</v>
      </c>
      <c r="B444">
        <v>1</v>
      </c>
      <c r="C444">
        <v>15</v>
      </c>
      <c r="D444">
        <v>6</v>
      </c>
      <c r="E444" t="s">
        <v>16</v>
      </c>
      <c r="F444" s="10">
        <f t="shared" si="42"/>
        <v>7</v>
      </c>
      <c r="G444" s="14">
        <f t="shared" si="43"/>
        <v>91.2</v>
      </c>
      <c r="H444" s="7">
        <f t="shared" si="44"/>
        <v>777.67</v>
      </c>
      <c r="I444" s="10">
        <f t="shared" si="45"/>
        <v>706.2</v>
      </c>
      <c r="J444">
        <f t="shared" si="46"/>
        <v>1</v>
      </c>
      <c r="K444">
        <f t="shared" si="47"/>
        <v>71.469999999999914</v>
      </c>
      <c r="L444" s="10">
        <f t="shared" si="48"/>
        <v>777.67</v>
      </c>
    </row>
    <row r="445" spans="1:12" x14ac:dyDescent="0.3">
      <c r="A445" s="7">
        <v>4130</v>
      </c>
      <c r="B445">
        <v>18</v>
      </c>
      <c r="C445">
        <v>0</v>
      </c>
      <c r="D445">
        <v>1</v>
      </c>
      <c r="E445" t="s">
        <v>19</v>
      </c>
      <c r="F445" s="10">
        <f t="shared" si="42"/>
        <v>744</v>
      </c>
      <c r="G445" s="14">
        <f t="shared" si="43"/>
        <v>0</v>
      </c>
      <c r="H445" s="7">
        <f t="shared" si="44"/>
        <v>4666</v>
      </c>
      <c r="I445" s="10">
        <f t="shared" si="45"/>
        <v>4874</v>
      </c>
      <c r="J445">
        <f t="shared" si="46"/>
        <v>0</v>
      </c>
      <c r="K445">
        <f t="shared" si="47"/>
        <v>0</v>
      </c>
      <c r="L445" s="10">
        <f t="shared" si="48"/>
        <v>4874</v>
      </c>
    </row>
    <row r="446" spans="1:12" x14ac:dyDescent="0.3">
      <c r="A446" s="7">
        <v>851</v>
      </c>
      <c r="B446">
        <v>15</v>
      </c>
      <c r="C446">
        <v>30</v>
      </c>
      <c r="D446">
        <v>8</v>
      </c>
      <c r="E446" t="s">
        <v>17</v>
      </c>
      <c r="F446" s="10">
        <f t="shared" si="42"/>
        <v>128</v>
      </c>
      <c r="G446" s="14">
        <f t="shared" si="43"/>
        <v>255.3</v>
      </c>
      <c r="H446" s="7">
        <f t="shared" si="44"/>
        <v>583.25</v>
      </c>
      <c r="I446" s="10">
        <f t="shared" si="45"/>
        <v>1234.3</v>
      </c>
      <c r="J446">
        <f t="shared" si="46"/>
        <v>0</v>
      </c>
      <c r="K446">
        <f t="shared" si="47"/>
        <v>0</v>
      </c>
      <c r="L446" s="10">
        <f t="shared" si="48"/>
        <v>1234.3</v>
      </c>
    </row>
    <row r="447" spans="1:12" x14ac:dyDescent="0.3">
      <c r="A447" s="7">
        <v>422</v>
      </c>
      <c r="B447">
        <v>20</v>
      </c>
      <c r="C447">
        <v>10</v>
      </c>
      <c r="D447">
        <v>9</v>
      </c>
      <c r="E447" t="s">
        <v>17</v>
      </c>
      <c r="F447" s="10">
        <f t="shared" si="42"/>
        <v>85</v>
      </c>
      <c r="G447" s="14">
        <f t="shared" si="43"/>
        <v>42.2</v>
      </c>
      <c r="H447" s="7">
        <f t="shared" si="44"/>
        <v>518.44000000000005</v>
      </c>
      <c r="I447" s="10">
        <f t="shared" si="45"/>
        <v>549.20000000000005</v>
      </c>
      <c r="J447">
        <f t="shared" si="46"/>
        <v>0</v>
      </c>
      <c r="K447">
        <f t="shared" si="47"/>
        <v>0</v>
      </c>
      <c r="L447" s="10">
        <f t="shared" si="48"/>
        <v>549.20000000000005</v>
      </c>
    </row>
    <row r="448" spans="1:12" x14ac:dyDescent="0.3">
      <c r="A448" s="7">
        <v>698</v>
      </c>
      <c r="B448">
        <v>15</v>
      </c>
      <c r="C448">
        <v>0</v>
      </c>
      <c r="D448">
        <v>9</v>
      </c>
      <c r="E448" t="s">
        <v>20</v>
      </c>
      <c r="F448" s="10">
        <f t="shared" si="42"/>
        <v>105</v>
      </c>
      <c r="G448" s="14">
        <f t="shared" si="43"/>
        <v>0</v>
      </c>
      <c r="H448" s="7">
        <f t="shared" si="44"/>
        <v>518.44000000000005</v>
      </c>
      <c r="I448" s="10">
        <f t="shared" si="45"/>
        <v>803</v>
      </c>
      <c r="J448">
        <f t="shared" si="46"/>
        <v>0</v>
      </c>
      <c r="K448">
        <f t="shared" si="47"/>
        <v>0</v>
      </c>
      <c r="L448" s="10">
        <f t="shared" si="48"/>
        <v>803</v>
      </c>
    </row>
    <row r="449" spans="1:12" x14ac:dyDescent="0.3">
      <c r="A449" s="7">
        <v>657</v>
      </c>
      <c r="B449">
        <v>2</v>
      </c>
      <c r="C449">
        <v>45</v>
      </c>
      <c r="D449">
        <v>7</v>
      </c>
      <c r="E449" t="s">
        <v>18</v>
      </c>
      <c r="F449" s="10">
        <f t="shared" si="42"/>
        <v>14</v>
      </c>
      <c r="G449" s="14">
        <f t="shared" si="43"/>
        <v>295.64999999999998</v>
      </c>
      <c r="H449" s="7">
        <f t="shared" si="44"/>
        <v>666.57</v>
      </c>
      <c r="I449" s="10">
        <f t="shared" si="45"/>
        <v>966.65</v>
      </c>
      <c r="J449">
        <f t="shared" si="46"/>
        <v>0</v>
      </c>
      <c r="K449">
        <f t="shared" si="47"/>
        <v>0</v>
      </c>
      <c r="L449" s="10">
        <f t="shared" si="48"/>
        <v>966.65</v>
      </c>
    </row>
    <row r="450" spans="1:12" x14ac:dyDescent="0.3">
      <c r="A450" s="7">
        <v>957</v>
      </c>
      <c r="B450">
        <v>5</v>
      </c>
      <c r="C450">
        <v>35</v>
      </c>
      <c r="D450">
        <v>3</v>
      </c>
      <c r="E450" t="s">
        <v>18</v>
      </c>
      <c r="F450" s="10">
        <f t="shared" si="42"/>
        <v>48</v>
      </c>
      <c r="G450" s="14">
        <f t="shared" si="43"/>
        <v>334.95</v>
      </c>
      <c r="H450" s="7">
        <f t="shared" si="44"/>
        <v>1555.33</v>
      </c>
      <c r="I450" s="10">
        <f t="shared" si="45"/>
        <v>1339.95</v>
      </c>
      <c r="J450">
        <f t="shared" si="46"/>
        <v>1</v>
      </c>
      <c r="K450">
        <f t="shared" si="47"/>
        <v>215.37999999999988</v>
      </c>
      <c r="L450" s="10">
        <f t="shared" si="48"/>
        <v>1555.33</v>
      </c>
    </row>
    <row r="451" spans="1:12" x14ac:dyDescent="0.3">
      <c r="A451" s="7">
        <v>2790</v>
      </c>
      <c r="B451">
        <v>18</v>
      </c>
      <c r="C451">
        <v>30</v>
      </c>
      <c r="D451">
        <v>1</v>
      </c>
      <c r="E451" t="s">
        <v>18</v>
      </c>
      <c r="F451" s="10">
        <f t="shared" ref="F451:F501" si="49">ROUNDUP(0.01*B451*A451,0)</f>
        <v>503</v>
      </c>
      <c r="G451" s="14">
        <f t="shared" ref="G451:G501" si="50">ROUND(C451/100*A451,2)</f>
        <v>837</v>
      </c>
      <c r="H451" s="7">
        <f t="shared" ref="H451:H501" si="51">ROUND(4666/D451:D950,2)</f>
        <v>4666</v>
      </c>
      <c r="I451" s="10">
        <f t="shared" ref="I451:I501" si="52">G451+A451+F451</f>
        <v>4130</v>
      </c>
      <c r="J451">
        <f t="shared" ref="J451:J501" si="53">IF(H451&gt;I451,1,0)</f>
        <v>1</v>
      </c>
      <c r="K451">
        <f t="shared" ref="K451:K501" si="54">IF(J451=1,H451-I451,0)</f>
        <v>536</v>
      </c>
      <c r="L451" s="10">
        <f t="shared" ref="L451:L501" si="55">I451+K451</f>
        <v>4666</v>
      </c>
    </row>
    <row r="452" spans="1:12" x14ac:dyDescent="0.3">
      <c r="A452" s="7">
        <v>585</v>
      </c>
      <c r="B452">
        <v>6</v>
      </c>
      <c r="C452">
        <v>5</v>
      </c>
      <c r="D452">
        <v>10</v>
      </c>
      <c r="E452" t="s">
        <v>17</v>
      </c>
      <c r="F452" s="10">
        <f t="shared" si="49"/>
        <v>36</v>
      </c>
      <c r="G452" s="14">
        <f t="shared" si="50"/>
        <v>29.25</v>
      </c>
      <c r="H452" s="7">
        <f t="shared" si="51"/>
        <v>466.6</v>
      </c>
      <c r="I452" s="10">
        <f t="shared" si="52"/>
        <v>650.25</v>
      </c>
      <c r="J452">
        <f t="shared" si="53"/>
        <v>0</v>
      </c>
      <c r="K452">
        <f t="shared" si="54"/>
        <v>0</v>
      </c>
      <c r="L452" s="10">
        <f t="shared" si="55"/>
        <v>650.25</v>
      </c>
    </row>
    <row r="453" spans="1:12" x14ac:dyDescent="0.3">
      <c r="A453" s="7">
        <v>1323</v>
      </c>
      <c r="B453">
        <v>2</v>
      </c>
      <c r="C453">
        <v>50</v>
      </c>
      <c r="D453">
        <v>4</v>
      </c>
      <c r="E453" t="s">
        <v>19</v>
      </c>
      <c r="F453" s="10">
        <f t="shared" si="49"/>
        <v>27</v>
      </c>
      <c r="G453" s="14">
        <f t="shared" si="50"/>
        <v>661.5</v>
      </c>
      <c r="H453" s="7">
        <f t="shared" si="51"/>
        <v>1166.5</v>
      </c>
      <c r="I453" s="10">
        <f t="shared" si="52"/>
        <v>2011.5</v>
      </c>
      <c r="J453">
        <f t="shared" si="53"/>
        <v>0</v>
      </c>
      <c r="K453">
        <f t="shared" si="54"/>
        <v>0</v>
      </c>
      <c r="L453" s="10">
        <f t="shared" si="55"/>
        <v>2011.5</v>
      </c>
    </row>
    <row r="454" spans="1:12" x14ac:dyDescent="0.3">
      <c r="A454" s="7">
        <v>5490</v>
      </c>
      <c r="B454">
        <v>17</v>
      </c>
      <c r="C454">
        <v>0</v>
      </c>
      <c r="D454">
        <v>1</v>
      </c>
      <c r="E454" t="s">
        <v>18</v>
      </c>
      <c r="F454" s="10">
        <f t="shared" si="49"/>
        <v>934</v>
      </c>
      <c r="G454" s="14">
        <f t="shared" si="50"/>
        <v>0</v>
      </c>
      <c r="H454" s="7">
        <f t="shared" si="51"/>
        <v>4666</v>
      </c>
      <c r="I454" s="10">
        <f t="shared" si="52"/>
        <v>6424</v>
      </c>
      <c r="J454">
        <f t="shared" si="53"/>
        <v>0</v>
      </c>
      <c r="K454">
        <f t="shared" si="54"/>
        <v>0</v>
      </c>
      <c r="L454" s="10">
        <f t="shared" si="55"/>
        <v>6424</v>
      </c>
    </row>
    <row r="455" spans="1:12" x14ac:dyDescent="0.3">
      <c r="A455" s="7">
        <v>484</v>
      </c>
      <c r="B455">
        <v>8</v>
      </c>
      <c r="C455">
        <v>0</v>
      </c>
      <c r="D455">
        <v>9</v>
      </c>
      <c r="E455" t="s">
        <v>21</v>
      </c>
      <c r="F455" s="10">
        <f t="shared" si="49"/>
        <v>39</v>
      </c>
      <c r="G455" s="14">
        <f t="shared" si="50"/>
        <v>0</v>
      </c>
      <c r="H455" s="7">
        <f t="shared" si="51"/>
        <v>518.44000000000005</v>
      </c>
      <c r="I455" s="10">
        <f t="shared" si="52"/>
        <v>523</v>
      </c>
      <c r="J455">
        <f t="shared" si="53"/>
        <v>0</v>
      </c>
      <c r="K455">
        <f t="shared" si="54"/>
        <v>0</v>
      </c>
      <c r="L455" s="10">
        <f t="shared" si="55"/>
        <v>523</v>
      </c>
    </row>
    <row r="456" spans="1:12" x14ac:dyDescent="0.3">
      <c r="A456" s="7">
        <v>950</v>
      </c>
      <c r="B456">
        <v>8</v>
      </c>
      <c r="C456">
        <v>30</v>
      </c>
      <c r="D456">
        <v>3</v>
      </c>
      <c r="E456" t="s">
        <v>18</v>
      </c>
      <c r="F456" s="10">
        <f t="shared" si="49"/>
        <v>76</v>
      </c>
      <c r="G456" s="14">
        <f t="shared" si="50"/>
        <v>285</v>
      </c>
      <c r="H456" s="7">
        <f t="shared" si="51"/>
        <v>1555.33</v>
      </c>
      <c r="I456" s="10">
        <f t="shared" si="52"/>
        <v>1311</v>
      </c>
      <c r="J456">
        <f t="shared" si="53"/>
        <v>1</v>
      </c>
      <c r="K456">
        <f t="shared" si="54"/>
        <v>244.32999999999993</v>
      </c>
      <c r="L456" s="10">
        <f t="shared" si="55"/>
        <v>1555.33</v>
      </c>
    </row>
    <row r="457" spans="1:12" x14ac:dyDescent="0.3">
      <c r="A457" s="7">
        <v>672</v>
      </c>
      <c r="B457">
        <v>14</v>
      </c>
      <c r="C457">
        <v>20</v>
      </c>
      <c r="D457">
        <v>5</v>
      </c>
      <c r="E457" t="s">
        <v>18</v>
      </c>
      <c r="F457" s="10">
        <f t="shared" si="49"/>
        <v>95</v>
      </c>
      <c r="G457" s="14">
        <f t="shared" si="50"/>
        <v>134.4</v>
      </c>
      <c r="H457" s="7">
        <f t="shared" si="51"/>
        <v>933.2</v>
      </c>
      <c r="I457" s="10">
        <f t="shared" si="52"/>
        <v>901.4</v>
      </c>
      <c r="J457">
        <f t="shared" si="53"/>
        <v>1</v>
      </c>
      <c r="K457">
        <f t="shared" si="54"/>
        <v>31.800000000000068</v>
      </c>
      <c r="L457" s="10">
        <f t="shared" si="55"/>
        <v>933.2</v>
      </c>
    </row>
    <row r="458" spans="1:12" x14ac:dyDescent="0.3">
      <c r="A458" s="7">
        <v>315</v>
      </c>
      <c r="B458">
        <v>13</v>
      </c>
      <c r="C458">
        <v>15</v>
      </c>
      <c r="D458">
        <v>10</v>
      </c>
      <c r="E458" t="s">
        <v>16</v>
      </c>
      <c r="F458" s="10">
        <f t="shared" si="49"/>
        <v>41</v>
      </c>
      <c r="G458" s="14">
        <f t="shared" si="50"/>
        <v>47.25</v>
      </c>
      <c r="H458" s="7">
        <f t="shared" si="51"/>
        <v>466.6</v>
      </c>
      <c r="I458" s="10">
        <f t="shared" si="52"/>
        <v>403.25</v>
      </c>
      <c r="J458">
        <f t="shared" si="53"/>
        <v>1</v>
      </c>
      <c r="K458">
        <f t="shared" si="54"/>
        <v>63.350000000000023</v>
      </c>
      <c r="L458" s="10">
        <f t="shared" si="55"/>
        <v>466.6</v>
      </c>
    </row>
    <row r="459" spans="1:12" x14ac:dyDescent="0.3">
      <c r="A459" s="7">
        <v>513</v>
      </c>
      <c r="B459">
        <v>2</v>
      </c>
      <c r="C459">
        <v>50</v>
      </c>
      <c r="D459">
        <v>10</v>
      </c>
      <c r="E459" t="s">
        <v>16</v>
      </c>
      <c r="F459" s="10">
        <f t="shared" si="49"/>
        <v>11</v>
      </c>
      <c r="G459" s="14">
        <f t="shared" si="50"/>
        <v>256.5</v>
      </c>
      <c r="H459" s="7">
        <f t="shared" si="51"/>
        <v>466.6</v>
      </c>
      <c r="I459" s="10">
        <f t="shared" si="52"/>
        <v>780.5</v>
      </c>
      <c r="J459">
        <f t="shared" si="53"/>
        <v>0</v>
      </c>
      <c r="K459">
        <f t="shared" si="54"/>
        <v>0</v>
      </c>
      <c r="L459" s="10">
        <f t="shared" si="55"/>
        <v>780.5</v>
      </c>
    </row>
    <row r="460" spans="1:12" x14ac:dyDescent="0.3">
      <c r="A460" s="7">
        <v>417</v>
      </c>
      <c r="B460">
        <v>12</v>
      </c>
      <c r="C460">
        <v>0</v>
      </c>
      <c r="D460">
        <v>9</v>
      </c>
      <c r="E460" t="s">
        <v>16</v>
      </c>
      <c r="F460" s="10">
        <f t="shared" si="49"/>
        <v>51</v>
      </c>
      <c r="G460" s="14">
        <f t="shared" si="50"/>
        <v>0</v>
      </c>
      <c r="H460" s="7">
        <f t="shared" si="51"/>
        <v>518.44000000000005</v>
      </c>
      <c r="I460" s="10">
        <f t="shared" si="52"/>
        <v>468</v>
      </c>
      <c r="J460">
        <f t="shared" si="53"/>
        <v>1</v>
      </c>
      <c r="K460">
        <f t="shared" si="54"/>
        <v>50.440000000000055</v>
      </c>
      <c r="L460" s="10">
        <f t="shared" si="55"/>
        <v>518.44000000000005</v>
      </c>
    </row>
    <row r="461" spans="1:12" x14ac:dyDescent="0.3">
      <c r="A461" s="7">
        <v>3485</v>
      </c>
      <c r="B461">
        <v>20</v>
      </c>
      <c r="C461">
        <v>25</v>
      </c>
      <c r="D461">
        <v>2</v>
      </c>
      <c r="E461" t="s">
        <v>16</v>
      </c>
      <c r="F461" s="10">
        <f t="shared" si="49"/>
        <v>697</v>
      </c>
      <c r="G461" s="14">
        <f t="shared" si="50"/>
        <v>871.25</v>
      </c>
      <c r="H461" s="7">
        <f t="shared" si="51"/>
        <v>2333</v>
      </c>
      <c r="I461" s="10">
        <f t="shared" si="52"/>
        <v>5053.25</v>
      </c>
      <c r="J461">
        <f t="shared" si="53"/>
        <v>0</v>
      </c>
      <c r="K461">
        <f t="shared" si="54"/>
        <v>0</v>
      </c>
      <c r="L461" s="10">
        <f t="shared" si="55"/>
        <v>5053.25</v>
      </c>
    </row>
    <row r="462" spans="1:12" x14ac:dyDescent="0.3">
      <c r="A462" s="7">
        <v>2165</v>
      </c>
      <c r="B462">
        <v>16</v>
      </c>
      <c r="C462">
        <v>0</v>
      </c>
      <c r="D462">
        <v>2</v>
      </c>
      <c r="E462" t="s">
        <v>20</v>
      </c>
      <c r="F462" s="10">
        <f t="shared" si="49"/>
        <v>347</v>
      </c>
      <c r="G462" s="14">
        <f t="shared" si="50"/>
        <v>0</v>
      </c>
      <c r="H462" s="7">
        <f t="shared" si="51"/>
        <v>2333</v>
      </c>
      <c r="I462" s="10">
        <f t="shared" si="52"/>
        <v>2512</v>
      </c>
      <c r="J462">
        <f t="shared" si="53"/>
        <v>0</v>
      </c>
      <c r="K462">
        <f t="shared" si="54"/>
        <v>0</v>
      </c>
      <c r="L462" s="10">
        <f t="shared" si="55"/>
        <v>2512</v>
      </c>
    </row>
    <row r="463" spans="1:12" x14ac:dyDescent="0.3">
      <c r="A463" s="7">
        <v>4870</v>
      </c>
      <c r="B463">
        <v>11</v>
      </c>
      <c r="C463">
        <v>0</v>
      </c>
      <c r="D463">
        <v>1</v>
      </c>
      <c r="E463" t="s">
        <v>17</v>
      </c>
      <c r="F463" s="10">
        <f t="shared" si="49"/>
        <v>536</v>
      </c>
      <c r="G463" s="14">
        <f t="shared" si="50"/>
        <v>0</v>
      </c>
      <c r="H463" s="7">
        <f t="shared" si="51"/>
        <v>4666</v>
      </c>
      <c r="I463" s="10">
        <f t="shared" si="52"/>
        <v>5406</v>
      </c>
      <c r="J463">
        <f t="shared" si="53"/>
        <v>0</v>
      </c>
      <c r="K463">
        <f t="shared" si="54"/>
        <v>0</v>
      </c>
      <c r="L463" s="10">
        <f t="shared" si="55"/>
        <v>5406</v>
      </c>
    </row>
    <row r="464" spans="1:12" x14ac:dyDescent="0.3">
      <c r="A464" s="7">
        <v>3820</v>
      </c>
      <c r="B464">
        <v>14</v>
      </c>
      <c r="C464">
        <v>25</v>
      </c>
      <c r="D464">
        <v>1</v>
      </c>
      <c r="E464" t="s">
        <v>15</v>
      </c>
      <c r="F464" s="10">
        <f t="shared" si="49"/>
        <v>535</v>
      </c>
      <c r="G464" s="14">
        <f t="shared" si="50"/>
        <v>955</v>
      </c>
      <c r="H464" s="7">
        <f t="shared" si="51"/>
        <v>4666</v>
      </c>
      <c r="I464" s="10">
        <f t="shared" si="52"/>
        <v>5310</v>
      </c>
      <c r="J464">
        <f t="shared" si="53"/>
        <v>0</v>
      </c>
      <c r="K464">
        <f t="shared" si="54"/>
        <v>0</v>
      </c>
      <c r="L464" s="10">
        <f t="shared" si="55"/>
        <v>5310</v>
      </c>
    </row>
    <row r="465" spans="1:12" x14ac:dyDescent="0.3">
      <c r="A465" s="7">
        <v>822</v>
      </c>
      <c r="B465">
        <v>7</v>
      </c>
      <c r="C465">
        <v>35</v>
      </c>
      <c r="D465">
        <v>6</v>
      </c>
      <c r="E465" t="s">
        <v>15</v>
      </c>
      <c r="F465" s="10">
        <f t="shared" si="49"/>
        <v>58</v>
      </c>
      <c r="G465" s="14">
        <f t="shared" si="50"/>
        <v>287.7</v>
      </c>
      <c r="H465" s="7">
        <f t="shared" si="51"/>
        <v>777.67</v>
      </c>
      <c r="I465" s="10">
        <f t="shared" si="52"/>
        <v>1167.7</v>
      </c>
      <c r="J465">
        <f t="shared" si="53"/>
        <v>0</v>
      </c>
      <c r="K465">
        <f t="shared" si="54"/>
        <v>0</v>
      </c>
      <c r="L465" s="10">
        <f t="shared" si="55"/>
        <v>1167.7</v>
      </c>
    </row>
    <row r="466" spans="1:12" x14ac:dyDescent="0.3">
      <c r="A466" s="7">
        <v>714</v>
      </c>
      <c r="B466">
        <v>2</v>
      </c>
      <c r="C466">
        <v>30</v>
      </c>
      <c r="D466">
        <v>7</v>
      </c>
      <c r="E466" t="s">
        <v>17</v>
      </c>
      <c r="F466" s="10">
        <f t="shared" si="49"/>
        <v>15</v>
      </c>
      <c r="G466" s="14">
        <f t="shared" si="50"/>
        <v>214.2</v>
      </c>
      <c r="H466" s="7">
        <f t="shared" si="51"/>
        <v>666.57</v>
      </c>
      <c r="I466" s="10">
        <f t="shared" si="52"/>
        <v>943.2</v>
      </c>
      <c r="J466">
        <f t="shared" si="53"/>
        <v>0</v>
      </c>
      <c r="K466">
        <f t="shared" si="54"/>
        <v>0</v>
      </c>
      <c r="L466" s="10">
        <f t="shared" si="55"/>
        <v>943.2</v>
      </c>
    </row>
    <row r="467" spans="1:12" x14ac:dyDescent="0.3">
      <c r="A467" s="7">
        <v>3710</v>
      </c>
      <c r="B467">
        <v>2</v>
      </c>
      <c r="C467">
        <v>40</v>
      </c>
      <c r="D467">
        <v>1</v>
      </c>
      <c r="E467" t="s">
        <v>15</v>
      </c>
      <c r="F467" s="10">
        <f t="shared" si="49"/>
        <v>75</v>
      </c>
      <c r="G467" s="14">
        <f t="shared" si="50"/>
        <v>1484</v>
      </c>
      <c r="H467" s="7">
        <f t="shared" si="51"/>
        <v>4666</v>
      </c>
      <c r="I467" s="10">
        <f t="shared" si="52"/>
        <v>5269</v>
      </c>
      <c r="J467">
        <f t="shared" si="53"/>
        <v>0</v>
      </c>
      <c r="K467">
        <f t="shared" si="54"/>
        <v>0</v>
      </c>
      <c r="L467" s="10">
        <f t="shared" si="55"/>
        <v>5269</v>
      </c>
    </row>
    <row r="468" spans="1:12" x14ac:dyDescent="0.3">
      <c r="A468" s="7">
        <v>474</v>
      </c>
      <c r="B468">
        <v>13</v>
      </c>
      <c r="C468">
        <v>40</v>
      </c>
      <c r="D468">
        <v>7</v>
      </c>
      <c r="E468" t="s">
        <v>20</v>
      </c>
      <c r="F468" s="10">
        <f t="shared" si="49"/>
        <v>62</v>
      </c>
      <c r="G468" s="14">
        <f t="shared" si="50"/>
        <v>189.6</v>
      </c>
      <c r="H468" s="7">
        <f t="shared" si="51"/>
        <v>666.57</v>
      </c>
      <c r="I468" s="10">
        <f t="shared" si="52"/>
        <v>725.6</v>
      </c>
      <c r="J468">
        <f t="shared" si="53"/>
        <v>0</v>
      </c>
      <c r="K468">
        <f t="shared" si="54"/>
        <v>0</v>
      </c>
      <c r="L468" s="10">
        <f t="shared" si="55"/>
        <v>725.6</v>
      </c>
    </row>
    <row r="469" spans="1:12" x14ac:dyDescent="0.3">
      <c r="A469" s="7">
        <v>3220</v>
      </c>
      <c r="B469">
        <v>12</v>
      </c>
      <c r="C469">
        <v>40</v>
      </c>
      <c r="D469">
        <v>1</v>
      </c>
      <c r="E469" t="s">
        <v>15</v>
      </c>
      <c r="F469" s="10">
        <f t="shared" si="49"/>
        <v>387</v>
      </c>
      <c r="G469" s="14">
        <f t="shared" si="50"/>
        <v>1288</v>
      </c>
      <c r="H469" s="7">
        <f t="shared" si="51"/>
        <v>4666</v>
      </c>
      <c r="I469" s="10">
        <f t="shared" si="52"/>
        <v>4895</v>
      </c>
      <c r="J469">
        <f t="shared" si="53"/>
        <v>0</v>
      </c>
      <c r="K469">
        <f t="shared" si="54"/>
        <v>0</v>
      </c>
      <c r="L469" s="10">
        <f t="shared" si="55"/>
        <v>4895</v>
      </c>
    </row>
    <row r="470" spans="1:12" x14ac:dyDescent="0.3">
      <c r="A470" s="7">
        <v>6270</v>
      </c>
      <c r="B470">
        <v>14</v>
      </c>
      <c r="C470">
        <v>5</v>
      </c>
      <c r="D470">
        <v>1</v>
      </c>
      <c r="E470" t="s">
        <v>21</v>
      </c>
      <c r="F470" s="10">
        <f t="shared" si="49"/>
        <v>878</v>
      </c>
      <c r="G470" s="14">
        <f t="shared" si="50"/>
        <v>313.5</v>
      </c>
      <c r="H470" s="7">
        <f t="shared" si="51"/>
        <v>4666</v>
      </c>
      <c r="I470" s="10">
        <f t="shared" si="52"/>
        <v>7461.5</v>
      </c>
      <c r="J470">
        <f t="shared" si="53"/>
        <v>0</v>
      </c>
      <c r="K470">
        <f t="shared" si="54"/>
        <v>0</v>
      </c>
      <c r="L470" s="10">
        <f t="shared" si="55"/>
        <v>7461.5</v>
      </c>
    </row>
    <row r="471" spans="1:12" x14ac:dyDescent="0.3">
      <c r="A471" s="7">
        <v>773</v>
      </c>
      <c r="B471">
        <v>12</v>
      </c>
      <c r="C471">
        <v>30</v>
      </c>
      <c r="D471">
        <v>8</v>
      </c>
      <c r="E471" t="s">
        <v>15</v>
      </c>
      <c r="F471" s="10">
        <f t="shared" si="49"/>
        <v>93</v>
      </c>
      <c r="G471" s="14">
        <f t="shared" si="50"/>
        <v>231.9</v>
      </c>
      <c r="H471" s="7">
        <f t="shared" si="51"/>
        <v>583.25</v>
      </c>
      <c r="I471" s="10">
        <f t="shared" si="52"/>
        <v>1097.9000000000001</v>
      </c>
      <c r="J471">
        <f t="shared" si="53"/>
        <v>0</v>
      </c>
      <c r="K471">
        <f t="shared" si="54"/>
        <v>0</v>
      </c>
      <c r="L471" s="10">
        <f t="shared" si="55"/>
        <v>1097.9000000000001</v>
      </c>
    </row>
    <row r="472" spans="1:12" x14ac:dyDescent="0.3">
      <c r="A472" s="7">
        <v>590</v>
      </c>
      <c r="B472">
        <v>0</v>
      </c>
      <c r="C472">
        <v>45</v>
      </c>
      <c r="D472">
        <v>10</v>
      </c>
      <c r="E472" t="s">
        <v>21</v>
      </c>
      <c r="F472" s="10">
        <f t="shared" si="49"/>
        <v>0</v>
      </c>
      <c r="G472" s="14">
        <f t="shared" si="50"/>
        <v>265.5</v>
      </c>
      <c r="H472" s="7">
        <f t="shared" si="51"/>
        <v>466.6</v>
      </c>
      <c r="I472" s="10">
        <f t="shared" si="52"/>
        <v>855.5</v>
      </c>
      <c r="J472">
        <f t="shared" si="53"/>
        <v>0</v>
      </c>
      <c r="K472">
        <f t="shared" si="54"/>
        <v>0</v>
      </c>
      <c r="L472" s="10">
        <f t="shared" si="55"/>
        <v>855.5</v>
      </c>
    </row>
    <row r="473" spans="1:12" x14ac:dyDescent="0.3">
      <c r="A473" s="7">
        <v>569</v>
      </c>
      <c r="B473">
        <v>2</v>
      </c>
      <c r="C473">
        <v>20</v>
      </c>
      <c r="D473">
        <v>10</v>
      </c>
      <c r="E473" t="s">
        <v>17</v>
      </c>
      <c r="F473" s="10">
        <f t="shared" si="49"/>
        <v>12</v>
      </c>
      <c r="G473" s="14">
        <f t="shared" si="50"/>
        <v>113.8</v>
      </c>
      <c r="H473" s="7">
        <f t="shared" si="51"/>
        <v>466.6</v>
      </c>
      <c r="I473" s="10">
        <f t="shared" si="52"/>
        <v>694.8</v>
      </c>
      <c r="J473">
        <f t="shared" si="53"/>
        <v>0</v>
      </c>
      <c r="K473">
        <f t="shared" si="54"/>
        <v>0</v>
      </c>
      <c r="L473" s="10">
        <f t="shared" si="55"/>
        <v>694.8</v>
      </c>
    </row>
    <row r="474" spans="1:12" x14ac:dyDescent="0.3">
      <c r="A474" s="7">
        <v>3730</v>
      </c>
      <c r="B474">
        <v>17</v>
      </c>
      <c r="C474">
        <v>40</v>
      </c>
      <c r="D474">
        <v>1</v>
      </c>
      <c r="E474" t="s">
        <v>17</v>
      </c>
      <c r="F474" s="10">
        <f t="shared" si="49"/>
        <v>635</v>
      </c>
      <c r="G474" s="14">
        <f t="shared" si="50"/>
        <v>1492</v>
      </c>
      <c r="H474" s="7">
        <f t="shared" si="51"/>
        <v>4666</v>
      </c>
      <c r="I474" s="10">
        <f t="shared" si="52"/>
        <v>5857</v>
      </c>
      <c r="J474">
        <f t="shared" si="53"/>
        <v>0</v>
      </c>
      <c r="K474">
        <f t="shared" si="54"/>
        <v>0</v>
      </c>
      <c r="L474" s="10">
        <f t="shared" si="55"/>
        <v>5857</v>
      </c>
    </row>
    <row r="475" spans="1:12" x14ac:dyDescent="0.3">
      <c r="A475" s="7">
        <v>3160</v>
      </c>
      <c r="B475">
        <v>11</v>
      </c>
      <c r="C475">
        <v>20</v>
      </c>
      <c r="D475">
        <v>1</v>
      </c>
      <c r="E475" t="s">
        <v>16</v>
      </c>
      <c r="F475" s="10">
        <f t="shared" si="49"/>
        <v>348</v>
      </c>
      <c r="G475" s="14">
        <f t="shared" si="50"/>
        <v>632</v>
      </c>
      <c r="H475" s="7">
        <f t="shared" si="51"/>
        <v>4666</v>
      </c>
      <c r="I475" s="10">
        <f t="shared" si="52"/>
        <v>4140</v>
      </c>
      <c r="J475">
        <f t="shared" si="53"/>
        <v>1</v>
      </c>
      <c r="K475">
        <f t="shared" si="54"/>
        <v>526</v>
      </c>
      <c r="L475" s="10">
        <f t="shared" si="55"/>
        <v>4666</v>
      </c>
    </row>
    <row r="476" spans="1:12" x14ac:dyDescent="0.3">
      <c r="A476" s="7">
        <v>596</v>
      </c>
      <c r="B476">
        <v>6</v>
      </c>
      <c r="C476">
        <v>25</v>
      </c>
      <c r="D476">
        <v>7</v>
      </c>
      <c r="E476" t="s">
        <v>19</v>
      </c>
      <c r="F476" s="10">
        <f t="shared" si="49"/>
        <v>36</v>
      </c>
      <c r="G476" s="14">
        <f t="shared" si="50"/>
        <v>149</v>
      </c>
      <c r="H476" s="7">
        <f t="shared" si="51"/>
        <v>666.57</v>
      </c>
      <c r="I476" s="10">
        <f t="shared" si="52"/>
        <v>781</v>
      </c>
      <c r="J476">
        <f t="shared" si="53"/>
        <v>0</v>
      </c>
      <c r="K476">
        <f t="shared" si="54"/>
        <v>0</v>
      </c>
      <c r="L476" s="10">
        <f t="shared" si="55"/>
        <v>781</v>
      </c>
    </row>
    <row r="477" spans="1:12" x14ac:dyDescent="0.3">
      <c r="A477" s="7">
        <v>6170</v>
      </c>
      <c r="B477">
        <v>14</v>
      </c>
      <c r="C477">
        <v>20</v>
      </c>
      <c r="D477">
        <v>1</v>
      </c>
      <c r="E477" t="s">
        <v>18</v>
      </c>
      <c r="F477" s="10">
        <f t="shared" si="49"/>
        <v>864</v>
      </c>
      <c r="G477" s="14">
        <f t="shared" si="50"/>
        <v>1234</v>
      </c>
      <c r="H477" s="7">
        <f t="shared" si="51"/>
        <v>4666</v>
      </c>
      <c r="I477" s="10">
        <f t="shared" si="52"/>
        <v>8268</v>
      </c>
      <c r="J477">
        <f t="shared" si="53"/>
        <v>0</v>
      </c>
      <c r="K477">
        <f t="shared" si="54"/>
        <v>0</v>
      </c>
      <c r="L477" s="10">
        <f t="shared" si="55"/>
        <v>8268</v>
      </c>
    </row>
    <row r="478" spans="1:12" x14ac:dyDescent="0.3">
      <c r="A478" s="7">
        <v>1300</v>
      </c>
      <c r="B478">
        <v>14</v>
      </c>
      <c r="C478">
        <v>40</v>
      </c>
      <c r="D478">
        <v>4</v>
      </c>
      <c r="E478" t="s">
        <v>20</v>
      </c>
      <c r="F478" s="10">
        <f t="shared" si="49"/>
        <v>182</v>
      </c>
      <c r="G478" s="14">
        <f t="shared" si="50"/>
        <v>520</v>
      </c>
      <c r="H478" s="7">
        <f t="shared" si="51"/>
        <v>1166.5</v>
      </c>
      <c r="I478" s="10">
        <f t="shared" si="52"/>
        <v>2002</v>
      </c>
      <c r="J478">
        <f t="shared" si="53"/>
        <v>0</v>
      </c>
      <c r="K478">
        <f t="shared" si="54"/>
        <v>0</v>
      </c>
      <c r="L478" s="10">
        <f t="shared" si="55"/>
        <v>2002</v>
      </c>
    </row>
    <row r="479" spans="1:12" x14ac:dyDescent="0.3">
      <c r="A479" s="7">
        <v>345</v>
      </c>
      <c r="B479">
        <v>7</v>
      </c>
      <c r="C479">
        <v>10</v>
      </c>
      <c r="D479">
        <v>10</v>
      </c>
      <c r="E479" t="s">
        <v>20</v>
      </c>
      <c r="F479" s="10">
        <f t="shared" si="49"/>
        <v>25</v>
      </c>
      <c r="G479" s="14">
        <f t="shared" si="50"/>
        <v>34.5</v>
      </c>
      <c r="H479" s="7">
        <f t="shared" si="51"/>
        <v>466.6</v>
      </c>
      <c r="I479" s="10">
        <f t="shared" si="52"/>
        <v>404.5</v>
      </c>
      <c r="J479">
        <f t="shared" si="53"/>
        <v>1</v>
      </c>
      <c r="K479">
        <f t="shared" si="54"/>
        <v>62.100000000000023</v>
      </c>
      <c r="L479" s="10">
        <f t="shared" si="55"/>
        <v>466.6</v>
      </c>
    </row>
    <row r="480" spans="1:12" x14ac:dyDescent="0.3">
      <c r="A480" s="7">
        <v>1623</v>
      </c>
      <c r="B480">
        <v>6</v>
      </c>
      <c r="C480">
        <v>35</v>
      </c>
      <c r="D480">
        <v>4</v>
      </c>
      <c r="E480" t="s">
        <v>17</v>
      </c>
      <c r="F480" s="10">
        <f t="shared" si="49"/>
        <v>98</v>
      </c>
      <c r="G480" s="14">
        <f t="shared" si="50"/>
        <v>568.04999999999995</v>
      </c>
      <c r="H480" s="7">
        <f t="shared" si="51"/>
        <v>1166.5</v>
      </c>
      <c r="I480" s="10">
        <f t="shared" si="52"/>
        <v>2289.0500000000002</v>
      </c>
      <c r="J480">
        <f t="shared" si="53"/>
        <v>0</v>
      </c>
      <c r="K480">
        <f t="shared" si="54"/>
        <v>0</v>
      </c>
      <c r="L480" s="10">
        <f t="shared" si="55"/>
        <v>2289.0500000000002</v>
      </c>
    </row>
    <row r="481" spans="1:12" x14ac:dyDescent="0.3">
      <c r="A481" s="7">
        <v>6450</v>
      </c>
      <c r="B481">
        <v>3</v>
      </c>
      <c r="C481">
        <v>25</v>
      </c>
      <c r="D481">
        <v>1</v>
      </c>
      <c r="E481" t="s">
        <v>21</v>
      </c>
      <c r="F481" s="10">
        <f t="shared" si="49"/>
        <v>194</v>
      </c>
      <c r="G481" s="14">
        <f t="shared" si="50"/>
        <v>1612.5</v>
      </c>
      <c r="H481" s="7">
        <f t="shared" si="51"/>
        <v>4666</v>
      </c>
      <c r="I481" s="10">
        <f t="shared" si="52"/>
        <v>8256.5</v>
      </c>
      <c r="J481">
        <f t="shared" si="53"/>
        <v>0</v>
      </c>
      <c r="K481">
        <f t="shared" si="54"/>
        <v>0</v>
      </c>
      <c r="L481" s="10">
        <f t="shared" si="55"/>
        <v>8256.5</v>
      </c>
    </row>
    <row r="482" spans="1:12" x14ac:dyDescent="0.3">
      <c r="A482" s="7">
        <v>6140</v>
      </c>
      <c r="B482">
        <v>19</v>
      </c>
      <c r="C482">
        <v>45</v>
      </c>
      <c r="D482">
        <v>1</v>
      </c>
      <c r="E482" t="s">
        <v>20</v>
      </c>
      <c r="F482" s="10">
        <f t="shared" si="49"/>
        <v>1167</v>
      </c>
      <c r="G482" s="14">
        <f t="shared" si="50"/>
        <v>2763</v>
      </c>
      <c r="H482" s="7">
        <f t="shared" si="51"/>
        <v>4666</v>
      </c>
      <c r="I482" s="10">
        <f t="shared" si="52"/>
        <v>10070</v>
      </c>
      <c r="J482">
        <f t="shared" si="53"/>
        <v>0</v>
      </c>
      <c r="K482">
        <f t="shared" si="54"/>
        <v>0</v>
      </c>
      <c r="L482" s="10">
        <f t="shared" si="55"/>
        <v>10070</v>
      </c>
    </row>
    <row r="483" spans="1:12" x14ac:dyDescent="0.3">
      <c r="A483" s="7">
        <v>1640</v>
      </c>
      <c r="B483">
        <v>5</v>
      </c>
      <c r="C483">
        <v>15</v>
      </c>
      <c r="D483">
        <v>4</v>
      </c>
      <c r="E483" t="s">
        <v>21</v>
      </c>
      <c r="F483" s="10">
        <f t="shared" si="49"/>
        <v>82</v>
      </c>
      <c r="G483" s="14">
        <f t="shared" si="50"/>
        <v>246</v>
      </c>
      <c r="H483" s="7">
        <f t="shared" si="51"/>
        <v>1166.5</v>
      </c>
      <c r="I483" s="10">
        <f t="shared" si="52"/>
        <v>1968</v>
      </c>
      <c r="J483">
        <f t="shared" si="53"/>
        <v>0</v>
      </c>
      <c r="K483">
        <f t="shared" si="54"/>
        <v>0</v>
      </c>
      <c r="L483" s="10">
        <f t="shared" si="55"/>
        <v>1968</v>
      </c>
    </row>
    <row r="484" spans="1:12" x14ac:dyDescent="0.3">
      <c r="A484" s="7">
        <v>610</v>
      </c>
      <c r="B484">
        <v>11</v>
      </c>
      <c r="C484">
        <v>35</v>
      </c>
      <c r="D484">
        <v>10</v>
      </c>
      <c r="E484" t="s">
        <v>19</v>
      </c>
      <c r="F484" s="10">
        <f t="shared" si="49"/>
        <v>68</v>
      </c>
      <c r="G484" s="14">
        <f t="shared" si="50"/>
        <v>213.5</v>
      </c>
      <c r="H484" s="7">
        <f t="shared" si="51"/>
        <v>466.6</v>
      </c>
      <c r="I484" s="10">
        <f t="shared" si="52"/>
        <v>891.5</v>
      </c>
      <c r="J484">
        <f t="shared" si="53"/>
        <v>0</v>
      </c>
      <c r="K484">
        <f t="shared" si="54"/>
        <v>0</v>
      </c>
      <c r="L484" s="10">
        <f t="shared" si="55"/>
        <v>891.5</v>
      </c>
    </row>
    <row r="485" spans="1:12" x14ac:dyDescent="0.3">
      <c r="A485" s="7">
        <v>531</v>
      </c>
      <c r="B485">
        <v>18</v>
      </c>
      <c r="C485">
        <v>30</v>
      </c>
      <c r="D485">
        <v>10</v>
      </c>
      <c r="E485" t="s">
        <v>17</v>
      </c>
      <c r="F485" s="10">
        <f t="shared" si="49"/>
        <v>96</v>
      </c>
      <c r="G485" s="14">
        <f t="shared" si="50"/>
        <v>159.30000000000001</v>
      </c>
      <c r="H485" s="7">
        <f t="shared" si="51"/>
        <v>466.6</v>
      </c>
      <c r="I485" s="10">
        <f t="shared" si="52"/>
        <v>786.3</v>
      </c>
      <c r="J485">
        <f t="shared" si="53"/>
        <v>0</v>
      </c>
      <c r="K485">
        <f t="shared" si="54"/>
        <v>0</v>
      </c>
      <c r="L485" s="10">
        <f t="shared" si="55"/>
        <v>786.3</v>
      </c>
    </row>
    <row r="486" spans="1:12" x14ac:dyDescent="0.3">
      <c r="A486" s="7">
        <v>588</v>
      </c>
      <c r="B486">
        <v>14</v>
      </c>
      <c r="C486">
        <v>20</v>
      </c>
      <c r="D486">
        <v>5</v>
      </c>
      <c r="E486" t="s">
        <v>16</v>
      </c>
      <c r="F486" s="10">
        <f t="shared" si="49"/>
        <v>83</v>
      </c>
      <c r="G486" s="14">
        <f t="shared" si="50"/>
        <v>117.6</v>
      </c>
      <c r="H486" s="7">
        <f t="shared" si="51"/>
        <v>933.2</v>
      </c>
      <c r="I486" s="10">
        <f t="shared" si="52"/>
        <v>788.6</v>
      </c>
      <c r="J486">
        <f t="shared" si="53"/>
        <v>1</v>
      </c>
      <c r="K486">
        <f t="shared" si="54"/>
        <v>144.60000000000002</v>
      </c>
      <c r="L486" s="10">
        <f t="shared" si="55"/>
        <v>933.2</v>
      </c>
    </row>
    <row r="487" spans="1:12" x14ac:dyDescent="0.3">
      <c r="A487" s="7">
        <v>4630</v>
      </c>
      <c r="B487">
        <v>18</v>
      </c>
      <c r="C487">
        <v>25</v>
      </c>
      <c r="D487">
        <v>1</v>
      </c>
      <c r="E487" t="s">
        <v>16</v>
      </c>
      <c r="F487" s="10">
        <f t="shared" si="49"/>
        <v>834</v>
      </c>
      <c r="G487" s="14">
        <f t="shared" si="50"/>
        <v>1157.5</v>
      </c>
      <c r="H487" s="7">
        <f t="shared" si="51"/>
        <v>4666</v>
      </c>
      <c r="I487" s="10">
        <f t="shared" si="52"/>
        <v>6621.5</v>
      </c>
      <c r="J487">
        <f t="shared" si="53"/>
        <v>0</v>
      </c>
      <c r="K487">
        <f t="shared" si="54"/>
        <v>0</v>
      </c>
      <c r="L487" s="10">
        <f t="shared" si="55"/>
        <v>6621.5</v>
      </c>
    </row>
    <row r="488" spans="1:12" x14ac:dyDescent="0.3">
      <c r="A488" s="7">
        <v>669.9</v>
      </c>
      <c r="B488">
        <v>6</v>
      </c>
      <c r="C488">
        <v>0</v>
      </c>
      <c r="D488">
        <v>9</v>
      </c>
      <c r="E488" t="s">
        <v>16</v>
      </c>
      <c r="F488" s="10">
        <f t="shared" si="49"/>
        <v>41</v>
      </c>
      <c r="G488" s="14">
        <f t="shared" si="50"/>
        <v>0</v>
      </c>
      <c r="H488" s="7">
        <f t="shared" si="51"/>
        <v>518.44000000000005</v>
      </c>
      <c r="I488" s="10">
        <f t="shared" si="52"/>
        <v>710.9</v>
      </c>
      <c r="J488">
        <f t="shared" si="53"/>
        <v>0</v>
      </c>
      <c r="K488">
        <f t="shared" si="54"/>
        <v>0</v>
      </c>
      <c r="L488" s="10">
        <f t="shared" si="55"/>
        <v>710.9</v>
      </c>
    </row>
    <row r="489" spans="1:12" x14ac:dyDescent="0.3">
      <c r="A489" s="7">
        <v>4250</v>
      </c>
      <c r="B489">
        <v>19</v>
      </c>
      <c r="C489">
        <v>35</v>
      </c>
      <c r="D489">
        <v>1</v>
      </c>
      <c r="E489" t="s">
        <v>21</v>
      </c>
      <c r="F489" s="10">
        <f t="shared" si="49"/>
        <v>808</v>
      </c>
      <c r="G489" s="14">
        <f t="shared" si="50"/>
        <v>1487.5</v>
      </c>
      <c r="H489" s="7">
        <f t="shared" si="51"/>
        <v>4666</v>
      </c>
      <c r="I489" s="10">
        <f t="shared" si="52"/>
        <v>6545.5</v>
      </c>
      <c r="J489">
        <f t="shared" si="53"/>
        <v>0</v>
      </c>
      <c r="K489">
        <f t="shared" si="54"/>
        <v>0</v>
      </c>
      <c r="L489" s="10">
        <f t="shared" si="55"/>
        <v>6545.5</v>
      </c>
    </row>
    <row r="490" spans="1:12" x14ac:dyDescent="0.3">
      <c r="A490" s="7">
        <v>5970</v>
      </c>
      <c r="B490">
        <v>5</v>
      </c>
      <c r="C490">
        <v>20</v>
      </c>
      <c r="D490">
        <v>1</v>
      </c>
      <c r="E490" t="s">
        <v>20</v>
      </c>
      <c r="F490" s="10">
        <f t="shared" si="49"/>
        <v>299</v>
      </c>
      <c r="G490" s="14">
        <f t="shared" si="50"/>
        <v>1194</v>
      </c>
      <c r="H490" s="7">
        <f t="shared" si="51"/>
        <v>4666</v>
      </c>
      <c r="I490" s="10">
        <f t="shared" si="52"/>
        <v>7463</v>
      </c>
      <c r="J490">
        <f t="shared" si="53"/>
        <v>0</v>
      </c>
      <c r="K490">
        <f t="shared" si="54"/>
        <v>0</v>
      </c>
      <c r="L490" s="10">
        <f t="shared" si="55"/>
        <v>7463</v>
      </c>
    </row>
    <row r="491" spans="1:12" x14ac:dyDescent="0.3">
      <c r="A491" s="7">
        <v>386</v>
      </c>
      <c r="B491">
        <v>14</v>
      </c>
      <c r="C491">
        <v>15</v>
      </c>
      <c r="D491">
        <v>10</v>
      </c>
      <c r="E491" t="s">
        <v>16</v>
      </c>
      <c r="F491" s="10">
        <f t="shared" si="49"/>
        <v>55</v>
      </c>
      <c r="G491" s="14">
        <f t="shared" si="50"/>
        <v>57.9</v>
      </c>
      <c r="H491" s="7">
        <f t="shared" si="51"/>
        <v>466.6</v>
      </c>
      <c r="I491" s="10">
        <f t="shared" si="52"/>
        <v>498.9</v>
      </c>
      <c r="J491">
        <f t="shared" si="53"/>
        <v>0</v>
      </c>
      <c r="K491">
        <f t="shared" si="54"/>
        <v>0</v>
      </c>
      <c r="L491" s="10">
        <f t="shared" si="55"/>
        <v>498.9</v>
      </c>
    </row>
    <row r="492" spans="1:12" x14ac:dyDescent="0.3">
      <c r="A492" s="7">
        <v>510</v>
      </c>
      <c r="B492">
        <v>8</v>
      </c>
      <c r="C492">
        <v>20</v>
      </c>
      <c r="D492">
        <v>10</v>
      </c>
      <c r="E492" t="s">
        <v>17</v>
      </c>
      <c r="F492" s="10">
        <f t="shared" si="49"/>
        <v>41</v>
      </c>
      <c r="G492" s="14">
        <f t="shared" si="50"/>
        <v>102</v>
      </c>
      <c r="H492" s="7">
        <f t="shared" si="51"/>
        <v>466.6</v>
      </c>
      <c r="I492" s="10">
        <f t="shared" si="52"/>
        <v>653</v>
      </c>
      <c r="J492">
        <f t="shared" si="53"/>
        <v>0</v>
      </c>
      <c r="K492">
        <f t="shared" si="54"/>
        <v>0</v>
      </c>
      <c r="L492" s="10">
        <f t="shared" si="55"/>
        <v>653</v>
      </c>
    </row>
    <row r="493" spans="1:12" x14ac:dyDescent="0.3">
      <c r="A493" s="7">
        <v>4490</v>
      </c>
      <c r="B493">
        <v>1</v>
      </c>
      <c r="C493">
        <v>5</v>
      </c>
      <c r="D493">
        <v>1</v>
      </c>
      <c r="E493" t="s">
        <v>18</v>
      </c>
      <c r="F493" s="10">
        <f t="shared" si="49"/>
        <v>45</v>
      </c>
      <c r="G493" s="14">
        <f t="shared" si="50"/>
        <v>224.5</v>
      </c>
      <c r="H493" s="7">
        <f t="shared" si="51"/>
        <v>4666</v>
      </c>
      <c r="I493" s="10">
        <f t="shared" si="52"/>
        <v>4759.5</v>
      </c>
      <c r="J493">
        <f t="shared" si="53"/>
        <v>0</v>
      </c>
      <c r="K493">
        <f t="shared" si="54"/>
        <v>0</v>
      </c>
      <c r="L493" s="10">
        <f t="shared" si="55"/>
        <v>4759.5</v>
      </c>
    </row>
    <row r="494" spans="1:12" x14ac:dyDescent="0.3">
      <c r="A494" s="7">
        <v>6880</v>
      </c>
      <c r="B494">
        <v>0</v>
      </c>
      <c r="C494">
        <v>40</v>
      </c>
      <c r="D494">
        <v>1</v>
      </c>
      <c r="E494" t="s">
        <v>19</v>
      </c>
      <c r="F494" s="10">
        <f t="shared" si="49"/>
        <v>0</v>
      </c>
      <c r="G494" s="14">
        <f t="shared" si="50"/>
        <v>2752</v>
      </c>
      <c r="H494" s="7">
        <f t="shared" si="51"/>
        <v>4666</v>
      </c>
      <c r="I494" s="10">
        <f t="shared" si="52"/>
        <v>9632</v>
      </c>
      <c r="J494">
        <f t="shared" si="53"/>
        <v>0</v>
      </c>
      <c r="K494">
        <f t="shared" si="54"/>
        <v>0</v>
      </c>
      <c r="L494" s="10">
        <f t="shared" si="55"/>
        <v>9632</v>
      </c>
    </row>
    <row r="495" spans="1:12" x14ac:dyDescent="0.3">
      <c r="A495" s="7">
        <v>1208</v>
      </c>
      <c r="B495">
        <v>15</v>
      </c>
      <c r="C495">
        <v>0</v>
      </c>
      <c r="D495">
        <v>4</v>
      </c>
      <c r="E495" t="s">
        <v>20</v>
      </c>
      <c r="F495" s="10">
        <f t="shared" si="49"/>
        <v>182</v>
      </c>
      <c r="G495" s="14">
        <f t="shared" si="50"/>
        <v>0</v>
      </c>
      <c r="H495" s="7">
        <f t="shared" si="51"/>
        <v>1166.5</v>
      </c>
      <c r="I495" s="10">
        <f t="shared" si="52"/>
        <v>1390</v>
      </c>
      <c r="J495">
        <f t="shared" si="53"/>
        <v>0</v>
      </c>
      <c r="K495">
        <f t="shared" si="54"/>
        <v>0</v>
      </c>
      <c r="L495" s="10">
        <f t="shared" si="55"/>
        <v>1390</v>
      </c>
    </row>
    <row r="496" spans="1:12" x14ac:dyDescent="0.3">
      <c r="A496" s="7">
        <v>5100</v>
      </c>
      <c r="B496">
        <v>13</v>
      </c>
      <c r="C496">
        <v>45</v>
      </c>
      <c r="D496">
        <v>1</v>
      </c>
      <c r="E496" t="s">
        <v>17</v>
      </c>
      <c r="F496" s="10">
        <f t="shared" si="49"/>
        <v>663</v>
      </c>
      <c r="G496" s="14">
        <f t="shared" si="50"/>
        <v>2295</v>
      </c>
      <c r="H496" s="7">
        <f t="shared" si="51"/>
        <v>4666</v>
      </c>
      <c r="I496" s="10">
        <f t="shared" si="52"/>
        <v>8058</v>
      </c>
      <c r="J496">
        <f t="shared" si="53"/>
        <v>0</v>
      </c>
      <c r="K496">
        <f t="shared" si="54"/>
        <v>0</v>
      </c>
      <c r="L496" s="10">
        <f t="shared" si="55"/>
        <v>8058</v>
      </c>
    </row>
    <row r="497" spans="1:12" x14ac:dyDescent="0.3">
      <c r="A497" s="7">
        <v>900</v>
      </c>
      <c r="B497">
        <v>0</v>
      </c>
      <c r="C497">
        <v>40</v>
      </c>
      <c r="D497">
        <v>7</v>
      </c>
      <c r="E497" t="s">
        <v>18</v>
      </c>
      <c r="F497" s="10">
        <f t="shared" si="49"/>
        <v>0</v>
      </c>
      <c r="G497" s="14">
        <f t="shared" si="50"/>
        <v>360</v>
      </c>
      <c r="H497" s="7">
        <f t="shared" si="51"/>
        <v>666.57</v>
      </c>
      <c r="I497" s="10">
        <f t="shared" si="52"/>
        <v>1260</v>
      </c>
      <c r="J497">
        <f t="shared" si="53"/>
        <v>0</v>
      </c>
      <c r="K497">
        <f t="shared" si="54"/>
        <v>0</v>
      </c>
      <c r="L497" s="10">
        <f t="shared" si="55"/>
        <v>1260</v>
      </c>
    </row>
    <row r="498" spans="1:12" x14ac:dyDescent="0.3">
      <c r="A498" s="7">
        <v>911</v>
      </c>
      <c r="B498">
        <v>5</v>
      </c>
      <c r="C498">
        <v>10</v>
      </c>
      <c r="D498">
        <v>7</v>
      </c>
      <c r="E498" t="s">
        <v>20</v>
      </c>
      <c r="F498" s="10">
        <f t="shared" si="49"/>
        <v>46</v>
      </c>
      <c r="G498" s="14">
        <f t="shared" si="50"/>
        <v>91.1</v>
      </c>
      <c r="H498" s="7">
        <f t="shared" si="51"/>
        <v>666.57</v>
      </c>
      <c r="I498" s="10">
        <f t="shared" si="52"/>
        <v>1048.0999999999999</v>
      </c>
      <c r="J498">
        <f t="shared" si="53"/>
        <v>0</v>
      </c>
      <c r="K498">
        <f t="shared" si="54"/>
        <v>0</v>
      </c>
      <c r="L498" s="10">
        <f t="shared" si="55"/>
        <v>1048.0999999999999</v>
      </c>
    </row>
    <row r="499" spans="1:12" x14ac:dyDescent="0.3">
      <c r="A499" s="7">
        <v>463</v>
      </c>
      <c r="B499">
        <v>8</v>
      </c>
      <c r="C499">
        <v>20</v>
      </c>
      <c r="D499">
        <v>7</v>
      </c>
      <c r="E499" t="s">
        <v>16</v>
      </c>
      <c r="F499" s="10">
        <f t="shared" si="49"/>
        <v>38</v>
      </c>
      <c r="G499" s="14">
        <f t="shared" si="50"/>
        <v>92.6</v>
      </c>
      <c r="H499" s="7">
        <f t="shared" si="51"/>
        <v>666.57</v>
      </c>
      <c r="I499" s="10">
        <f t="shared" si="52"/>
        <v>593.6</v>
      </c>
      <c r="J499">
        <f t="shared" si="53"/>
        <v>1</v>
      </c>
      <c r="K499">
        <f t="shared" si="54"/>
        <v>72.970000000000027</v>
      </c>
      <c r="L499" s="10">
        <f t="shared" si="55"/>
        <v>666.57</v>
      </c>
    </row>
    <row r="500" spans="1:12" x14ac:dyDescent="0.3">
      <c r="A500" s="7">
        <v>641.20000000000005</v>
      </c>
      <c r="B500">
        <v>12</v>
      </c>
      <c r="C500">
        <v>14</v>
      </c>
      <c r="D500">
        <v>6</v>
      </c>
      <c r="E500" t="s">
        <v>19</v>
      </c>
      <c r="F500" s="10">
        <f t="shared" si="49"/>
        <v>77</v>
      </c>
      <c r="G500" s="14">
        <f t="shared" si="50"/>
        <v>89.77</v>
      </c>
      <c r="H500" s="7">
        <f t="shared" si="51"/>
        <v>777.67</v>
      </c>
      <c r="I500" s="10">
        <f t="shared" si="52"/>
        <v>807.97</v>
      </c>
      <c r="J500">
        <f t="shared" si="53"/>
        <v>0</v>
      </c>
      <c r="K500">
        <f t="shared" si="54"/>
        <v>0</v>
      </c>
      <c r="L500" s="10">
        <f t="shared" si="55"/>
        <v>807.97</v>
      </c>
    </row>
    <row r="501" spans="1:12" x14ac:dyDescent="0.3">
      <c r="A501" s="7">
        <v>550</v>
      </c>
      <c r="B501">
        <v>14</v>
      </c>
      <c r="C501">
        <v>45</v>
      </c>
      <c r="D501">
        <v>7</v>
      </c>
      <c r="E501" t="s">
        <v>21</v>
      </c>
      <c r="F501" s="10">
        <f t="shared" si="49"/>
        <v>77</v>
      </c>
      <c r="G501" s="14">
        <f t="shared" si="50"/>
        <v>247.5</v>
      </c>
      <c r="H501" s="7">
        <f t="shared" si="51"/>
        <v>666.57</v>
      </c>
      <c r="I501" s="10">
        <f t="shared" si="52"/>
        <v>874.5</v>
      </c>
      <c r="J501">
        <f t="shared" si="53"/>
        <v>0</v>
      </c>
      <c r="K501">
        <f t="shared" si="54"/>
        <v>0</v>
      </c>
      <c r="L501" s="10">
        <f t="shared" si="55"/>
        <v>874.5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8"/>
  <sheetViews>
    <sheetView topLeftCell="F1" workbookViewId="0">
      <selection activeCell="L1" sqref="L1:O9"/>
    </sheetView>
  </sheetViews>
  <sheetFormatPr defaultRowHeight="14.4" x14ac:dyDescent="0.3"/>
  <cols>
    <col min="1" max="1" width="13.33203125" style="7" bestFit="1" customWidth="1"/>
    <col min="2" max="2" width="10.109375" bestFit="1" customWidth="1"/>
    <col min="3" max="3" width="12" bestFit="1" customWidth="1"/>
    <col min="4" max="4" width="4.77734375" bestFit="1" customWidth="1"/>
    <col min="5" max="5" width="6.77734375" bestFit="1" customWidth="1"/>
    <col min="6" max="6" width="11.88671875" customWidth="1"/>
    <col min="7" max="7" width="11.44140625" customWidth="1"/>
    <col min="8" max="8" width="11.109375" customWidth="1"/>
    <col min="9" max="9" width="12.5546875" customWidth="1"/>
    <col min="10" max="10" width="12" customWidth="1"/>
    <col min="11" max="11" width="11.88671875" customWidth="1"/>
    <col min="12" max="12" width="16.6640625" customWidth="1"/>
    <col min="13" max="14" width="15" style="7" customWidth="1"/>
    <col min="15" max="15" width="21.109375" style="7" customWidth="1"/>
    <col min="16" max="16" width="21.109375" bestFit="1" customWidth="1"/>
  </cols>
  <sheetData>
    <row r="1" spans="1:15" ht="28.8" x14ac:dyDescent="0.3">
      <c r="A1" s="11" t="s">
        <v>10</v>
      </c>
      <c r="B1" s="12" t="s">
        <v>29</v>
      </c>
      <c r="C1" s="12" t="s">
        <v>30</v>
      </c>
      <c r="D1" s="12" t="s">
        <v>13</v>
      </c>
      <c r="E1" s="12" t="s">
        <v>14</v>
      </c>
      <c r="F1" s="12" t="s">
        <v>28</v>
      </c>
      <c r="G1" s="12" t="s">
        <v>31</v>
      </c>
      <c r="H1" s="12" t="s">
        <v>36</v>
      </c>
      <c r="I1" s="12" t="s">
        <v>34</v>
      </c>
      <c r="J1" s="12" t="s">
        <v>35</v>
      </c>
      <c r="K1" s="12" t="s">
        <v>37</v>
      </c>
      <c r="L1" s="2" t="s">
        <v>4</v>
      </c>
      <c r="M1" t="s">
        <v>42</v>
      </c>
      <c r="N1" t="s">
        <v>40</v>
      </c>
      <c r="O1" t="s">
        <v>41</v>
      </c>
    </row>
    <row r="2" spans="1:15" x14ac:dyDescent="0.3">
      <c r="A2" s="7">
        <v>1445.5</v>
      </c>
      <c r="B2">
        <v>3</v>
      </c>
      <c r="C2">
        <v>27</v>
      </c>
      <c r="D2">
        <v>4</v>
      </c>
      <c r="E2" t="s">
        <v>15</v>
      </c>
      <c r="F2" s="10">
        <f>ROUNDUP(0.01*B2*A2,0)</f>
        <v>44</v>
      </c>
      <c r="G2" s="14">
        <f>ROUND(C2/100*A2,2)</f>
        <v>390.29</v>
      </c>
      <c r="H2" s="7">
        <f>ROUND(4666/D2:D501,2)</f>
        <v>1166.5</v>
      </c>
      <c r="I2" s="10">
        <f>G2+A2+F2</f>
        <v>1879.79</v>
      </c>
      <c r="J2">
        <f>IF(H2&gt;I2,1,0)</f>
        <v>0</v>
      </c>
      <c r="K2">
        <f>IF(J2=1,H2-I2,0)</f>
        <v>0</v>
      </c>
      <c r="L2" s="19" t="s">
        <v>16</v>
      </c>
      <c r="M2" s="15">
        <v>196752.44999999998</v>
      </c>
      <c r="N2" s="15">
        <v>436.0310810810812</v>
      </c>
      <c r="O2" s="18">
        <v>19</v>
      </c>
    </row>
    <row r="3" spans="1:15" x14ac:dyDescent="0.3">
      <c r="A3" s="7">
        <v>2690</v>
      </c>
      <c r="B3">
        <v>1</v>
      </c>
      <c r="C3">
        <v>5</v>
      </c>
      <c r="D3">
        <v>2</v>
      </c>
      <c r="E3" t="s">
        <v>16</v>
      </c>
      <c r="F3" s="10">
        <f t="shared" ref="F3:F66" si="0">ROUNDUP(0.01*B3*A3,0)</f>
        <v>27</v>
      </c>
      <c r="G3" s="14">
        <f t="shared" ref="G3:G66" si="1">ROUND(C3/100*A3,2)</f>
        <v>134.5</v>
      </c>
      <c r="H3" s="7">
        <f t="shared" ref="H3:H66" si="2">ROUND(4666/D3:D502,2)</f>
        <v>2333</v>
      </c>
      <c r="I3" s="10">
        <f t="shared" ref="I3:I66" si="3">G3+A3+F3</f>
        <v>2851.5</v>
      </c>
      <c r="J3">
        <f t="shared" ref="J3:J66" si="4">IF(H3&gt;I3,1,0)</f>
        <v>0</v>
      </c>
      <c r="K3">
        <f t="shared" ref="K3:K66" si="5">IF(J3=1,H3-I3,0)</f>
        <v>0</v>
      </c>
      <c r="L3" s="19" t="s">
        <v>15</v>
      </c>
      <c r="M3" s="15">
        <v>224827.88000000006</v>
      </c>
      <c r="N3" s="15">
        <v>568.8429729729728</v>
      </c>
      <c r="O3" s="18">
        <v>15</v>
      </c>
    </row>
    <row r="4" spans="1:15" x14ac:dyDescent="0.3">
      <c r="A4" s="7">
        <v>3300</v>
      </c>
      <c r="B4">
        <v>19</v>
      </c>
      <c r="C4">
        <v>30</v>
      </c>
      <c r="D4">
        <v>1</v>
      </c>
      <c r="E4" t="s">
        <v>15</v>
      </c>
      <c r="F4" s="10">
        <f t="shared" si="0"/>
        <v>627</v>
      </c>
      <c r="G4" s="14">
        <f t="shared" si="1"/>
        <v>990</v>
      </c>
      <c r="H4" s="7">
        <f t="shared" si="2"/>
        <v>4666</v>
      </c>
      <c r="I4" s="10">
        <f t="shared" si="3"/>
        <v>4917</v>
      </c>
      <c r="J4">
        <f t="shared" si="4"/>
        <v>0</v>
      </c>
      <c r="K4">
        <f t="shared" si="5"/>
        <v>0</v>
      </c>
      <c r="L4" s="19" t="s">
        <v>18</v>
      </c>
      <c r="M4" s="15">
        <v>216090.84999999998</v>
      </c>
      <c r="N4" s="15">
        <v>522.35153846153855</v>
      </c>
      <c r="O4" s="18">
        <v>12</v>
      </c>
    </row>
    <row r="5" spans="1:15" x14ac:dyDescent="0.3">
      <c r="A5" s="7">
        <v>3900</v>
      </c>
      <c r="B5">
        <v>1</v>
      </c>
      <c r="C5">
        <v>10</v>
      </c>
      <c r="D5">
        <v>1</v>
      </c>
      <c r="E5" t="s">
        <v>16</v>
      </c>
      <c r="F5" s="10">
        <f t="shared" si="0"/>
        <v>39</v>
      </c>
      <c r="G5" s="14">
        <f t="shared" si="1"/>
        <v>390</v>
      </c>
      <c r="H5" s="7">
        <f t="shared" si="2"/>
        <v>4666</v>
      </c>
      <c r="I5" s="10">
        <f t="shared" si="3"/>
        <v>4329</v>
      </c>
      <c r="J5">
        <f t="shared" si="4"/>
        <v>1</v>
      </c>
      <c r="K5">
        <f t="shared" si="5"/>
        <v>337</v>
      </c>
      <c r="L5" s="19" t="s">
        <v>21</v>
      </c>
      <c r="M5" s="15">
        <v>212162.36999999997</v>
      </c>
      <c r="N5" s="15">
        <v>678.1557812499999</v>
      </c>
      <c r="O5" s="18">
        <v>17</v>
      </c>
    </row>
    <row r="6" spans="1:15" x14ac:dyDescent="0.3">
      <c r="A6" s="7">
        <v>3560</v>
      </c>
      <c r="B6">
        <v>17</v>
      </c>
      <c r="C6">
        <v>29</v>
      </c>
      <c r="D6">
        <v>1</v>
      </c>
      <c r="E6" t="s">
        <v>17</v>
      </c>
      <c r="F6" s="10">
        <f t="shared" si="0"/>
        <v>606</v>
      </c>
      <c r="G6" s="14">
        <f t="shared" si="1"/>
        <v>1032.4000000000001</v>
      </c>
      <c r="H6" s="7">
        <f t="shared" si="2"/>
        <v>4666</v>
      </c>
      <c r="I6" s="10">
        <f t="shared" si="3"/>
        <v>5198.3999999999996</v>
      </c>
      <c r="J6">
        <f t="shared" si="4"/>
        <v>0</v>
      </c>
      <c r="K6">
        <f t="shared" si="5"/>
        <v>0</v>
      </c>
      <c r="L6" s="19" t="s">
        <v>17</v>
      </c>
      <c r="M6" s="15">
        <v>252190.25</v>
      </c>
      <c r="N6" s="15">
        <v>655.41187500000001</v>
      </c>
      <c r="O6" s="18">
        <v>11</v>
      </c>
    </row>
    <row r="7" spans="1:15" x14ac:dyDescent="0.3">
      <c r="A7" s="7">
        <v>586</v>
      </c>
      <c r="B7">
        <v>10</v>
      </c>
      <c r="C7">
        <v>1</v>
      </c>
      <c r="D7">
        <v>7</v>
      </c>
      <c r="E7" t="s">
        <v>16</v>
      </c>
      <c r="F7" s="10">
        <f t="shared" si="0"/>
        <v>59</v>
      </c>
      <c r="G7" s="14">
        <f t="shared" si="1"/>
        <v>5.86</v>
      </c>
      <c r="H7" s="7">
        <f t="shared" si="2"/>
        <v>666.57</v>
      </c>
      <c r="I7" s="10">
        <f t="shared" si="3"/>
        <v>650.86</v>
      </c>
      <c r="J7">
        <f t="shared" si="4"/>
        <v>1</v>
      </c>
      <c r="K7">
        <f t="shared" si="5"/>
        <v>15.710000000000036</v>
      </c>
      <c r="L7" s="19" t="s">
        <v>19</v>
      </c>
      <c r="M7" s="15">
        <v>246971.54999999993</v>
      </c>
      <c r="N7" s="15">
        <v>813.34621212121237</v>
      </c>
      <c r="O7" s="18">
        <v>9</v>
      </c>
    </row>
    <row r="8" spans="1:15" x14ac:dyDescent="0.3">
      <c r="A8" s="7">
        <v>520</v>
      </c>
      <c r="B8">
        <v>9</v>
      </c>
      <c r="C8">
        <v>40</v>
      </c>
      <c r="D8">
        <v>9</v>
      </c>
      <c r="E8" t="s">
        <v>18</v>
      </c>
      <c r="F8" s="10">
        <f t="shared" si="0"/>
        <v>47</v>
      </c>
      <c r="G8" s="14">
        <f t="shared" si="1"/>
        <v>208</v>
      </c>
      <c r="H8" s="7">
        <f t="shared" si="2"/>
        <v>518.44000000000005</v>
      </c>
      <c r="I8" s="10">
        <f t="shared" si="3"/>
        <v>775</v>
      </c>
      <c r="J8">
        <f t="shared" si="4"/>
        <v>0</v>
      </c>
      <c r="K8">
        <f t="shared" si="5"/>
        <v>0</v>
      </c>
      <c r="L8" s="19" t="s">
        <v>20</v>
      </c>
      <c r="M8" s="15">
        <v>278891.95999999996</v>
      </c>
      <c r="N8" s="15">
        <v>684.03584415584407</v>
      </c>
      <c r="O8" s="18">
        <v>11</v>
      </c>
    </row>
    <row r="9" spans="1:15" x14ac:dyDescent="0.3">
      <c r="A9" s="7">
        <v>3980</v>
      </c>
      <c r="B9">
        <v>3</v>
      </c>
      <c r="C9">
        <v>25</v>
      </c>
      <c r="D9">
        <v>1</v>
      </c>
      <c r="E9" t="s">
        <v>19</v>
      </c>
      <c r="F9" s="10">
        <f t="shared" si="0"/>
        <v>120</v>
      </c>
      <c r="G9" s="14">
        <f t="shared" si="1"/>
        <v>995</v>
      </c>
      <c r="H9" s="7">
        <f t="shared" si="2"/>
        <v>4666</v>
      </c>
      <c r="I9" s="10">
        <f t="shared" si="3"/>
        <v>5095</v>
      </c>
      <c r="J9">
        <f t="shared" si="4"/>
        <v>0</v>
      </c>
      <c r="K9">
        <f t="shared" si="5"/>
        <v>0</v>
      </c>
      <c r="L9" s="3" t="s">
        <v>5</v>
      </c>
      <c r="M9" s="10">
        <v>1627887.3099999998</v>
      </c>
      <c r="N9" s="10">
        <v>621.00011999999947</v>
      </c>
      <c r="O9" s="17">
        <v>94</v>
      </c>
    </row>
    <row r="10" spans="1:15" x14ac:dyDescent="0.3">
      <c r="A10" s="7">
        <v>409.5</v>
      </c>
      <c r="B10">
        <v>0</v>
      </c>
      <c r="C10">
        <v>30</v>
      </c>
      <c r="D10">
        <v>9</v>
      </c>
      <c r="E10" t="s">
        <v>16</v>
      </c>
      <c r="F10" s="10">
        <f t="shared" si="0"/>
        <v>0</v>
      </c>
      <c r="G10" s="14">
        <f t="shared" si="1"/>
        <v>122.85</v>
      </c>
      <c r="H10" s="7">
        <f t="shared" si="2"/>
        <v>518.44000000000005</v>
      </c>
      <c r="I10" s="10">
        <f t="shared" si="3"/>
        <v>532.35</v>
      </c>
      <c r="J10">
        <f t="shared" si="4"/>
        <v>0</v>
      </c>
      <c r="K10">
        <f t="shared" si="5"/>
        <v>0</v>
      </c>
      <c r="M10"/>
      <c r="N10"/>
      <c r="O10"/>
    </row>
    <row r="11" spans="1:15" x14ac:dyDescent="0.3">
      <c r="A11" s="7">
        <v>1475</v>
      </c>
      <c r="B11">
        <v>5</v>
      </c>
      <c r="C11">
        <v>15</v>
      </c>
      <c r="D11">
        <v>4</v>
      </c>
      <c r="E11" t="s">
        <v>20</v>
      </c>
      <c r="F11" s="10">
        <f t="shared" si="0"/>
        <v>74</v>
      </c>
      <c r="G11" s="14">
        <f t="shared" si="1"/>
        <v>221.25</v>
      </c>
      <c r="H11" s="7">
        <f t="shared" si="2"/>
        <v>1166.5</v>
      </c>
      <c r="I11" s="10">
        <f t="shared" si="3"/>
        <v>1770.25</v>
      </c>
      <c r="J11">
        <f t="shared" si="4"/>
        <v>0</v>
      </c>
      <c r="K11">
        <f t="shared" si="5"/>
        <v>0</v>
      </c>
      <c r="M11"/>
      <c r="N11"/>
      <c r="O11"/>
    </row>
    <row r="12" spans="1:15" x14ac:dyDescent="0.3">
      <c r="A12" s="7">
        <v>906</v>
      </c>
      <c r="B12">
        <v>14</v>
      </c>
      <c r="C12">
        <v>5</v>
      </c>
      <c r="D12">
        <v>5</v>
      </c>
      <c r="E12" t="s">
        <v>17</v>
      </c>
      <c r="F12" s="10">
        <f t="shared" si="0"/>
        <v>127</v>
      </c>
      <c r="G12" s="14">
        <f t="shared" si="1"/>
        <v>45.3</v>
      </c>
      <c r="H12" s="7">
        <f t="shared" si="2"/>
        <v>933.2</v>
      </c>
      <c r="I12" s="10">
        <f t="shared" si="3"/>
        <v>1078.3</v>
      </c>
      <c r="J12">
        <f t="shared" si="4"/>
        <v>0</v>
      </c>
      <c r="K12">
        <f t="shared" si="5"/>
        <v>0</v>
      </c>
      <c r="M12"/>
      <c r="N12"/>
      <c r="O12"/>
    </row>
    <row r="13" spans="1:15" x14ac:dyDescent="0.3">
      <c r="A13" s="7">
        <v>2825</v>
      </c>
      <c r="B13">
        <v>12</v>
      </c>
      <c r="C13">
        <v>15</v>
      </c>
      <c r="D13">
        <v>2</v>
      </c>
      <c r="E13" t="s">
        <v>20</v>
      </c>
      <c r="F13" s="10">
        <f t="shared" si="0"/>
        <v>339</v>
      </c>
      <c r="G13" s="14">
        <f t="shared" si="1"/>
        <v>423.75</v>
      </c>
      <c r="H13" s="7">
        <f t="shared" si="2"/>
        <v>2333</v>
      </c>
      <c r="I13" s="10">
        <f t="shared" si="3"/>
        <v>3587.75</v>
      </c>
      <c r="J13">
        <f t="shared" si="4"/>
        <v>0</v>
      </c>
      <c r="K13">
        <f t="shared" si="5"/>
        <v>0</v>
      </c>
      <c r="M13"/>
      <c r="N13"/>
      <c r="O13"/>
    </row>
    <row r="14" spans="1:15" x14ac:dyDescent="0.3">
      <c r="A14" s="7">
        <v>5810</v>
      </c>
      <c r="B14">
        <v>2</v>
      </c>
      <c r="C14">
        <v>5</v>
      </c>
      <c r="D14">
        <v>1</v>
      </c>
      <c r="E14" t="s">
        <v>18</v>
      </c>
      <c r="F14" s="10">
        <f t="shared" si="0"/>
        <v>117</v>
      </c>
      <c r="G14" s="14">
        <f t="shared" si="1"/>
        <v>290.5</v>
      </c>
      <c r="H14" s="7">
        <f t="shared" si="2"/>
        <v>4666</v>
      </c>
      <c r="I14" s="10">
        <f t="shared" si="3"/>
        <v>6217.5</v>
      </c>
      <c r="J14">
        <f t="shared" si="4"/>
        <v>0</v>
      </c>
      <c r="K14">
        <f t="shared" si="5"/>
        <v>0</v>
      </c>
      <c r="M14"/>
      <c r="N14"/>
      <c r="O14"/>
    </row>
    <row r="15" spans="1:15" x14ac:dyDescent="0.3">
      <c r="A15" s="7">
        <v>889.7</v>
      </c>
      <c r="B15">
        <v>3</v>
      </c>
      <c r="C15">
        <v>45</v>
      </c>
      <c r="D15">
        <v>7</v>
      </c>
      <c r="E15" t="s">
        <v>17</v>
      </c>
      <c r="F15" s="10">
        <f t="shared" si="0"/>
        <v>27</v>
      </c>
      <c r="G15" s="14">
        <f t="shared" si="1"/>
        <v>400.37</v>
      </c>
      <c r="H15" s="7">
        <f t="shared" si="2"/>
        <v>666.57</v>
      </c>
      <c r="I15" s="10">
        <f t="shared" si="3"/>
        <v>1317.0700000000002</v>
      </c>
      <c r="J15">
        <f t="shared" si="4"/>
        <v>0</v>
      </c>
      <c r="K15">
        <f t="shared" si="5"/>
        <v>0</v>
      </c>
      <c r="M15"/>
      <c r="N15"/>
      <c r="O15"/>
    </row>
    <row r="16" spans="1:15" x14ac:dyDescent="0.3">
      <c r="A16" s="7">
        <v>5410</v>
      </c>
      <c r="B16">
        <v>7</v>
      </c>
      <c r="C16">
        <v>50</v>
      </c>
      <c r="D16">
        <v>1</v>
      </c>
      <c r="E16" t="s">
        <v>15</v>
      </c>
      <c r="F16" s="10">
        <f t="shared" si="0"/>
        <v>379</v>
      </c>
      <c r="G16" s="14">
        <f t="shared" si="1"/>
        <v>2705</v>
      </c>
      <c r="H16" s="7">
        <f t="shared" si="2"/>
        <v>4666</v>
      </c>
      <c r="I16" s="10">
        <f t="shared" si="3"/>
        <v>8494</v>
      </c>
      <c r="J16">
        <f t="shared" si="4"/>
        <v>0</v>
      </c>
      <c r="K16">
        <f t="shared" si="5"/>
        <v>0</v>
      </c>
      <c r="M16"/>
      <c r="N16"/>
      <c r="O16"/>
    </row>
    <row r="17" spans="1:15" x14ac:dyDescent="0.3">
      <c r="A17" s="7">
        <v>533</v>
      </c>
      <c r="B17">
        <v>6</v>
      </c>
      <c r="C17">
        <v>5</v>
      </c>
      <c r="D17">
        <v>8</v>
      </c>
      <c r="E17" t="s">
        <v>17</v>
      </c>
      <c r="F17" s="10">
        <f t="shared" si="0"/>
        <v>32</v>
      </c>
      <c r="G17" s="14">
        <f t="shared" si="1"/>
        <v>26.65</v>
      </c>
      <c r="H17" s="7">
        <f t="shared" si="2"/>
        <v>583.25</v>
      </c>
      <c r="I17" s="10">
        <f t="shared" si="3"/>
        <v>591.65</v>
      </c>
      <c r="J17">
        <f t="shared" si="4"/>
        <v>0</v>
      </c>
      <c r="K17">
        <f t="shared" si="5"/>
        <v>0</v>
      </c>
      <c r="M17"/>
      <c r="N17"/>
      <c r="O17"/>
    </row>
    <row r="18" spans="1:15" x14ac:dyDescent="0.3">
      <c r="A18" s="7">
        <v>502</v>
      </c>
      <c r="B18">
        <v>1</v>
      </c>
      <c r="C18">
        <v>35</v>
      </c>
      <c r="D18">
        <v>6</v>
      </c>
      <c r="E18" t="s">
        <v>16</v>
      </c>
      <c r="F18" s="10">
        <f t="shared" si="0"/>
        <v>6</v>
      </c>
      <c r="G18" s="14">
        <f t="shared" si="1"/>
        <v>175.7</v>
      </c>
      <c r="H18" s="7">
        <f t="shared" si="2"/>
        <v>777.67</v>
      </c>
      <c r="I18" s="10">
        <f t="shared" si="3"/>
        <v>683.7</v>
      </c>
      <c r="J18">
        <f t="shared" si="4"/>
        <v>1</v>
      </c>
      <c r="K18">
        <f t="shared" si="5"/>
        <v>93.969999999999914</v>
      </c>
      <c r="M18"/>
      <c r="N18"/>
      <c r="O18"/>
    </row>
    <row r="19" spans="1:15" x14ac:dyDescent="0.3">
      <c r="A19" s="7">
        <v>628</v>
      </c>
      <c r="B19">
        <v>15</v>
      </c>
      <c r="C19">
        <v>15</v>
      </c>
      <c r="D19">
        <v>8</v>
      </c>
      <c r="E19" t="s">
        <v>17</v>
      </c>
      <c r="F19" s="10">
        <f t="shared" si="0"/>
        <v>95</v>
      </c>
      <c r="G19" s="14">
        <f t="shared" si="1"/>
        <v>94.2</v>
      </c>
      <c r="H19" s="7">
        <f t="shared" si="2"/>
        <v>583.25</v>
      </c>
      <c r="I19" s="10">
        <f t="shared" si="3"/>
        <v>817.2</v>
      </c>
      <c r="J19">
        <f t="shared" si="4"/>
        <v>0</v>
      </c>
      <c r="K19">
        <f t="shared" si="5"/>
        <v>0</v>
      </c>
      <c r="M19"/>
      <c r="N19"/>
      <c r="O19"/>
    </row>
    <row r="20" spans="1:15" x14ac:dyDescent="0.3">
      <c r="A20" s="7">
        <v>5640</v>
      </c>
      <c r="B20">
        <v>12</v>
      </c>
      <c r="C20">
        <v>40</v>
      </c>
      <c r="D20">
        <v>1</v>
      </c>
      <c r="E20" t="s">
        <v>16</v>
      </c>
      <c r="F20" s="10">
        <f t="shared" si="0"/>
        <v>677</v>
      </c>
      <c r="G20" s="14">
        <f t="shared" si="1"/>
        <v>2256</v>
      </c>
      <c r="H20" s="7">
        <f t="shared" si="2"/>
        <v>4666</v>
      </c>
      <c r="I20" s="10">
        <f t="shared" si="3"/>
        <v>8573</v>
      </c>
      <c r="J20">
        <f t="shared" si="4"/>
        <v>0</v>
      </c>
      <c r="K20">
        <f t="shared" si="5"/>
        <v>0</v>
      </c>
      <c r="M20"/>
      <c r="N20"/>
      <c r="O20"/>
    </row>
    <row r="21" spans="1:15" x14ac:dyDescent="0.3">
      <c r="A21" s="7">
        <v>4470</v>
      </c>
      <c r="B21">
        <v>3</v>
      </c>
      <c r="C21">
        <v>40</v>
      </c>
      <c r="D21">
        <v>1</v>
      </c>
      <c r="E21" t="s">
        <v>21</v>
      </c>
      <c r="F21" s="10">
        <f t="shared" si="0"/>
        <v>135</v>
      </c>
      <c r="G21" s="14">
        <f t="shared" si="1"/>
        <v>1788</v>
      </c>
      <c r="H21" s="7">
        <f t="shared" si="2"/>
        <v>4666</v>
      </c>
      <c r="I21" s="10">
        <f t="shared" si="3"/>
        <v>6393</v>
      </c>
      <c r="J21">
        <f t="shared" si="4"/>
        <v>0</v>
      </c>
      <c r="K21">
        <f t="shared" si="5"/>
        <v>0</v>
      </c>
      <c r="M21"/>
      <c r="N21"/>
      <c r="O21"/>
    </row>
    <row r="22" spans="1:15" x14ac:dyDescent="0.3">
      <c r="A22" s="7">
        <v>7000</v>
      </c>
      <c r="B22">
        <v>3</v>
      </c>
      <c r="C22">
        <v>40</v>
      </c>
      <c r="D22">
        <v>1</v>
      </c>
      <c r="E22" t="s">
        <v>19</v>
      </c>
      <c r="F22" s="10">
        <f t="shared" si="0"/>
        <v>210</v>
      </c>
      <c r="G22" s="14">
        <f t="shared" si="1"/>
        <v>2800</v>
      </c>
      <c r="H22" s="7">
        <f t="shared" si="2"/>
        <v>4666</v>
      </c>
      <c r="I22" s="10">
        <f t="shared" si="3"/>
        <v>10010</v>
      </c>
      <c r="J22">
        <f t="shared" si="4"/>
        <v>0</v>
      </c>
      <c r="K22">
        <f t="shared" si="5"/>
        <v>0</v>
      </c>
      <c r="M22"/>
      <c r="N22"/>
      <c r="O22"/>
    </row>
    <row r="23" spans="1:15" x14ac:dyDescent="0.3">
      <c r="A23" s="7">
        <v>1020</v>
      </c>
      <c r="B23">
        <v>15</v>
      </c>
      <c r="C23">
        <v>10</v>
      </c>
      <c r="D23">
        <v>5</v>
      </c>
      <c r="E23" t="s">
        <v>21</v>
      </c>
      <c r="F23" s="10">
        <f t="shared" si="0"/>
        <v>153</v>
      </c>
      <c r="G23" s="14">
        <f t="shared" si="1"/>
        <v>102</v>
      </c>
      <c r="H23" s="7">
        <f t="shared" si="2"/>
        <v>933.2</v>
      </c>
      <c r="I23" s="10">
        <f t="shared" si="3"/>
        <v>1275</v>
      </c>
      <c r="J23">
        <f t="shared" si="4"/>
        <v>0</v>
      </c>
      <c r="K23">
        <f t="shared" si="5"/>
        <v>0</v>
      </c>
      <c r="M23"/>
      <c r="N23"/>
      <c r="O23"/>
    </row>
    <row r="24" spans="1:15" x14ac:dyDescent="0.3">
      <c r="A24" s="7">
        <v>534.5</v>
      </c>
      <c r="B24">
        <v>15</v>
      </c>
      <c r="C24">
        <v>35</v>
      </c>
      <c r="D24">
        <v>8</v>
      </c>
      <c r="E24" t="s">
        <v>17</v>
      </c>
      <c r="F24" s="10">
        <f t="shared" si="0"/>
        <v>81</v>
      </c>
      <c r="G24" s="14">
        <f t="shared" si="1"/>
        <v>187.08</v>
      </c>
      <c r="H24" s="7">
        <f t="shared" si="2"/>
        <v>583.25</v>
      </c>
      <c r="I24" s="10">
        <f t="shared" si="3"/>
        <v>802.58</v>
      </c>
      <c r="J24">
        <f t="shared" si="4"/>
        <v>0</v>
      </c>
      <c r="K24">
        <f t="shared" si="5"/>
        <v>0</v>
      </c>
      <c r="M24"/>
      <c r="N24"/>
      <c r="O24"/>
    </row>
    <row r="25" spans="1:15" x14ac:dyDescent="0.3">
      <c r="A25" s="7">
        <v>2113</v>
      </c>
      <c r="B25">
        <v>4</v>
      </c>
      <c r="C25">
        <v>20</v>
      </c>
      <c r="D25">
        <v>3</v>
      </c>
      <c r="E25" t="s">
        <v>15</v>
      </c>
      <c r="F25" s="10">
        <f t="shared" si="0"/>
        <v>85</v>
      </c>
      <c r="G25" s="14">
        <f t="shared" si="1"/>
        <v>422.6</v>
      </c>
      <c r="H25" s="7">
        <f t="shared" si="2"/>
        <v>1555.33</v>
      </c>
      <c r="I25" s="10">
        <f t="shared" si="3"/>
        <v>2620.6</v>
      </c>
      <c r="J25">
        <f t="shared" si="4"/>
        <v>0</v>
      </c>
      <c r="K25">
        <f t="shared" si="5"/>
        <v>0</v>
      </c>
      <c r="M25"/>
      <c r="N25"/>
      <c r="O25"/>
    </row>
    <row r="26" spans="1:15" x14ac:dyDescent="0.3">
      <c r="A26" s="7">
        <v>623</v>
      </c>
      <c r="B26">
        <v>5</v>
      </c>
      <c r="C26">
        <v>5</v>
      </c>
      <c r="D26">
        <v>7</v>
      </c>
      <c r="E26" t="s">
        <v>21</v>
      </c>
      <c r="F26" s="10">
        <f t="shared" si="0"/>
        <v>32</v>
      </c>
      <c r="G26" s="14">
        <f t="shared" si="1"/>
        <v>31.15</v>
      </c>
      <c r="H26" s="7">
        <f t="shared" si="2"/>
        <v>666.57</v>
      </c>
      <c r="I26" s="10">
        <f t="shared" si="3"/>
        <v>686.15</v>
      </c>
      <c r="J26">
        <f t="shared" si="4"/>
        <v>0</v>
      </c>
      <c r="K26">
        <f t="shared" si="5"/>
        <v>0</v>
      </c>
      <c r="M26"/>
      <c r="N26"/>
      <c r="O26"/>
    </row>
    <row r="27" spans="1:15" x14ac:dyDescent="0.3">
      <c r="A27" s="7">
        <v>530</v>
      </c>
      <c r="B27">
        <v>8</v>
      </c>
      <c r="C27">
        <v>5</v>
      </c>
      <c r="D27">
        <v>9</v>
      </c>
      <c r="E27" t="s">
        <v>18</v>
      </c>
      <c r="F27" s="10">
        <f t="shared" si="0"/>
        <v>43</v>
      </c>
      <c r="G27" s="14">
        <f t="shared" si="1"/>
        <v>26.5</v>
      </c>
      <c r="H27" s="7">
        <f t="shared" si="2"/>
        <v>518.44000000000005</v>
      </c>
      <c r="I27" s="10">
        <f t="shared" si="3"/>
        <v>599.5</v>
      </c>
      <c r="J27">
        <f t="shared" si="4"/>
        <v>0</v>
      </c>
      <c r="K27">
        <f t="shared" si="5"/>
        <v>0</v>
      </c>
      <c r="M27"/>
      <c r="N27"/>
      <c r="O27"/>
    </row>
    <row r="28" spans="1:15" x14ac:dyDescent="0.3">
      <c r="A28" s="7">
        <v>406</v>
      </c>
      <c r="B28">
        <v>15</v>
      </c>
      <c r="C28">
        <v>45</v>
      </c>
      <c r="D28">
        <v>9</v>
      </c>
      <c r="E28" t="s">
        <v>21</v>
      </c>
      <c r="F28" s="10">
        <f t="shared" si="0"/>
        <v>61</v>
      </c>
      <c r="G28" s="14">
        <f t="shared" si="1"/>
        <v>182.7</v>
      </c>
      <c r="H28" s="7">
        <f t="shared" si="2"/>
        <v>518.44000000000005</v>
      </c>
      <c r="I28" s="10">
        <f t="shared" si="3"/>
        <v>649.70000000000005</v>
      </c>
      <c r="J28">
        <f t="shared" si="4"/>
        <v>0</v>
      </c>
      <c r="K28">
        <f t="shared" si="5"/>
        <v>0</v>
      </c>
      <c r="M28"/>
      <c r="N28"/>
      <c r="O28"/>
    </row>
    <row r="29" spans="1:15" x14ac:dyDescent="0.3">
      <c r="A29" s="7">
        <v>1047</v>
      </c>
      <c r="B29">
        <v>12</v>
      </c>
      <c r="C29">
        <v>30</v>
      </c>
      <c r="D29">
        <v>6</v>
      </c>
      <c r="E29" t="s">
        <v>17</v>
      </c>
      <c r="F29" s="10">
        <f t="shared" si="0"/>
        <v>126</v>
      </c>
      <c r="G29" s="14">
        <f t="shared" si="1"/>
        <v>314.10000000000002</v>
      </c>
      <c r="H29" s="7">
        <f t="shared" si="2"/>
        <v>777.67</v>
      </c>
      <c r="I29" s="10">
        <f t="shared" si="3"/>
        <v>1487.1</v>
      </c>
      <c r="J29">
        <f t="shared" si="4"/>
        <v>0</v>
      </c>
      <c r="K29">
        <f t="shared" si="5"/>
        <v>0</v>
      </c>
      <c r="M29"/>
      <c r="N29"/>
      <c r="O29"/>
    </row>
    <row r="30" spans="1:15" x14ac:dyDescent="0.3">
      <c r="A30" s="7">
        <v>4450</v>
      </c>
      <c r="B30">
        <v>8</v>
      </c>
      <c r="C30">
        <v>15</v>
      </c>
      <c r="D30">
        <v>1</v>
      </c>
      <c r="E30" t="s">
        <v>18</v>
      </c>
      <c r="F30" s="10">
        <f t="shared" si="0"/>
        <v>356</v>
      </c>
      <c r="G30" s="14">
        <f t="shared" si="1"/>
        <v>667.5</v>
      </c>
      <c r="H30" s="7">
        <f t="shared" si="2"/>
        <v>4666</v>
      </c>
      <c r="I30" s="10">
        <f t="shared" si="3"/>
        <v>5473.5</v>
      </c>
      <c r="J30">
        <f t="shared" si="4"/>
        <v>0</v>
      </c>
      <c r="K30">
        <f t="shared" si="5"/>
        <v>0</v>
      </c>
      <c r="M30"/>
      <c r="N30"/>
      <c r="O30"/>
    </row>
    <row r="31" spans="1:15" x14ac:dyDescent="0.3">
      <c r="A31" s="7">
        <v>3690</v>
      </c>
      <c r="B31">
        <v>16</v>
      </c>
      <c r="C31">
        <v>5</v>
      </c>
      <c r="D31">
        <v>1</v>
      </c>
      <c r="E31" t="s">
        <v>16</v>
      </c>
      <c r="F31" s="10">
        <f t="shared" si="0"/>
        <v>591</v>
      </c>
      <c r="G31" s="14">
        <f t="shared" si="1"/>
        <v>184.5</v>
      </c>
      <c r="H31" s="7">
        <f t="shared" si="2"/>
        <v>4666</v>
      </c>
      <c r="I31" s="10">
        <f t="shared" si="3"/>
        <v>4465.5</v>
      </c>
      <c r="J31">
        <f t="shared" si="4"/>
        <v>1</v>
      </c>
      <c r="K31">
        <f t="shared" si="5"/>
        <v>200.5</v>
      </c>
      <c r="M31"/>
      <c r="N31"/>
      <c r="O31"/>
    </row>
    <row r="32" spans="1:15" x14ac:dyDescent="0.3">
      <c r="A32" s="7">
        <v>688</v>
      </c>
      <c r="B32">
        <v>19</v>
      </c>
      <c r="C32">
        <v>20</v>
      </c>
      <c r="D32">
        <v>9</v>
      </c>
      <c r="E32" t="s">
        <v>19</v>
      </c>
      <c r="F32" s="10">
        <f t="shared" si="0"/>
        <v>131</v>
      </c>
      <c r="G32" s="14">
        <f t="shared" si="1"/>
        <v>137.6</v>
      </c>
      <c r="H32" s="7">
        <f t="shared" si="2"/>
        <v>518.44000000000005</v>
      </c>
      <c r="I32" s="10">
        <f t="shared" si="3"/>
        <v>956.6</v>
      </c>
      <c r="J32">
        <f t="shared" si="4"/>
        <v>0</v>
      </c>
      <c r="K32">
        <f t="shared" si="5"/>
        <v>0</v>
      </c>
      <c r="M32"/>
      <c r="N32"/>
      <c r="O32"/>
    </row>
    <row r="33" spans="1:15" x14ac:dyDescent="0.3">
      <c r="A33" s="7">
        <v>6870</v>
      </c>
      <c r="B33">
        <v>20</v>
      </c>
      <c r="C33">
        <v>5</v>
      </c>
      <c r="D33">
        <v>1</v>
      </c>
      <c r="E33" t="s">
        <v>20</v>
      </c>
      <c r="F33" s="10">
        <f t="shared" si="0"/>
        <v>1374</v>
      </c>
      <c r="G33" s="14">
        <f t="shared" si="1"/>
        <v>343.5</v>
      </c>
      <c r="H33" s="7">
        <f t="shared" si="2"/>
        <v>4666</v>
      </c>
      <c r="I33" s="10">
        <f t="shared" si="3"/>
        <v>8587.5</v>
      </c>
      <c r="J33">
        <f t="shared" si="4"/>
        <v>0</v>
      </c>
      <c r="K33">
        <f t="shared" si="5"/>
        <v>0</v>
      </c>
      <c r="M33"/>
      <c r="N33"/>
      <c r="O33"/>
    </row>
    <row r="34" spans="1:15" x14ac:dyDescent="0.3">
      <c r="A34" s="7">
        <v>5550</v>
      </c>
      <c r="B34">
        <v>8</v>
      </c>
      <c r="C34">
        <v>40</v>
      </c>
      <c r="D34">
        <v>1</v>
      </c>
      <c r="E34" t="s">
        <v>18</v>
      </c>
      <c r="F34" s="10">
        <f t="shared" si="0"/>
        <v>444</v>
      </c>
      <c r="G34" s="14">
        <f t="shared" si="1"/>
        <v>2220</v>
      </c>
      <c r="H34" s="7">
        <f t="shared" si="2"/>
        <v>4666</v>
      </c>
      <c r="I34" s="10">
        <f t="shared" si="3"/>
        <v>8214</v>
      </c>
      <c r="J34">
        <f t="shared" si="4"/>
        <v>0</v>
      </c>
      <c r="K34">
        <f t="shared" si="5"/>
        <v>0</v>
      </c>
      <c r="M34"/>
      <c r="N34"/>
      <c r="O34"/>
    </row>
    <row r="35" spans="1:15" x14ac:dyDescent="0.3">
      <c r="A35" s="7">
        <v>423</v>
      </c>
      <c r="B35">
        <v>12</v>
      </c>
      <c r="C35">
        <v>25</v>
      </c>
      <c r="D35">
        <v>7</v>
      </c>
      <c r="E35" t="s">
        <v>18</v>
      </c>
      <c r="F35" s="10">
        <f t="shared" si="0"/>
        <v>51</v>
      </c>
      <c r="G35" s="14">
        <f t="shared" si="1"/>
        <v>105.75</v>
      </c>
      <c r="H35" s="7">
        <f t="shared" si="2"/>
        <v>666.57</v>
      </c>
      <c r="I35" s="10">
        <f t="shared" si="3"/>
        <v>579.75</v>
      </c>
      <c r="J35">
        <f t="shared" si="4"/>
        <v>1</v>
      </c>
      <c r="K35">
        <f t="shared" si="5"/>
        <v>86.82000000000005</v>
      </c>
      <c r="M35"/>
      <c r="N35"/>
      <c r="O35"/>
    </row>
    <row r="36" spans="1:15" x14ac:dyDescent="0.3">
      <c r="A36" s="7">
        <v>4160</v>
      </c>
      <c r="B36">
        <v>6</v>
      </c>
      <c r="C36">
        <v>15</v>
      </c>
      <c r="D36">
        <v>1</v>
      </c>
      <c r="E36" t="s">
        <v>17</v>
      </c>
      <c r="F36" s="10">
        <f t="shared" si="0"/>
        <v>250</v>
      </c>
      <c r="G36" s="14">
        <f t="shared" si="1"/>
        <v>624</v>
      </c>
      <c r="H36" s="7">
        <f t="shared" si="2"/>
        <v>4666</v>
      </c>
      <c r="I36" s="10">
        <f t="shared" si="3"/>
        <v>5034</v>
      </c>
      <c r="J36">
        <f t="shared" si="4"/>
        <v>0</v>
      </c>
      <c r="K36">
        <f t="shared" si="5"/>
        <v>0</v>
      </c>
      <c r="M36"/>
      <c r="N36"/>
      <c r="O36"/>
    </row>
    <row r="37" spans="1:15" x14ac:dyDescent="0.3">
      <c r="A37" s="7">
        <v>1090</v>
      </c>
      <c r="B37">
        <v>16</v>
      </c>
      <c r="C37">
        <v>15</v>
      </c>
      <c r="D37">
        <v>3</v>
      </c>
      <c r="E37" t="s">
        <v>17</v>
      </c>
      <c r="F37" s="10">
        <f t="shared" si="0"/>
        <v>175</v>
      </c>
      <c r="G37" s="14">
        <f t="shared" si="1"/>
        <v>163.5</v>
      </c>
      <c r="H37" s="7">
        <f t="shared" si="2"/>
        <v>1555.33</v>
      </c>
      <c r="I37" s="10">
        <f t="shared" si="3"/>
        <v>1428.5</v>
      </c>
      <c r="J37">
        <f t="shared" si="4"/>
        <v>1</v>
      </c>
      <c r="K37">
        <f t="shared" si="5"/>
        <v>126.82999999999993</v>
      </c>
      <c r="M37"/>
      <c r="N37"/>
      <c r="O37"/>
    </row>
    <row r="38" spans="1:15" x14ac:dyDescent="0.3">
      <c r="A38" s="7">
        <v>6460</v>
      </c>
      <c r="B38">
        <v>4</v>
      </c>
      <c r="C38">
        <v>40</v>
      </c>
      <c r="D38">
        <v>1</v>
      </c>
      <c r="E38" t="s">
        <v>15</v>
      </c>
      <c r="F38" s="10">
        <f t="shared" si="0"/>
        <v>259</v>
      </c>
      <c r="G38" s="14">
        <f t="shared" si="1"/>
        <v>2584</v>
      </c>
      <c r="H38" s="7">
        <f t="shared" si="2"/>
        <v>4666</v>
      </c>
      <c r="I38" s="10">
        <f t="shared" si="3"/>
        <v>9303</v>
      </c>
      <c r="J38">
        <f t="shared" si="4"/>
        <v>0</v>
      </c>
      <c r="K38">
        <f t="shared" si="5"/>
        <v>0</v>
      </c>
      <c r="M38"/>
      <c r="N38"/>
      <c r="O38"/>
    </row>
    <row r="39" spans="1:15" x14ac:dyDescent="0.3">
      <c r="A39" s="7">
        <v>332</v>
      </c>
      <c r="B39">
        <v>12</v>
      </c>
      <c r="C39">
        <v>40</v>
      </c>
      <c r="D39">
        <v>9</v>
      </c>
      <c r="E39" t="s">
        <v>19</v>
      </c>
      <c r="F39" s="10">
        <f t="shared" si="0"/>
        <v>40</v>
      </c>
      <c r="G39" s="14">
        <f t="shared" si="1"/>
        <v>132.80000000000001</v>
      </c>
      <c r="H39" s="7">
        <f t="shared" si="2"/>
        <v>518.44000000000005</v>
      </c>
      <c r="I39" s="10">
        <f t="shared" si="3"/>
        <v>504.8</v>
      </c>
      <c r="J39">
        <f t="shared" si="4"/>
        <v>1</v>
      </c>
      <c r="K39">
        <f t="shared" si="5"/>
        <v>13.640000000000043</v>
      </c>
      <c r="M39"/>
      <c r="N39"/>
      <c r="O39"/>
    </row>
    <row r="40" spans="1:15" x14ac:dyDescent="0.3">
      <c r="A40" s="7">
        <v>1950</v>
      </c>
      <c r="B40">
        <v>5</v>
      </c>
      <c r="C40">
        <v>45</v>
      </c>
      <c r="D40">
        <v>3</v>
      </c>
      <c r="E40" t="s">
        <v>18</v>
      </c>
      <c r="F40" s="10">
        <f t="shared" si="0"/>
        <v>98</v>
      </c>
      <c r="G40" s="14">
        <f t="shared" si="1"/>
        <v>877.5</v>
      </c>
      <c r="H40" s="7">
        <f t="shared" si="2"/>
        <v>1555.33</v>
      </c>
      <c r="I40" s="10">
        <f t="shared" si="3"/>
        <v>2925.5</v>
      </c>
      <c r="J40">
        <f t="shared" si="4"/>
        <v>0</v>
      </c>
      <c r="K40">
        <f t="shared" si="5"/>
        <v>0</v>
      </c>
      <c r="M40"/>
      <c r="N40"/>
      <c r="O40"/>
    </row>
    <row r="41" spans="1:15" x14ac:dyDescent="0.3">
      <c r="A41" s="7">
        <v>3880</v>
      </c>
      <c r="B41">
        <v>6</v>
      </c>
      <c r="C41">
        <v>40</v>
      </c>
      <c r="D41">
        <v>1</v>
      </c>
      <c r="E41" t="s">
        <v>20</v>
      </c>
      <c r="F41" s="10">
        <f t="shared" si="0"/>
        <v>233</v>
      </c>
      <c r="G41" s="14">
        <f t="shared" si="1"/>
        <v>1552</v>
      </c>
      <c r="H41" s="7">
        <f t="shared" si="2"/>
        <v>4666</v>
      </c>
      <c r="I41" s="10">
        <f t="shared" si="3"/>
        <v>5665</v>
      </c>
      <c r="J41">
        <f t="shared" si="4"/>
        <v>0</v>
      </c>
      <c r="K41">
        <f t="shared" si="5"/>
        <v>0</v>
      </c>
      <c r="M41"/>
      <c r="N41"/>
      <c r="O41"/>
    </row>
    <row r="42" spans="1:15" x14ac:dyDescent="0.3">
      <c r="A42" s="7">
        <v>1063</v>
      </c>
      <c r="B42">
        <v>4</v>
      </c>
      <c r="C42">
        <v>30</v>
      </c>
      <c r="D42">
        <v>6</v>
      </c>
      <c r="E42" t="s">
        <v>20</v>
      </c>
      <c r="F42" s="10">
        <f t="shared" si="0"/>
        <v>43</v>
      </c>
      <c r="G42" s="14">
        <f t="shared" si="1"/>
        <v>318.89999999999998</v>
      </c>
      <c r="H42" s="7">
        <f t="shared" si="2"/>
        <v>777.67</v>
      </c>
      <c r="I42" s="10">
        <f t="shared" si="3"/>
        <v>1424.9</v>
      </c>
      <c r="J42">
        <f t="shared" si="4"/>
        <v>0</v>
      </c>
      <c r="K42">
        <f t="shared" si="5"/>
        <v>0</v>
      </c>
      <c r="M42"/>
      <c r="N42"/>
      <c r="O42"/>
    </row>
    <row r="43" spans="1:15" x14ac:dyDescent="0.3">
      <c r="A43" s="7">
        <v>3660</v>
      </c>
      <c r="B43">
        <v>12</v>
      </c>
      <c r="C43">
        <v>10</v>
      </c>
      <c r="D43">
        <v>1</v>
      </c>
      <c r="E43" t="s">
        <v>20</v>
      </c>
      <c r="F43" s="10">
        <f t="shared" si="0"/>
        <v>440</v>
      </c>
      <c r="G43" s="14">
        <f t="shared" si="1"/>
        <v>366</v>
      </c>
      <c r="H43" s="7">
        <f t="shared" si="2"/>
        <v>4666</v>
      </c>
      <c r="I43" s="10">
        <f t="shared" si="3"/>
        <v>4466</v>
      </c>
      <c r="J43">
        <f t="shared" si="4"/>
        <v>1</v>
      </c>
      <c r="K43">
        <f t="shared" si="5"/>
        <v>200</v>
      </c>
      <c r="M43"/>
      <c r="N43"/>
      <c r="O43"/>
    </row>
    <row r="44" spans="1:15" x14ac:dyDescent="0.3">
      <c r="A44" s="7">
        <v>2165</v>
      </c>
      <c r="B44">
        <v>11</v>
      </c>
      <c r="C44">
        <v>15</v>
      </c>
      <c r="D44">
        <v>2</v>
      </c>
      <c r="E44" t="s">
        <v>15</v>
      </c>
      <c r="F44" s="10">
        <f t="shared" si="0"/>
        <v>239</v>
      </c>
      <c r="G44" s="14">
        <f t="shared" si="1"/>
        <v>324.75</v>
      </c>
      <c r="H44" s="7">
        <f t="shared" si="2"/>
        <v>2333</v>
      </c>
      <c r="I44" s="10">
        <f t="shared" si="3"/>
        <v>2728.75</v>
      </c>
      <c r="J44">
        <f t="shared" si="4"/>
        <v>0</v>
      </c>
      <c r="K44">
        <f t="shared" si="5"/>
        <v>0</v>
      </c>
      <c r="M44"/>
      <c r="N44"/>
      <c r="O44"/>
    </row>
    <row r="45" spans="1:15" x14ac:dyDescent="0.3">
      <c r="A45" s="7">
        <v>2000</v>
      </c>
      <c r="B45">
        <v>19</v>
      </c>
      <c r="C45">
        <v>0</v>
      </c>
      <c r="D45">
        <v>2</v>
      </c>
      <c r="E45" t="s">
        <v>17</v>
      </c>
      <c r="F45" s="10">
        <f t="shared" si="0"/>
        <v>380</v>
      </c>
      <c r="G45" s="14">
        <f t="shared" si="1"/>
        <v>0</v>
      </c>
      <c r="H45" s="7">
        <f t="shared" si="2"/>
        <v>2333</v>
      </c>
      <c r="I45" s="10">
        <f t="shared" si="3"/>
        <v>2380</v>
      </c>
      <c r="J45">
        <f t="shared" si="4"/>
        <v>0</v>
      </c>
      <c r="K45">
        <f t="shared" si="5"/>
        <v>0</v>
      </c>
      <c r="M45"/>
      <c r="N45"/>
      <c r="O45"/>
    </row>
    <row r="46" spans="1:15" x14ac:dyDescent="0.3">
      <c r="A46" s="7">
        <v>3550</v>
      </c>
      <c r="B46">
        <v>8</v>
      </c>
      <c r="C46">
        <v>10</v>
      </c>
      <c r="D46">
        <v>1</v>
      </c>
      <c r="E46" t="s">
        <v>20</v>
      </c>
      <c r="F46" s="10">
        <f t="shared" si="0"/>
        <v>284</v>
      </c>
      <c r="G46" s="14">
        <f t="shared" si="1"/>
        <v>355</v>
      </c>
      <c r="H46" s="7">
        <f t="shared" si="2"/>
        <v>4666</v>
      </c>
      <c r="I46" s="10">
        <f t="shared" si="3"/>
        <v>4189</v>
      </c>
      <c r="J46">
        <f t="shared" si="4"/>
        <v>1</v>
      </c>
      <c r="K46">
        <f t="shared" si="5"/>
        <v>477</v>
      </c>
      <c r="M46"/>
      <c r="N46"/>
      <c r="O46"/>
    </row>
    <row r="47" spans="1:15" x14ac:dyDescent="0.3">
      <c r="A47" s="7">
        <v>5530</v>
      </c>
      <c r="B47">
        <v>7</v>
      </c>
      <c r="C47">
        <v>35</v>
      </c>
      <c r="D47">
        <v>1</v>
      </c>
      <c r="E47" t="s">
        <v>18</v>
      </c>
      <c r="F47" s="10">
        <f t="shared" si="0"/>
        <v>388</v>
      </c>
      <c r="G47" s="14">
        <f t="shared" si="1"/>
        <v>1935.5</v>
      </c>
      <c r="H47" s="7">
        <f t="shared" si="2"/>
        <v>4666</v>
      </c>
      <c r="I47" s="10">
        <f t="shared" si="3"/>
        <v>7853.5</v>
      </c>
      <c r="J47">
        <f t="shared" si="4"/>
        <v>0</v>
      </c>
      <c r="K47">
        <f t="shared" si="5"/>
        <v>0</v>
      </c>
      <c r="M47"/>
      <c r="N47"/>
      <c r="O47"/>
    </row>
    <row r="48" spans="1:15" x14ac:dyDescent="0.3">
      <c r="A48" s="7">
        <v>1168</v>
      </c>
      <c r="B48">
        <v>5</v>
      </c>
      <c r="C48">
        <v>0</v>
      </c>
      <c r="D48">
        <v>5</v>
      </c>
      <c r="E48" t="s">
        <v>15</v>
      </c>
      <c r="F48" s="10">
        <f t="shared" si="0"/>
        <v>59</v>
      </c>
      <c r="G48" s="14">
        <f t="shared" si="1"/>
        <v>0</v>
      </c>
      <c r="H48" s="7">
        <f t="shared" si="2"/>
        <v>933.2</v>
      </c>
      <c r="I48" s="10">
        <f t="shared" si="3"/>
        <v>1227</v>
      </c>
      <c r="J48">
        <f t="shared" si="4"/>
        <v>0</v>
      </c>
      <c r="K48">
        <f t="shared" si="5"/>
        <v>0</v>
      </c>
      <c r="M48"/>
      <c r="N48"/>
      <c r="O48"/>
    </row>
    <row r="49" spans="1:15" x14ac:dyDescent="0.3">
      <c r="A49" s="7">
        <v>740</v>
      </c>
      <c r="B49">
        <v>0</v>
      </c>
      <c r="C49">
        <v>40</v>
      </c>
      <c r="D49">
        <v>4</v>
      </c>
      <c r="E49" t="s">
        <v>17</v>
      </c>
      <c r="F49" s="10">
        <f t="shared" si="0"/>
        <v>0</v>
      </c>
      <c r="G49" s="14">
        <f t="shared" si="1"/>
        <v>296</v>
      </c>
      <c r="H49" s="7">
        <f t="shared" si="2"/>
        <v>1166.5</v>
      </c>
      <c r="I49" s="10">
        <f t="shared" si="3"/>
        <v>1036</v>
      </c>
      <c r="J49">
        <f t="shared" si="4"/>
        <v>1</v>
      </c>
      <c r="K49">
        <f t="shared" si="5"/>
        <v>130.5</v>
      </c>
      <c r="M49"/>
      <c r="N49"/>
      <c r="O49"/>
    </row>
    <row r="50" spans="1:15" x14ac:dyDescent="0.3">
      <c r="A50" s="7">
        <v>651</v>
      </c>
      <c r="B50">
        <v>7</v>
      </c>
      <c r="C50">
        <v>20</v>
      </c>
      <c r="D50">
        <v>10</v>
      </c>
      <c r="E50" t="s">
        <v>15</v>
      </c>
      <c r="F50" s="10">
        <f t="shared" si="0"/>
        <v>46</v>
      </c>
      <c r="G50" s="14">
        <f t="shared" si="1"/>
        <v>130.19999999999999</v>
      </c>
      <c r="H50" s="7">
        <f t="shared" si="2"/>
        <v>466.6</v>
      </c>
      <c r="I50" s="10">
        <f t="shared" si="3"/>
        <v>827.2</v>
      </c>
      <c r="J50">
        <f t="shared" si="4"/>
        <v>0</v>
      </c>
      <c r="K50">
        <f t="shared" si="5"/>
        <v>0</v>
      </c>
      <c r="M50"/>
      <c r="N50"/>
      <c r="O50"/>
    </row>
    <row r="51" spans="1:15" x14ac:dyDescent="0.3">
      <c r="A51" s="7">
        <v>1055</v>
      </c>
      <c r="B51">
        <v>19</v>
      </c>
      <c r="C51">
        <v>45</v>
      </c>
      <c r="D51">
        <v>4</v>
      </c>
      <c r="E51" t="s">
        <v>20</v>
      </c>
      <c r="F51" s="10">
        <f t="shared" si="0"/>
        <v>201</v>
      </c>
      <c r="G51" s="14">
        <f t="shared" si="1"/>
        <v>474.75</v>
      </c>
      <c r="H51" s="7">
        <f t="shared" si="2"/>
        <v>1166.5</v>
      </c>
      <c r="I51" s="10">
        <f t="shared" si="3"/>
        <v>1730.75</v>
      </c>
      <c r="J51">
        <f t="shared" si="4"/>
        <v>0</v>
      </c>
      <c r="K51">
        <f t="shared" si="5"/>
        <v>0</v>
      </c>
      <c r="M51"/>
      <c r="N51"/>
      <c r="O51"/>
    </row>
    <row r="52" spans="1:15" x14ac:dyDescent="0.3">
      <c r="A52" s="7">
        <v>900</v>
      </c>
      <c r="B52">
        <v>6</v>
      </c>
      <c r="C52">
        <v>20</v>
      </c>
      <c r="D52">
        <v>4</v>
      </c>
      <c r="E52" t="s">
        <v>15</v>
      </c>
      <c r="F52" s="10">
        <f t="shared" si="0"/>
        <v>54</v>
      </c>
      <c r="G52" s="14">
        <f t="shared" si="1"/>
        <v>180</v>
      </c>
      <c r="H52" s="7">
        <f t="shared" si="2"/>
        <v>1166.5</v>
      </c>
      <c r="I52" s="10">
        <f t="shared" si="3"/>
        <v>1134</v>
      </c>
      <c r="J52">
        <f t="shared" si="4"/>
        <v>1</v>
      </c>
      <c r="K52">
        <f t="shared" si="5"/>
        <v>32.5</v>
      </c>
      <c r="M52"/>
      <c r="N52"/>
      <c r="O52"/>
    </row>
    <row r="53" spans="1:15" x14ac:dyDescent="0.3">
      <c r="A53" s="7">
        <v>2177</v>
      </c>
      <c r="B53">
        <v>6</v>
      </c>
      <c r="C53">
        <v>25</v>
      </c>
      <c r="D53">
        <v>3</v>
      </c>
      <c r="E53" t="s">
        <v>21</v>
      </c>
      <c r="F53" s="10">
        <f t="shared" si="0"/>
        <v>131</v>
      </c>
      <c r="G53" s="14">
        <f t="shared" si="1"/>
        <v>544.25</v>
      </c>
      <c r="H53" s="7">
        <f t="shared" si="2"/>
        <v>1555.33</v>
      </c>
      <c r="I53" s="10">
        <f t="shared" si="3"/>
        <v>2852.25</v>
      </c>
      <c r="J53">
        <f t="shared" si="4"/>
        <v>0</v>
      </c>
      <c r="K53">
        <f t="shared" si="5"/>
        <v>0</v>
      </c>
      <c r="M53"/>
      <c r="N53"/>
      <c r="O53"/>
    </row>
    <row r="54" spans="1:15" x14ac:dyDescent="0.3">
      <c r="A54" s="7">
        <v>450</v>
      </c>
      <c r="B54">
        <v>20</v>
      </c>
      <c r="C54">
        <v>30</v>
      </c>
      <c r="D54">
        <v>10</v>
      </c>
      <c r="E54" t="s">
        <v>16</v>
      </c>
      <c r="F54" s="10">
        <f t="shared" si="0"/>
        <v>90</v>
      </c>
      <c r="G54" s="14">
        <f t="shared" si="1"/>
        <v>135</v>
      </c>
      <c r="H54" s="7">
        <f t="shared" si="2"/>
        <v>466.6</v>
      </c>
      <c r="I54" s="10">
        <f t="shared" si="3"/>
        <v>675</v>
      </c>
      <c r="J54">
        <f t="shared" si="4"/>
        <v>0</v>
      </c>
      <c r="K54">
        <f t="shared" si="5"/>
        <v>0</v>
      </c>
      <c r="M54"/>
      <c r="N54"/>
      <c r="O54"/>
    </row>
    <row r="55" spans="1:15" x14ac:dyDescent="0.3">
      <c r="A55" s="7">
        <v>689</v>
      </c>
      <c r="B55">
        <v>7</v>
      </c>
      <c r="C55">
        <v>10</v>
      </c>
      <c r="D55">
        <v>9</v>
      </c>
      <c r="E55" t="s">
        <v>18</v>
      </c>
      <c r="F55" s="10">
        <f t="shared" si="0"/>
        <v>49</v>
      </c>
      <c r="G55" s="14">
        <f t="shared" si="1"/>
        <v>68.900000000000006</v>
      </c>
      <c r="H55" s="7">
        <f t="shared" si="2"/>
        <v>518.44000000000005</v>
      </c>
      <c r="I55" s="10">
        <f t="shared" si="3"/>
        <v>806.9</v>
      </c>
      <c r="J55">
        <f t="shared" si="4"/>
        <v>0</v>
      </c>
      <c r="K55">
        <f t="shared" si="5"/>
        <v>0</v>
      </c>
      <c r="M55"/>
      <c r="N55"/>
      <c r="O55"/>
    </row>
    <row r="56" spans="1:15" x14ac:dyDescent="0.3">
      <c r="A56" s="7">
        <v>478</v>
      </c>
      <c r="B56">
        <v>9</v>
      </c>
      <c r="C56">
        <v>10</v>
      </c>
      <c r="D56">
        <v>8</v>
      </c>
      <c r="E56" t="s">
        <v>16</v>
      </c>
      <c r="F56" s="10">
        <f t="shared" si="0"/>
        <v>44</v>
      </c>
      <c r="G56" s="14">
        <f t="shared" si="1"/>
        <v>47.8</v>
      </c>
      <c r="H56" s="7">
        <f t="shared" si="2"/>
        <v>583.25</v>
      </c>
      <c r="I56" s="10">
        <f t="shared" si="3"/>
        <v>569.79999999999995</v>
      </c>
      <c r="J56">
        <f t="shared" si="4"/>
        <v>1</v>
      </c>
      <c r="K56">
        <f t="shared" si="5"/>
        <v>13.450000000000045</v>
      </c>
      <c r="M56"/>
      <c r="N56"/>
      <c r="O56"/>
    </row>
    <row r="57" spans="1:15" x14ac:dyDescent="0.3">
      <c r="A57" s="7">
        <v>788</v>
      </c>
      <c r="B57">
        <v>9</v>
      </c>
      <c r="C57">
        <v>10</v>
      </c>
      <c r="D57">
        <v>5</v>
      </c>
      <c r="E57" t="s">
        <v>16</v>
      </c>
      <c r="F57" s="10">
        <f t="shared" si="0"/>
        <v>71</v>
      </c>
      <c r="G57" s="14">
        <f t="shared" si="1"/>
        <v>78.8</v>
      </c>
      <c r="H57" s="7">
        <f t="shared" si="2"/>
        <v>933.2</v>
      </c>
      <c r="I57" s="10">
        <f t="shared" si="3"/>
        <v>937.8</v>
      </c>
      <c r="J57">
        <f t="shared" si="4"/>
        <v>0</v>
      </c>
      <c r="K57">
        <f t="shared" si="5"/>
        <v>0</v>
      </c>
      <c r="M57"/>
      <c r="N57"/>
      <c r="O57"/>
    </row>
    <row r="58" spans="1:15" x14ac:dyDescent="0.3">
      <c r="A58" s="7">
        <v>500</v>
      </c>
      <c r="B58">
        <v>7</v>
      </c>
      <c r="C58">
        <v>25</v>
      </c>
      <c r="D58">
        <v>9</v>
      </c>
      <c r="E58" t="s">
        <v>17</v>
      </c>
      <c r="F58" s="10">
        <f t="shared" si="0"/>
        <v>35</v>
      </c>
      <c r="G58" s="14">
        <f t="shared" si="1"/>
        <v>125</v>
      </c>
      <c r="H58" s="7">
        <f t="shared" si="2"/>
        <v>518.44000000000005</v>
      </c>
      <c r="I58" s="10">
        <f t="shared" si="3"/>
        <v>660</v>
      </c>
      <c r="J58">
        <f t="shared" si="4"/>
        <v>0</v>
      </c>
      <c r="K58">
        <f t="shared" si="5"/>
        <v>0</v>
      </c>
      <c r="M58"/>
      <c r="N58"/>
      <c r="O58"/>
    </row>
    <row r="59" spans="1:15" x14ac:dyDescent="0.3">
      <c r="A59" s="7">
        <v>1347</v>
      </c>
      <c r="B59">
        <v>20</v>
      </c>
      <c r="C59">
        <v>45</v>
      </c>
      <c r="D59">
        <v>3</v>
      </c>
      <c r="E59" t="s">
        <v>16</v>
      </c>
      <c r="F59" s="10">
        <f t="shared" si="0"/>
        <v>270</v>
      </c>
      <c r="G59" s="14">
        <f t="shared" si="1"/>
        <v>606.15</v>
      </c>
      <c r="H59" s="7">
        <f t="shared" si="2"/>
        <v>1555.33</v>
      </c>
      <c r="I59" s="10">
        <f t="shared" si="3"/>
        <v>2223.15</v>
      </c>
      <c r="J59">
        <f t="shared" si="4"/>
        <v>0</v>
      </c>
      <c r="K59">
        <f t="shared" si="5"/>
        <v>0</v>
      </c>
      <c r="M59"/>
      <c r="N59"/>
      <c r="O59"/>
    </row>
    <row r="60" spans="1:15" x14ac:dyDescent="0.3">
      <c r="A60" s="7">
        <v>4460</v>
      </c>
      <c r="B60">
        <v>18</v>
      </c>
      <c r="C60">
        <v>35</v>
      </c>
      <c r="D60">
        <v>1</v>
      </c>
      <c r="E60" t="s">
        <v>18</v>
      </c>
      <c r="F60" s="10">
        <f t="shared" si="0"/>
        <v>803</v>
      </c>
      <c r="G60" s="14">
        <f t="shared" si="1"/>
        <v>1561</v>
      </c>
      <c r="H60" s="7">
        <f t="shared" si="2"/>
        <v>4666</v>
      </c>
      <c r="I60" s="10">
        <f t="shared" si="3"/>
        <v>6824</v>
      </c>
      <c r="J60">
        <f t="shared" si="4"/>
        <v>0</v>
      </c>
      <c r="K60">
        <f t="shared" si="5"/>
        <v>0</v>
      </c>
      <c r="M60"/>
      <c r="N60"/>
      <c r="O60"/>
    </row>
    <row r="61" spans="1:15" x14ac:dyDescent="0.3">
      <c r="A61" s="7">
        <v>796.5</v>
      </c>
      <c r="B61">
        <v>9</v>
      </c>
      <c r="C61">
        <v>7</v>
      </c>
      <c r="D61">
        <v>7</v>
      </c>
      <c r="E61" t="s">
        <v>15</v>
      </c>
      <c r="F61" s="10">
        <f t="shared" si="0"/>
        <v>72</v>
      </c>
      <c r="G61" s="14">
        <f t="shared" si="1"/>
        <v>55.76</v>
      </c>
      <c r="H61" s="7">
        <f t="shared" si="2"/>
        <v>666.57</v>
      </c>
      <c r="I61" s="10">
        <f t="shared" si="3"/>
        <v>924.26</v>
      </c>
      <c r="J61">
        <f t="shared" si="4"/>
        <v>0</v>
      </c>
      <c r="K61">
        <f t="shared" si="5"/>
        <v>0</v>
      </c>
      <c r="M61"/>
      <c r="N61"/>
      <c r="O61"/>
    </row>
    <row r="62" spans="1:15" x14ac:dyDescent="0.3">
      <c r="A62" s="7">
        <v>4210</v>
      </c>
      <c r="B62">
        <v>19</v>
      </c>
      <c r="C62">
        <v>20</v>
      </c>
      <c r="D62">
        <v>1</v>
      </c>
      <c r="E62" t="s">
        <v>15</v>
      </c>
      <c r="F62" s="10">
        <f t="shared" si="0"/>
        <v>800</v>
      </c>
      <c r="G62" s="14">
        <f t="shared" si="1"/>
        <v>842</v>
      </c>
      <c r="H62" s="7">
        <f t="shared" si="2"/>
        <v>4666</v>
      </c>
      <c r="I62" s="10">
        <f t="shared" si="3"/>
        <v>5852</v>
      </c>
      <c r="J62">
        <f t="shared" si="4"/>
        <v>0</v>
      </c>
      <c r="K62">
        <f t="shared" si="5"/>
        <v>0</v>
      </c>
      <c r="M62"/>
      <c r="N62"/>
      <c r="O62"/>
    </row>
    <row r="63" spans="1:15" x14ac:dyDescent="0.3">
      <c r="A63" s="7">
        <v>460</v>
      </c>
      <c r="B63">
        <v>11</v>
      </c>
      <c r="C63">
        <v>40</v>
      </c>
      <c r="D63">
        <v>7</v>
      </c>
      <c r="E63" t="s">
        <v>20</v>
      </c>
      <c r="F63" s="10">
        <f t="shared" si="0"/>
        <v>51</v>
      </c>
      <c r="G63" s="14">
        <f t="shared" si="1"/>
        <v>184</v>
      </c>
      <c r="H63" s="7">
        <f t="shared" si="2"/>
        <v>666.57</v>
      </c>
      <c r="I63" s="10">
        <f t="shared" si="3"/>
        <v>695</v>
      </c>
      <c r="J63">
        <f t="shared" si="4"/>
        <v>0</v>
      </c>
      <c r="K63">
        <f t="shared" si="5"/>
        <v>0</v>
      </c>
      <c r="M63"/>
      <c r="N63"/>
      <c r="O63"/>
    </row>
    <row r="64" spans="1:15" x14ac:dyDescent="0.3">
      <c r="A64" s="7">
        <v>1548</v>
      </c>
      <c r="B64">
        <v>17</v>
      </c>
      <c r="C64">
        <v>50</v>
      </c>
      <c r="D64">
        <v>4</v>
      </c>
      <c r="E64" t="s">
        <v>17</v>
      </c>
      <c r="F64" s="10">
        <f t="shared" si="0"/>
        <v>264</v>
      </c>
      <c r="G64" s="14">
        <f t="shared" si="1"/>
        <v>774</v>
      </c>
      <c r="H64" s="7">
        <f t="shared" si="2"/>
        <v>1166.5</v>
      </c>
      <c r="I64" s="10">
        <f t="shared" si="3"/>
        <v>2586</v>
      </c>
      <c r="J64">
        <f t="shared" si="4"/>
        <v>0</v>
      </c>
      <c r="K64">
        <f t="shared" si="5"/>
        <v>0</v>
      </c>
      <c r="M64"/>
      <c r="N64"/>
      <c r="O64"/>
    </row>
    <row r="65" spans="1:15" x14ac:dyDescent="0.3">
      <c r="A65" s="7">
        <v>870</v>
      </c>
      <c r="B65">
        <v>18</v>
      </c>
      <c r="C65">
        <v>40</v>
      </c>
      <c r="D65">
        <v>6</v>
      </c>
      <c r="E65" t="s">
        <v>19</v>
      </c>
      <c r="F65" s="10">
        <f t="shared" si="0"/>
        <v>157</v>
      </c>
      <c r="G65" s="14">
        <f t="shared" si="1"/>
        <v>348</v>
      </c>
      <c r="H65" s="7">
        <f t="shared" si="2"/>
        <v>777.67</v>
      </c>
      <c r="I65" s="10">
        <f t="shared" si="3"/>
        <v>1375</v>
      </c>
      <c r="J65">
        <f t="shared" si="4"/>
        <v>0</v>
      </c>
      <c r="K65">
        <f t="shared" si="5"/>
        <v>0</v>
      </c>
      <c r="M65"/>
      <c r="N65"/>
      <c r="O65"/>
    </row>
    <row r="66" spans="1:15" x14ac:dyDescent="0.3">
      <c r="A66" s="7">
        <v>2950</v>
      </c>
      <c r="B66">
        <v>5</v>
      </c>
      <c r="C66">
        <v>50</v>
      </c>
      <c r="D66">
        <v>1</v>
      </c>
      <c r="E66" t="s">
        <v>15</v>
      </c>
      <c r="F66" s="10">
        <f t="shared" si="0"/>
        <v>148</v>
      </c>
      <c r="G66" s="14">
        <f t="shared" si="1"/>
        <v>1475</v>
      </c>
      <c r="H66" s="7">
        <f t="shared" si="2"/>
        <v>4666</v>
      </c>
      <c r="I66" s="10">
        <f t="shared" si="3"/>
        <v>4573</v>
      </c>
      <c r="J66">
        <f t="shared" si="4"/>
        <v>1</v>
      </c>
      <c r="K66">
        <f t="shared" si="5"/>
        <v>93</v>
      </c>
      <c r="M66"/>
      <c r="N66"/>
      <c r="O66"/>
    </row>
    <row r="67" spans="1:15" x14ac:dyDescent="0.3">
      <c r="A67" s="7">
        <v>6490</v>
      </c>
      <c r="B67">
        <v>9</v>
      </c>
      <c r="C67">
        <v>25</v>
      </c>
      <c r="D67">
        <v>1</v>
      </c>
      <c r="E67" t="s">
        <v>21</v>
      </c>
      <c r="F67" s="10">
        <f t="shared" ref="F67:F130" si="6">ROUNDUP(0.01*B67*A67,0)</f>
        <v>585</v>
      </c>
      <c r="G67" s="14">
        <f t="shared" ref="G67:G130" si="7">ROUND(C67/100*A67,2)</f>
        <v>1622.5</v>
      </c>
      <c r="H67" s="7">
        <f t="shared" ref="H67:H130" si="8">ROUND(4666/D67:D566,2)</f>
        <v>4666</v>
      </c>
      <c r="I67" s="10">
        <f t="shared" ref="I67:I130" si="9">G67+A67+F67</f>
        <v>8697.5</v>
      </c>
      <c r="J67">
        <f t="shared" ref="J67:J130" si="10">IF(H67&gt;I67,1,0)</f>
        <v>0</v>
      </c>
      <c r="K67">
        <f t="shared" ref="K67:K130" si="11">IF(J67=1,H67-I67,0)</f>
        <v>0</v>
      </c>
      <c r="M67"/>
      <c r="N67"/>
      <c r="O67"/>
    </row>
    <row r="68" spans="1:15" x14ac:dyDescent="0.3">
      <c r="A68" s="7">
        <v>4480</v>
      </c>
      <c r="B68">
        <v>4</v>
      </c>
      <c r="C68">
        <v>40</v>
      </c>
      <c r="D68">
        <v>1</v>
      </c>
      <c r="E68" t="s">
        <v>15</v>
      </c>
      <c r="F68" s="10">
        <f t="shared" si="6"/>
        <v>180</v>
      </c>
      <c r="G68" s="14">
        <f t="shared" si="7"/>
        <v>1792</v>
      </c>
      <c r="H68" s="7">
        <f t="shared" si="8"/>
        <v>4666</v>
      </c>
      <c r="I68" s="10">
        <f t="shared" si="9"/>
        <v>6452</v>
      </c>
      <c r="J68">
        <f t="shared" si="10"/>
        <v>0</v>
      </c>
      <c r="K68">
        <f t="shared" si="11"/>
        <v>0</v>
      </c>
      <c r="M68"/>
      <c r="N68"/>
      <c r="O68"/>
    </row>
    <row r="69" spans="1:15" x14ac:dyDescent="0.3">
      <c r="A69" s="7">
        <v>6590</v>
      </c>
      <c r="B69">
        <v>19</v>
      </c>
      <c r="C69">
        <v>5</v>
      </c>
      <c r="D69">
        <v>1</v>
      </c>
      <c r="E69" t="s">
        <v>20</v>
      </c>
      <c r="F69" s="10">
        <f t="shared" si="6"/>
        <v>1253</v>
      </c>
      <c r="G69" s="14">
        <f t="shared" si="7"/>
        <v>329.5</v>
      </c>
      <c r="H69" s="7">
        <f t="shared" si="8"/>
        <v>4666</v>
      </c>
      <c r="I69" s="10">
        <f t="shared" si="9"/>
        <v>8172.5</v>
      </c>
      <c r="J69">
        <f t="shared" si="10"/>
        <v>0</v>
      </c>
      <c r="K69">
        <f t="shared" si="11"/>
        <v>0</v>
      </c>
      <c r="M69"/>
      <c r="N69"/>
      <c r="O69"/>
    </row>
    <row r="70" spans="1:15" x14ac:dyDescent="0.3">
      <c r="A70" s="7">
        <v>3380</v>
      </c>
      <c r="B70">
        <v>15</v>
      </c>
      <c r="C70">
        <v>50</v>
      </c>
      <c r="D70">
        <v>1</v>
      </c>
      <c r="E70" t="s">
        <v>21</v>
      </c>
      <c r="F70" s="10">
        <f t="shared" si="6"/>
        <v>507</v>
      </c>
      <c r="G70" s="14">
        <f t="shared" si="7"/>
        <v>1690</v>
      </c>
      <c r="H70" s="7">
        <f t="shared" si="8"/>
        <v>4666</v>
      </c>
      <c r="I70" s="10">
        <f t="shared" si="9"/>
        <v>5577</v>
      </c>
      <c r="J70">
        <f t="shared" si="10"/>
        <v>0</v>
      </c>
      <c r="K70">
        <f t="shared" si="11"/>
        <v>0</v>
      </c>
      <c r="M70"/>
      <c r="N70"/>
      <c r="O70"/>
    </row>
    <row r="71" spans="1:15" x14ac:dyDescent="0.3">
      <c r="A71" s="7">
        <v>1085</v>
      </c>
      <c r="B71">
        <v>6</v>
      </c>
      <c r="C71">
        <v>35</v>
      </c>
      <c r="D71">
        <v>6</v>
      </c>
      <c r="E71" t="s">
        <v>15</v>
      </c>
      <c r="F71" s="10">
        <f t="shared" si="6"/>
        <v>66</v>
      </c>
      <c r="G71" s="14">
        <f t="shared" si="7"/>
        <v>379.75</v>
      </c>
      <c r="H71" s="7">
        <f t="shared" si="8"/>
        <v>777.67</v>
      </c>
      <c r="I71" s="10">
        <f t="shared" si="9"/>
        <v>1530.75</v>
      </c>
      <c r="J71">
        <f t="shared" si="10"/>
        <v>0</v>
      </c>
      <c r="K71">
        <f t="shared" si="11"/>
        <v>0</v>
      </c>
      <c r="M71"/>
      <c r="N71"/>
      <c r="O71"/>
    </row>
    <row r="72" spans="1:15" x14ac:dyDescent="0.3">
      <c r="A72" s="7">
        <v>546</v>
      </c>
      <c r="B72">
        <v>19</v>
      </c>
      <c r="C72">
        <v>45</v>
      </c>
      <c r="D72">
        <v>9</v>
      </c>
      <c r="E72" t="s">
        <v>20</v>
      </c>
      <c r="F72" s="10">
        <f t="shared" si="6"/>
        <v>104</v>
      </c>
      <c r="G72" s="14">
        <f t="shared" si="7"/>
        <v>245.7</v>
      </c>
      <c r="H72" s="7">
        <f t="shared" si="8"/>
        <v>518.44000000000005</v>
      </c>
      <c r="I72" s="10">
        <f t="shared" si="9"/>
        <v>895.7</v>
      </c>
      <c r="J72">
        <f t="shared" si="10"/>
        <v>0</v>
      </c>
      <c r="K72">
        <f t="shared" si="11"/>
        <v>0</v>
      </c>
      <c r="M72"/>
      <c r="N72"/>
      <c r="O72"/>
    </row>
    <row r="73" spans="1:15" x14ac:dyDescent="0.3">
      <c r="A73" s="7">
        <v>5900</v>
      </c>
      <c r="B73">
        <v>14</v>
      </c>
      <c r="C73">
        <v>45</v>
      </c>
      <c r="D73">
        <v>1</v>
      </c>
      <c r="E73" t="s">
        <v>20</v>
      </c>
      <c r="F73" s="10">
        <f t="shared" si="6"/>
        <v>826</v>
      </c>
      <c r="G73" s="14">
        <f t="shared" si="7"/>
        <v>2655</v>
      </c>
      <c r="H73" s="7">
        <f t="shared" si="8"/>
        <v>4666</v>
      </c>
      <c r="I73" s="10">
        <f t="shared" si="9"/>
        <v>9381</v>
      </c>
      <c r="J73">
        <f t="shared" si="10"/>
        <v>0</v>
      </c>
      <c r="K73">
        <f t="shared" si="11"/>
        <v>0</v>
      </c>
      <c r="M73"/>
      <c r="N73"/>
      <c r="O73"/>
    </row>
    <row r="74" spans="1:15" x14ac:dyDescent="0.3">
      <c r="A74" s="7">
        <v>5000</v>
      </c>
      <c r="B74">
        <v>14</v>
      </c>
      <c r="C74">
        <v>40</v>
      </c>
      <c r="D74">
        <v>1</v>
      </c>
      <c r="E74" t="s">
        <v>17</v>
      </c>
      <c r="F74" s="10">
        <f t="shared" si="6"/>
        <v>700</v>
      </c>
      <c r="G74" s="14">
        <f t="shared" si="7"/>
        <v>2000</v>
      </c>
      <c r="H74" s="7">
        <f t="shared" si="8"/>
        <v>4666</v>
      </c>
      <c r="I74" s="10">
        <f t="shared" si="9"/>
        <v>7700</v>
      </c>
      <c r="J74">
        <f t="shared" si="10"/>
        <v>0</v>
      </c>
      <c r="K74">
        <f t="shared" si="11"/>
        <v>0</v>
      </c>
      <c r="M74"/>
      <c r="N74"/>
      <c r="O74"/>
    </row>
    <row r="75" spans="1:15" x14ac:dyDescent="0.3">
      <c r="A75" s="7">
        <v>6980</v>
      </c>
      <c r="B75">
        <v>20</v>
      </c>
      <c r="C75">
        <v>15</v>
      </c>
      <c r="D75">
        <v>1</v>
      </c>
      <c r="E75" t="s">
        <v>16</v>
      </c>
      <c r="F75" s="10">
        <f t="shared" si="6"/>
        <v>1396</v>
      </c>
      <c r="G75" s="14">
        <f t="shared" si="7"/>
        <v>1047</v>
      </c>
      <c r="H75" s="7">
        <f t="shared" si="8"/>
        <v>4666</v>
      </c>
      <c r="I75" s="10">
        <f t="shared" si="9"/>
        <v>9423</v>
      </c>
      <c r="J75">
        <f t="shared" si="10"/>
        <v>0</v>
      </c>
      <c r="K75">
        <f t="shared" si="11"/>
        <v>0</v>
      </c>
      <c r="M75"/>
      <c r="N75"/>
      <c r="O75"/>
    </row>
    <row r="76" spans="1:15" x14ac:dyDescent="0.3">
      <c r="A76" s="7">
        <v>1120</v>
      </c>
      <c r="B76">
        <v>7</v>
      </c>
      <c r="C76">
        <v>0</v>
      </c>
      <c r="D76">
        <v>6</v>
      </c>
      <c r="E76" t="s">
        <v>18</v>
      </c>
      <c r="F76" s="10">
        <f t="shared" si="6"/>
        <v>79</v>
      </c>
      <c r="G76" s="14">
        <f t="shared" si="7"/>
        <v>0</v>
      </c>
      <c r="H76" s="7">
        <f t="shared" si="8"/>
        <v>777.67</v>
      </c>
      <c r="I76" s="10">
        <f t="shared" si="9"/>
        <v>1199</v>
      </c>
      <c r="J76">
        <f t="shared" si="10"/>
        <v>0</v>
      </c>
      <c r="K76">
        <f t="shared" si="11"/>
        <v>0</v>
      </c>
      <c r="M76"/>
      <c r="N76"/>
      <c r="O76"/>
    </row>
    <row r="77" spans="1:15" x14ac:dyDescent="0.3">
      <c r="A77" s="7">
        <v>410</v>
      </c>
      <c r="B77">
        <v>7</v>
      </c>
      <c r="C77">
        <v>30</v>
      </c>
      <c r="D77">
        <v>10</v>
      </c>
      <c r="E77" t="s">
        <v>20</v>
      </c>
      <c r="F77" s="10">
        <f t="shared" si="6"/>
        <v>29</v>
      </c>
      <c r="G77" s="14">
        <f t="shared" si="7"/>
        <v>123</v>
      </c>
      <c r="H77" s="7">
        <f t="shared" si="8"/>
        <v>466.6</v>
      </c>
      <c r="I77" s="10">
        <f t="shared" si="9"/>
        <v>562</v>
      </c>
      <c r="J77">
        <f t="shared" si="10"/>
        <v>0</v>
      </c>
      <c r="K77">
        <f t="shared" si="11"/>
        <v>0</v>
      </c>
      <c r="M77"/>
      <c r="N77"/>
      <c r="O77"/>
    </row>
    <row r="78" spans="1:15" x14ac:dyDescent="0.3">
      <c r="A78" s="7">
        <v>1098</v>
      </c>
      <c r="B78">
        <v>0</v>
      </c>
      <c r="C78">
        <v>15</v>
      </c>
      <c r="D78">
        <v>5</v>
      </c>
      <c r="E78" t="s">
        <v>15</v>
      </c>
      <c r="F78" s="10">
        <f t="shared" si="6"/>
        <v>0</v>
      </c>
      <c r="G78" s="14">
        <f t="shared" si="7"/>
        <v>164.7</v>
      </c>
      <c r="H78" s="7">
        <f t="shared" si="8"/>
        <v>933.2</v>
      </c>
      <c r="I78" s="10">
        <f t="shared" si="9"/>
        <v>1262.7</v>
      </c>
      <c r="J78">
        <f t="shared" si="10"/>
        <v>0</v>
      </c>
      <c r="K78">
        <f t="shared" si="11"/>
        <v>0</v>
      </c>
      <c r="M78"/>
      <c r="N78"/>
      <c r="O78"/>
    </row>
    <row r="79" spans="1:15" x14ac:dyDescent="0.3">
      <c r="A79" s="7">
        <v>696</v>
      </c>
      <c r="B79">
        <v>4</v>
      </c>
      <c r="C79">
        <v>40</v>
      </c>
      <c r="D79">
        <v>10</v>
      </c>
      <c r="E79" t="s">
        <v>21</v>
      </c>
      <c r="F79" s="10">
        <f t="shared" si="6"/>
        <v>28</v>
      </c>
      <c r="G79" s="14">
        <f t="shared" si="7"/>
        <v>278.39999999999998</v>
      </c>
      <c r="H79" s="7">
        <f t="shared" si="8"/>
        <v>466.6</v>
      </c>
      <c r="I79" s="10">
        <f t="shared" si="9"/>
        <v>1002.4</v>
      </c>
      <c r="J79">
        <f t="shared" si="10"/>
        <v>0</v>
      </c>
      <c r="K79">
        <f t="shared" si="11"/>
        <v>0</v>
      </c>
      <c r="M79"/>
      <c r="N79"/>
      <c r="O79"/>
    </row>
    <row r="80" spans="1:15" x14ac:dyDescent="0.3">
      <c r="A80" s="7">
        <v>860</v>
      </c>
      <c r="B80">
        <v>5</v>
      </c>
      <c r="C80">
        <v>15</v>
      </c>
      <c r="D80">
        <v>6</v>
      </c>
      <c r="E80" t="s">
        <v>19</v>
      </c>
      <c r="F80" s="10">
        <f t="shared" si="6"/>
        <v>43</v>
      </c>
      <c r="G80" s="14">
        <f t="shared" si="7"/>
        <v>129</v>
      </c>
      <c r="H80" s="7">
        <f t="shared" si="8"/>
        <v>777.67</v>
      </c>
      <c r="I80" s="10">
        <f t="shared" si="9"/>
        <v>1032</v>
      </c>
      <c r="J80">
        <f t="shared" si="10"/>
        <v>0</v>
      </c>
      <c r="K80">
        <f t="shared" si="11"/>
        <v>0</v>
      </c>
      <c r="M80"/>
      <c r="N80"/>
      <c r="O80"/>
    </row>
    <row r="81" spans="1:15" x14ac:dyDescent="0.3">
      <c r="A81" s="7">
        <v>6400</v>
      </c>
      <c r="B81">
        <v>3</v>
      </c>
      <c r="C81">
        <v>5</v>
      </c>
      <c r="D81">
        <v>1</v>
      </c>
      <c r="E81" t="s">
        <v>15</v>
      </c>
      <c r="F81" s="10">
        <f t="shared" si="6"/>
        <v>192</v>
      </c>
      <c r="G81" s="14">
        <f t="shared" si="7"/>
        <v>320</v>
      </c>
      <c r="H81" s="7">
        <f t="shared" si="8"/>
        <v>4666</v>
      </c>
      <c r="I81" s="10">
        <f t="shared" si="9"/>
        <v>6912</v>
      </c>
      <c r="J81">
        <f t="shared" si="10"/>
        <v>0</v>
      </c>
      <c r="K81">
        <f t="shared" si="11"/>
        <v>0</v>
      </c>
      <c r="M81"/>
      <c r="N81"/>
      <c r="O81"/>
    </row>
    <row r="82" spans="1:15" x14ac:dyDescent="0.3">
      <c r="A82" s="7">
        <v>4590</v>
      </c>
      <c r="B82">
        <v>18</v>
      </c>
      <c r="C82">
        <v>5</v>
      </c>
      <c r="D82">
        <v>1</v>
      </c>
      <c r="E82" t="s">
        <v>15</v>
      </c>
      <c r="F82" s="10">
        <f t="shared" si="6"/>
        <v>827</v>
      </c>
      <c r="G82" s="14">
        <f t="shared" si="7"/>
        <v>229.5</v>
      </c>
      <c r="H82" s="7">
        <f t="shared" si="8"/>
        <v>4666</v>
      </c>
      <c r="I82" s="10">
        <f t="shared" si="9"/>
        <v>5646.5</v>
      </c>
      <c r="J82">
        <f t="shared" si="10"/>
        <v>0</v>
      </c>
      <c r="K82">
        <f t="shared" si="11"/>
        <v>0</v>
      </c>
      <c r="M82"/>
      <c r="N82"/>
      <c r="O82"/>
    </row>
    <row r="83" spans="1:15" x14ac:dyDescent="0.3">
      <c r="A83" s="7">
        <v>505</v>
      </c>
      <c r="B83">
        <v>1</v>
      </c>
      <c r="C83">
        <v>50</v>
      </c>
      <c r="D83">
        <v>6</v>
      </c>
      <c r="E83" t="s">
        <v>19</v>
      </c>
      <c r="F83" s="10">
        <f t="shared" si="6"/>
        <v>6</v>
      </c>
      <c r="G83" s="14">
        <f t="shared" si="7"/>
        <v>252.5</v>
      </c>
      <c r="H83" s="7">
        <f t="shared" si="8"/>
        <v>777.67</v>
      </c>
      <c r="I83" s="10">
        <f t="shared" si="9"/>
        <v>763.5</v>
      </c>
      <c r="J83">
        <f t="shared" si="10"/>
        <v>1</v>
      </c>
      <c r="K83">
        <f t="shared" si="11"/>
        <v>14.169999999999959</v>
      </c>
      <c r="M83"/>
      <c r="N83"/>
      <c r="O83"/>
    </row>
    <row r="84" spans="1:15" x14ac:dyDescent="0.3">
      <c r="A84" s="7">
        <v>4620</v>
      </c>
      <c r="B84">
        <v>0</v>
      </c>
      <c r="C84">
        <v>45</v>
      </c>
      <c r="D84">
        <v>1</v>
      </c>
      <c r="E84" t="s">
        <v>19</v>
      </c>
      <c r="F84" s="10">
        <f t="shared" si="6"/>
        <v>0</v>
      </c>
      <c r="G84" s="14">
        <f t="shared" si="7"/>
        <v>2079</v>
      </c>
      <c r="H84" s="7">
        <f t="shared" si="8"/>
        <v>4666</v>
      </c>
      <c r="I84" s="10">
        <f t="shared" si="9"/>
        <v>6699</v>
      </c>
      <c r="J84">
        <f t="shared" si="10"/>
        <v>0</v>
      </c>
      <c r="K84">
        <f t="shared" si="11"/>
        <v>0</v>
      </c>
      <c r="M84"/>
      <c r="N84"/>
      <c r="O84"/>
    </row>
    <row r="85" spans="1:15" x14ac:dyDescent="0.3">
      <c r="A85" s="7">
        <v>3810</v>
      </c>
      <c r="B85">
        <v>20</v>
      </c>
      <c r="C85">
        <v>30</v>
      </c>
      <c r="D85">
        <v>1</v>
      </c>
      <c r="E85" t="s">
        <v>20</v>
      </c>
      <c r="F85" s="10">
        <f t="shared" si="6"/>
        <v>762</v>
      </c>
      <c r="G85" s="14">
        <f t="shared" si="7"/>
        <v>1143</v>
      </c>
      <c r="H85" s="7">
        <f t="shared" si="8"/>
        <v>4666</v>
      </c>
      <c r="I85" s="10">
        <f t="shared" si="9"/>
        <v>5715</v>
      </c>
      <c r="J85">
        <f t="shared" si="10"/>
        <v>0</v>
      </c>
      <c r="K85">
        <f t="shared" si="11"/>
        <v>0</v>
      </c>
      <c r="M85"/>
      <c r="N85"/>
      <c r="O85"/>
    </row>
    <row r="86" spans="1:15" x14ac:dyDescent="0.3">
      <c r="A86" s="7">
        <v>1588</v>
      </c>
      <c r="B86">
        <v>3</v>
      </c>
      <c r="C86">
        <v>10</v>
      </c>
      <c r="D86">
        <v>4</v>
      </c>
      <c r="E86" t="s">
        <v>21</v>
      </c>
      <c r="F86" s="10">
        <f t="shared" si="6"/>
        <v>48</v>
      </c>
      <c r="G86" s="14">
        <f t="shared" si="7"/>
        <v>158.80000000000001</v>
      </c>
      <c r="H86" s="7">
        <f t="shared" si="8"/>
        <v>1166.5</v>
      </c>
      <c r="I86" s="10">
        <f t="shared" si="9"/>
        <v>1794.8</v>
      </c>
      <c r="J86">
        <f t="shared" si="10"/>
        <v>0</v>
      </c>
      <c r="K86">
        <f t="shared" si="11"/>
        <v>0</v>
      </c>
      <c r="M86"/>
      <c r="N86"/>
      <c r="O86"/>
    </row>
    <row r="87" spans="1:15" x14ac:dyDescent="0.3">
      <c r="A87" s="7">
        <v>5730</v>
      </c>
      <c r="B87">
        <v>12</v>
      </c>
      <c r="C87">
        <v>50</v>
      </c>
      <c r="D87">
        <v>1</v>
      </c>
      <c r="E87" t="s">
        <v>21</v>
      </c>
      <c r="F87" s="10">
        <f t="shared" si="6"/>
        <v>688</v>
      </c>
      <c r="G87" s="14">
        <f t="shared" si="7"/>
        <v>2865</v>
      </c>
      <c r="H87" s="7">
        <f t="shared" si="8"/>
        <v>4666</v>
      </c>
      <c r="I87" s="10">
        <f t="shared" si="9"/>
        <v>9283</v>
      </c>
      <c r="J87">
        <f t="shared" si="10"/>
        <v>0</v>
      </c>
      <c r="K87">
        <f t="shared" si="11"/>
        <v>0</v>
      </c>
      <c r="M87"/>
      <c r="N87"/>
      <c r="O87"/>
    </row>
    <row r="88" spans="1:15" x14ac:dyDescent="0.3">
      <c r="A88" s="7">
        <v>909</v>
      </c>
      <c r="B88">
        <v>11</v>
      </c>
      <c r="C88">
        <v>45</v>
      </c>
      <c r="D88">
        <v>7</v>
      </c>
      <c r="E88" t="s">
        <v>16</v>
      </c>
      <c r="F88" s="10">
        <f t="shared" si="6"/>
        <v>100</v>
      </c>
      <c r="G88" s="14">
        <f t="shared" si="7"/>
        <v>409.05</v>
      </c>
      <c r="H88" s="7">
        <f t="shared" si="8"/>
        <v>666.57</v>
      </c>
      <c r="I88" s="10">
        <f t="shared" si="9"/>
        <v>1418.05</v>
      </c>
      <c r="J88">
        <f t="shared" si="10"/>
        <v>0</v>
      </c>
      <c r="K88">
        <f t="shared" si="11"/>
        <v>0</v>
      </c>
      <c r="M88"/>
      <c r="N88"/>
      <c r="O88"/>
    </row>
    <row r="89" spans="1:15" x14ac:dyDescent="0.3">
      <c r="A89" s="7">
        <v>968</v>
      </c>
      <c r="B89">
        <v>10</v>
      </c>
      <c r="C89">
        <v>5</v>
      </c>
      <c r="D89">
        <v>6</v>
      </c>
      <c r="E89" t="s">
        <v>15</v>
      </c>
      <c r="F89" s="10">
        <f t="shared" si="6"/>
        <v>97</v>
      </c>
      <c r="G89" s="14">
        <f t="shared" si="7"/>
        <v>48.4</v>
      </c>
      <c r="H89" s="7">
        <f t="shared" si="8"/>
        <v>777.67</v>
      </c>
      <c r="I89" s="10">
        <f t="shared" si="9"/>
        <v>1113.4000000000001</v>
      </c>
      <c r="J89">
        <f t="shared" si="10"/>
        <v>0</v>
      </c>
      <c r="K89">
        <f t="shared" si="11"/>
        <v>0</v>
      </c>
      <c r="M89"/>
      <c r="N89"/>
      <c r="O89"/>
    </row>
    <row r="90" spans="1:15" x14ac:dyDescent="0.3">
      <c r="A90" s="7">
        <v>691</v>
      </c>
      <c r="B90">
        <v>17</v>
      </c>
      <c r="C90">
        <v>5</v>
      </c>
      <c r="D90">
        <v>10</v>
      </c>
      <c r="E90" t="s">
        <v>16</v>
      </c>
      <c r="F90" s="10">
        <f t="shared" si="6"/>
        <v>118</v>
      </c>
      <c r="G90" s="14">
        <f t="shared" si="7"/>
        <v>34.549999999999997</v>
      </c>
      <c r="H90" s="7">
        <f t="shared" si="8"/>
        <v>466.6</v>
      </c>
      <c r="I90" s="10">
        <f t="shared" si="9"/>
        <v>843.55</v>
      </c>
      <c r="J90">
        <f t="shared" si="10"/>
        <v>0</v>
      </c>
      <c r="K90">
        <f t="shared" si="11"/>
        <v>0</v>
      </c>
      <c r="M90"/>
      <c r="N90"/>
      <c r="O90"/>
    </row>
    <row r="91" spans="1:15" x14ac:dyDescent="0.3">
      <c r="A91" s="7">
        <v>555</v>
      </c>
      <c r="B91">
        <v>18</v>
      </c>
      <c r="C91">
        <v>5</v>
      </c>
      <c r="D91">
        <v>8</v>
      </c>
      <c r="E91" t="s">
        <v>19</v>
      </c>
      <c r="F91" s="10">
        <f t="shared" si="6"/>
        <v>100</v>
      </c>
      <c r="G91" s="14">
        <f t="shared" si="7"/>
        <v>27.75</v>
      </c>
      <c r="H91" s="7">
        <f t="shared" si="8"/>
        <v>583.25</v>
      </c>
      <c r="I91" s="10">
        <f t="shared" si="9"/>
        <v>682.75</v>
      </c>
      <c r="J91">
        <f t="shared" si="10"/>
        <v>0</v>
      </c>
      <c r="K91">
        <f t="shared" si="11"/>
        <v>0</v>
      </c>
      <c r="M91"/>
      <c r="N91"/>
      <c r="O91"/>
    </row>
    <row r="92" spans="1:15" x14ac:dyDescent="0.3">
      <c r="A92" s="7">
        <v>4350</v>
      </c>
      <c r="B92">
        <v>2</v>
      </c>
      <c r="C92">
        <v>5</v>
      </c>
      <c r="D92">
        <v>1</v>
      </c>
      <c r="E92" t="s">
        <v>17</v>
      </c>
      <c r="F92" s="10">
        <f t="shared" si="6"/>
        <v>87</v>
      </c>
      <c r="G92" s="14">
        <f t="shared" si="7"/>
        <v>217.5</v>
      </c>
      <c r="H92" s="7">
        <f t="shared" si="8"/>
        <v>4666</v>
      </c>
      <c r="I92" s="10">
        <f t="shared" si="9"/>
        <v>4654.5</v>
      </c>
      <c r="J92">
        <f t="shared" si="10"/>
        <v>1</v>
      </c>
      <c r="K92">
        <f t="shared" si="11"/>
        <v>11.5</v>
      </c>
      <c r="M92"/>
      <c r="N92"/>
      <c r="O92"/>
    </row>
    <row r="93" spans="1:15" x14ac:dyDescent="0.3">
      <c r="A93" s="7">
        <v>930</v>
      </c>
      <c r="B93">
        <v>2</v>
      </c>
      <c r="C93">
        <v>15</v>
      </c>
      <c r="D93">
        <v>5</v>
      </c>
      <c r="E93" t="s">
        <v>16</v>
      </c>
      <c r="F93" s="10">
        <f t="shared" si="6"/>
        <v>19</v>
      </c>
      <c r="G93" s="14">
        <f t="shared" si="7"/>
        <v>139.5</v>
      </c>
      <c r="H93" s="7">
        <f t="shared" si="8"/>
        <v>933.2</v>
      </c>
      <c r="I93" s="10">
        <f t="shared" si="9"/>
        <v>1088.5</v>
      </c>
      <c r="J93">
        <f t="shared" si="10"/>
        <v>0</v>
      </c>
      <c r="K93">
        <f t="shared" si="11"/>
        <v>0</v>
      </c>
      <c r="M93"/>
      <c r="N93"/>
      <c r="O93"/>
    </row>
    <row r="94" spans="1:15" x14ac:dyDescent="0.3">
      <c r="A94" s="7">
        <v>1907</v>
      </c>
      <c r="B94">
        <v>11</v>
      </c>
      <c r="C94">
        <v>45</v>
      </c>
      <c r="D94">
        <v>3</v>
      </c>
      <c r="E94" t="s">
        <v>20</v>
      </c>
      <c r="F94" s="10">
        <f t="shared" si="6"/>
        <v>210</v>
      </c>
      <c r="G94" s="14">
        <f t="shared" si="7"/>
        <v>858.15</v>
      </c>
      <c r="H94" s="7">
        <f t="shared" si="8"/>
        <v>1555.33</v>
      </c>
      <c r="I94" s="10">
        <f t="shared" si="9"/>
        <v>2975.15</v>
      </c>
      <c r="J94">
        <f t="shared" si="10"/>
        <v>0</v>
      </c>
      <c r="K94">
        <f t="shared" si="11"/>
        <v>0</v>
      </c>
      <c r="M94"/>
      <c r="N94"/>
      <c r="O94"/>
    </row>
    <row r="95" spans="1:15" x14ac:dyDescent="0.3">
      <c r="A95" s="7">
        <v>393</v>
      </c>
      <c r="B95">
        <v>2</v>
      </c>
      <c r="C95">
        <v>20</v>
      </c>
      <c r="D95">
        <v>9</v>
      </c>
      <c r="E95" t="s">
        <v>18</v>
      </c>
      <c r="F95" s="10">
        <f t="shared" si="6"/>
        <v>8</v>
      </c>
      <c r="G95" s="14">
        <f t="shared" si="7"/>
        <v>78.599999999999994</v>
      </c>
      <c r="H95" s="7">
        <f t="shared" si="8"/>
        <v>518.44000000000005</v>
      </c>
      <c r="I95" s="10">
        <f t="shared" si="9"/>
        <v>479.6</v>
      </c>
      <c r="J95">
        <f t="shared" si="10"/>
        <v>1</v>
      </c>
      <c r="K95">
        <f t="shared" si="11"/>
        <v>38.840000000000032</v>
      </c>
      <c r="M95"/>
      <c r="N95"/>
      <c r="O95"/>
    </row>
    <row r="96" spans="1:15" x14ac:dyDescent="0.3">
      <c r="A96" s="7">
        <v>5760</v>
      </c>
      <c r="B96">
        <v>14</v>
      </c>
      <c r="C96">
        <v>20</v>
      </c>
      <c r="D96">
        <v>1</v>
      </c>
      <c r="E96" t="s">
        <v>18</v>
      </c>
      <c r="F96" s="10">
        <f t="shared" si="6"/>
        <v>807</v>
      </c>
      <c r="G96" s="14">
        <f t="shared" si="7"/>
        <v>1152</v>
      </c>
      <c r="H96" s="7">
        <f t="shared" si="8"/>
        <v>4666</v>
      </c>
      <c r="I96" s="10">
        <f t="shared" si="9"/>
        <v>7719</v>
      </c>
      <c r="J96">
        <f t="shared" si="10"/>
        <v>0</v>
      </c>
      <c r="K96">
        <f t="shared" si="11"/>
        <v>0</v>
      </c>
      <c r="M96"/>
      <c r="N96"/>
      <c r="O96"/>
    </row>
    <row r="97" spans="1:15" x14ac:dyDescent="0.3">
      <c r="A97" s="7">
        <v>1807</v>
      </c>
      <c r="B97">
        <v>11</v>
      </c>
      <c r="C97">
        <v>15</v>
      </c>
      <c r="D97">
        <v>3</v>
      </c>
      <c r="E97" t="s">
        <v>19</v>
      </c>
      <c r="F97" s="10">
        <f t="shared" si="6"/>
        <v>199</v>
      </c>
      <c r="G97" s="14">
        <f t="shared" si="7"/>
        <v>271.05</v>
      </c>
      <c r="H97" s="7">
        <f t="shared" si="8"/>
        <v>1555.33</v>
      </c>
      <c r="I97" s="10">
        <f t="shared" si="9"/>
        <v>2277.0500000000002</v>
      </c>
      <c r="J97">
        <f t="shared" si="10"/>
        <v>0</v>
      </c>
      <c r="K97">
        <f t="shared" si="11"/>
        <v>0</v>
      </c>
      <c r="M97"/>
      <c r="N97"/>
      <c r="O97"/>
    </row>
    <row r="98" spans="1:15" x14ac:dyDescent="0.3">
      <c r="A98" s="7">
        <v>1107</v>
      </c>
      <c r="B98">
        <v>15</v>
      </c>
      <c r="C98">
        <v>10</v>
      </c>
      <c r="D98">
        <v>3</v>
      </c>
      <c r="E98" t="s">
        <v>18</v>
      </c>
      <c r="F98" s="10">
        <f t="shared" si="6"/>
        <v>167</v>
      </c>
      <c r="G98" s="14">
        <f t="shared" si="7"/>
        <v>110.7</v>
      </c>
      <c r="H98" s="7">
        <f t="shared" si="8"/>
        <v>1555.33</v>
      </c>
      <c r="I98" s="10">
        <f t="shared" si="9"/>
        <v>1384.7</v>
      </c>
      <c r="J98">
        <f t="shared" si="10"/>
        <v>1</v>
      </c>
      <c r="K98">
        <f t="shared" si="11"/>
        <v>170.62999999999988</v>
      </c>
      <c r="M98"/>
      <c r="N98"/>
      <c r="O98"/>
    </row>
    <row r="99" spans="1:15" x14ac:dyDescent="0.3">
      <c r="A99" s="7">
        <v>370</v>
      </c>
      <c r="B99">
        <v>15</v>
      </c>
      <c r="C99">
        <v>10</v>
      </c>
      <c r="D99">
        <v>9</v>
      </c>
      <c r="E99" t="s">
        <v>17</v>
      </c>
      <c r="F99" s="10">
        <f t="shared" si="6"/>
        <v>56</v>
      </c>
      <c r="G99" s="14">
        <f t="shared" si="7"/>
        <v>37</v>
      </c>
      <c r="H99" s="7">
        <f t="shared" si="8"/>
        <v>518.44000000000005</v>
      </c>
      <c r="I99" s="10">
        <f t="shared" si="9"/>
        <v>463</v>
      </c>
      <c r="J99">
        <f t="shared" si="10"/>
        <v>1</v>
      </c>
      <c r="K99">
        <f t="shared" si="11"/>
        <v>55.440000000000055</v>
      </c>
      <c r="M99"/>
      <c r="N99"/>
      <c r="O99"/>
    </row>
    <row r="100" spans="1:15" x14ac:dyDescent="0.3">
      <c r="A100" s="7">
        <v>3275</v>
      </c>
      <c r="B100">
        <v>10</v>
      </c>
      <c r="C100">
        <v>45</v>
      </c>
      <c r="D100">
        <v>2</v>
      </c>
      <c r="E100" t="s">
        <v>21</v>
      </c>
      <c r="F100" s="10">
        <f t="shared" si="6"/>
        <v>328</v>
      </c>
      <c r="G100" s="14">
        <f t="shared" si="7"/>
        <v>1473.75</v>
      </c>
      <c r="H100" s="7">
        <f t="shared" si="8"/>
        <v>2333</v>
      </c>
      <c r="I100" s="10">
        <f t="shared" si="9"/>
        <v>5076.75</v>
      </c>
      <c r="J100">
        <f t="shared" si="10"/>
        <v>0</v>
      </c>
      <c r="K100">
        <f t="shared" si="11"/>
        <v>0</v>
      </c>
      <c r="M100"/>
      <c r="N100"/>
      <c r="O100"/>
    </row>
    <row r="101" spans="1:15" x14ac:dyDescent="0.3">
      <c r="A101" s="7">
        <v>5960</v>
      </c>
      <c r="B101">
        <v>15</v>
      </c>
      <c r="C101">
        <v>35</v>
      </c>
      <c r="D101">
        <v>1</v>
      </c>
      <c r="E101" t="s">
        <v>15</v>
      </c>
      <c r="F101" s="10">
        <f t="shared" si="6"/>
        <v>894</v>
      </c>
      <c r="G101" s="14">
        <f t="shared" si="7"/>
        <v>2086</v>
      </c>
      <c r="H101" s="7">
        <f t="shared" si="8"/>
        <v>4666</v>
      </c>
      <c r="I101" s="10">
        <f t="shared" si="9"/>
        <v>8940</v>
      </c>
      <c r="J101">
        <f t="shared" si="10"/>
        <v>0</v>
      </c>
      <c r="K101">
        <f t="shared" si="11"/>
        <v>0</v>
      </c>
      <c r="M101"/>
      <c r="N101"/>
      <c r="O101"/>
    </row>
    <row r="102" spans="1:15" x14ac:dyDescent="0.3">
      <c r="A102" s="7">
        <v>4650</v>
      </c>
      <c r="B102">
        <v>5</v>
      </c>
      <c r="C102">
        <v>35</v>
      </c>
      <c r="D102">
        <v>1</v>
      </c>
      <c r="E102" t="s">
        <v>20</v>
      </c>
      <c r="F102" s="10">
        <f t="shared" si="6"/>
        <v>233</v>
      </c>
      <c r="G102" s="14">
        <f t="shared" si="7"/>
        <v>1627.5</v>
      </c>
      <c r="H102" s="7">
        <f t="shared" si="8"/>
        <v>4666</v>
      </c>
      <c r="I102" s="10">
        <f t="shared" si="9"/>
        <v>6510.5</v>
      </c>
      <c r="J102">
        <f t="shared" si="10"/>
        <v>0</v>
      </c>
      <c r="K102">
        <f t="shared" si="11"/>
        <v>0</v>
      </c>
      <c r="M102"/>
      <c r="N102"/>
      <c r="O102"/>
    </row>
    <row r="103" spans="1:15" x14ac:dyDescent="0.3">
      <c r="A103" s="7">
        <v>435</v>
      </c>
      <c r="B103">
        <v>7</v>
      </c>
      <c r="C103">
        <v>35</v>
      </c>
      <c r="D103">
        <v>10</v>
      </c>
      <c r="E103" t="s">
        <v>17</v>
      </c>
      <c r="F103" s="10">
        <f t="shared" si="6"/>
        <v>31</v>
      </c>
      <c r="G103" s="14">
        <f t="shared" si="7"/>
        <v>152.25</v>
      </c>
      <c r="H103" s="7">
        <f t="shared" si="8"/>
        <v>466.6</v>
      </c>
      <c r="I103" s="10">
        <f t="shared" si="9"/>
        <v>618.25</v>
      </c>
      <c r="J103">
        <f t="shared" si="10"/>
        <v>0</v>
      </c>
      <c r="K103">
        <f t="shared" si="11"/>
        <v>0</v>
      </c>
      <c r="M103"/>
      <c r="N103"/>
      <c r="O103"/>
    </row>
    <row r="104" spans="1:15" x14ac:dyDescent="0.3">
      <c r="A104" s="7">
        <v>736</v>
      </c>
      <c r="B104">
        <v>19</v>
      </c>
      <c r="C104">
        <v>15</v>
      </c>
      <c r="D104">
        <v>7</v>
      </c>
      <c r="E104" t="s">
        <v>16</v>
      </c>
      <c r="F104" s="10">
        <f t="shared" si="6"/>
        <v>140</v>
      </c>
      <c r="G104" s="14">
        <f t="shared" si="7"/>
        <v>110.4</v>
      </c>
      <c r="H104" s="7">
        <f t="shared" si="8"/>
        <v>666.57</v>
      </c>
      <c r="I104" s="10">
        <f t="shared" si="9"/>
        <v>986.4</v>
      </c>
      <c r="J104">
        <f t="shared" si="10"/>
        <v>0</v>
      </c>
      <c r="K104">
        <f t="shared" si="11"/>
        <v>0</v>
      </c>
      <c r="M104"/>
      <c r="N104"/>
      <c r="O104"/>
    </row>
    <row r="105" spans="1:15" x14ac:dyDescent="0.3">
      <c r="A105" s="7">
        <v>4230</v>
      </c>
      <c r="B105">
        <v>20</v>
      </c>
      <c r="C105">
        <v>35</v>
      </c>
      <c r="D105">
        <v>1</v>
      </c>
      <c r="E105" t="s">
        <v>18</v>
      </c>
      <c r="F105" s="10">
        <f t="shared" si="6"/>
        <v>846</v>
      </c>
      <c r="G105" s="14">
        <f t="shared" si="7"/>
        <v>1480.5</v>
      </c>
      <c r="H105" s="7">
        <f t="shared" si="8"/>
        <v>4666</v>
      </c>
      <c r="I105" s="10">
        <f t="shared" si="9"/>
        <v>6556.5</v>
      </c>
      <c r="J105">
        <f t="shared" si="10"/>
        <v>0</v>
      </c>
      <c r="K105">
        <f t="shared" si="11"/>
        <v>0</v>
      </c>
      <c r="M105"/>
      <c r="N105"/>
      <c r="O105"/>
    </row>
    <row r="106" spans="1:15" x14ac:dyDescent="0.3">
      <c r="A106" s="7">
        <v>1303</v>
      </c>
      <c r="B106">
        <v>12</v>
      </c>
      <c r="C106">
        <v>15</v>
      </c>
      <c r="D106">
        <v>4</v>
      </c>
      <c r="E106" t="s">
        <v>21</v>
      </c>
      <c r="F106" s="10">
        <f t="shared" si="6"/>
        <v>157</v>
      </c>
      <c r="G106" s="14">
        <f t="shared" si="7"/>
        <v>195.45</v>
      </c>
      <c r="H106" s="7">
        <f t="shared" si="8"/>
        <v>1166.5</v>
      </c>
      <c r="I106" s="10">
        <f t="shared" si="9"/>
        <v>1655.45</v>
      </c>
      <c r="J106">
        <f t="shared" si="10"/>
        <v>0</v>
      </c>
      <c r="K106">
        <f t="shared" si="11"/>
        <v>0</v>
      </c>
      <c r="M106"/>
      <c r="N106"/>
      <c r="O106"/>
    </row>
    <row r="107" spans="1:15" x14ac:dyDescent="0.3">
      <c r="A107" s="7">
        <v>6290</v>
      </c>
      <c r="B107">
        <v>4</v>
      </c>
      <c r="C107">
        <v>30</v>
      </c>
      <c r="D107">
        <v>1</v>
      </c>
      <c r="E107" t="s">
        <v>21</v>
      </c>
      <c r="F107" s="10">
        <f t="shared" si="6"/>
        <v>252</v>
      </c>
      <c r="G107" s="14">
        <f t="shared" si="7"/>
        <v>1887</v>
      </c>
      <c r="H107" s="7">
        <f t="shared" si="8"/>
        <v>4666</v>
      </c>
      <c r="I107" s="10">
        <f t="shared" si="9"/>
        <v>8429</v>
      </c>
      <c r="J107">
        <f t="shared" si="10"/>
        <v>0</v>
      </c>
      <c r="K107">
        <f t="shared" si="11"/>
        <v>0</v>
      </c>
      <c r="M107"/>
      <c r="N107"/>
      <c r="O107"/>
    </row>
    <row r="108" spans="1:15" x14ac:dyDescent="0.3">
      <c r="A108" s="7">
        <v>3900</v>
      </c>
      <c r="B108">
        <v>5</v>
      </c>
      <c r="C108">
        <v>10</v>
      </c>
      <c r="D108">
        <v>1</v>
      </c>
      <c r="E108" t="s">
        <v>17</v>
      </c>
      <c r="F108" s="10">
        <f t="shared" si="6"/>
        <v>195</v>
      </c>
      <c r="G108" s="14">
        <f t="shared" si="7"/>
        <v>390</v>
      </c>
      <c r="H108" s="7">
        <f t="shared" si="8"/>
        <v>4666</v>
      </c>
      <c r="I108" s="10">
        <f t="shared" si="9"/>
        <v>4485</v>
      </c>
      <c r="J108">
        <f t="shared" si="10"/>
        <v>1</v>
      </c>
      <c r="K108">
        <f t="shared" si="11"/>
        <v>181</v>
      </c>
      <c r="M108"/>
      <c r="N108"/>
      <c r="O108"/>
    </row>
    <row r="109" spans="1:15" x14ac:dyDescent="0.3">
      <c r="A109" s="7">
        <v>4650</v>
      </c>
      <c r="B109">
        <v>8</v>
      </c>
      <c r="C109">
        <v>10</v>
      </c>
      <c r="D109">
        <v>1</v>
      </c>
      <c r="E109" t="s">
        <v>20</v>
      </c>
      <c r="F109" s="10">
        <f t="shared" si="6"/>
        <v>372</v>
      </c>
      <c r="G109" s="14">
        <f t="shared" si="7"/>
        <v>465</v>
      </c>
      <c r="H109" s="7">
        <f t="shared" si="8"/>
        <v>4666</v>
      </c>
      <c r="I109" s="10">
        <f t="shared" si="9"/>
        <v>5487</v>
      </c>
      <c r="J109">
        <f t="shared" si="10"/>
        <v>0</v>
      </c>
      <c r="K109">
        <f t="shared" si="11"/>
        <v>0</v>
      </c>
      <c r="M109"/>
      <c r="N109"/>
      <c r="O109"/>
    </row>
    <row r="110" spans="1:15" x14ac:dyDescent="0.3">
      <c r="A110" s="7">
        <v>974</v>
      </c>
      <c r="B110">
        <v>15</v>
      </c>
      <c r="C110">
        <v>15</v>
      </c>
      <c r="D110">
        <v>5</v>
      </c>
      <c r="E110" t="s">
        <v>18</v>
      </c>
      <c r="F110" s="10">
        <f t="shared" si="6"/>
        <v>147</v>
      </c>
      <c r="G110" s="14">
        <f t="shared" si="7"/>
        <v>146.1</v>
      </c>
      <c r="H110" s="7">
        <f t="shared" si="8"/>
        <v>933.2</v>
      </c>
      <c r="I110" s="10">
        <f t="shared" si="9"/>
        <v>1267.0999999999999</v>
      </c>
      <c r="J110">
        <f t="shared" si="10"/>
        <v>0</v>
      </c>
      <c r="K110">
        <f t="shared" si="11"/>
        <v>0</v>
      </c>
      <c r="M110"/>
      <c r="N110"/>
      <c r="O110"/>
    </row>
    <row r="111" spans="1:15" x14ac:dyDescent="0.3">
      <c r="A111" s="7">
        <v>1300.75</v>
      </c>
      <c r="B111">
        <v>5</v>
      </c>
      <c r="C111">
        <v>5</v>
      </c>
      <c r="D111">
        <v>3</v>
      </c>
      <c r="E111" t="s">
        <v>16</v>
      </c>
      <c r="F111" s="10">
        <f t="shared" si="6"/>
        <v>66</v>
      </c>
      <c r="G111" s="14">
        <f t="shared" si="7"/>
        <v>65.040000000000006</v>
      </c>
      <c r="H111" s="7">
        <f t="shared" si="8"/>
        <v>1555.33</v>
      </c>
      <c r="I111" s="10">
        <f t="shared" si="9"/>
        <v>1431.79</v>
      </c>
      <c r="J111">
        <f t="shared" si="10"/>
        <v>1</v>
      </c>
      <c r="K111">
        <f t="shared" si="11"/>
        <v>123.53999999999996</v>
      </c>
      <c r="M111"/>
      <c r="N111"/>
      <c r="O111"/>
    </row>
    <row r="112" spans="1:15" x14ac:dyDescent="0.3">
      <c r="A112" s="7">
        <v>4560</v>
      </c>
      <c r="B112">
        <v>3</v>
      </c>
      <c r="C112">
        <v>50</v>
      </c>
      <c r="D112">
        <v>1</v>
      </c>
      <c r="E112" t="s">
        <v>20</v>
      </c>
      <c r="F112" s="10">
        <f t="shared" si="6"/>
        <v>137</v>
      </c>
      <c r="G112" s="14">
        <f t="shared" si="7"/>
        <v>2280</v>
      </c>
      <c r="H112" s="7">
        <f t="shared" si="8"/>
        <v>4666</v>
      </c>
      <c r="I112" s="10">
        <f t="shared" si="9"/>
        <v>6977</v>
      </c>
      <c r="J112">
        <f t="shared" si="10"/>
        <v>0</v>
      </c>
      <c r="K112">
        <f t="shared" si="11"/>
        <v>0</v>
      </c>
      <c r="M112"/>
      <c r="N112"/>
      <c r="O112"/>
    </row>
    <row r="113" spans="1:15" x14ac:dyDescent="0.3">
      <c r="A113" s="7">
        <v>4690</v>
      </c>
      <c r="B113">
        <v>1</v>
      </c>
      <c r="C113">
        <v>45</v>
      </c>
      <c r="D113">
        <v>1</v>
      </c>
      <c r="E113" t="s">
        <v>19</v>
      </c>
      <c r="F113" s="10">
        <f t="shared" si="6"/>
        <v>47</v>
      </c>
      <c r="G113" s="14">
        <f t="shared" si="7"/>
        <v>2110.5</v>
      </c>
      <c r="H113" s="7">
        <f t="shared" si="8"/>
        <v>4666</v>
      </c>
      <c r="I113" s="10">
        <f t="shared" si="9"/>
        <v>6847.5</v>
      </c>
      <c r="J113">
        <f t="shared" si="10"/>
        <v>0</v>
      </c>
      <c r="K113">
        <f t="shared" si="11"/>
        <v>0</v>
      </c>
      <c r="M113"/>
      <c r="N113"/>
      <c r="O113"/>
    </row>
    <row r="114" spans="1:15" x14ac:dyDescent="0.3">
      <c r="A114" s="7">
        <v>3420</v>
      </c>
      <c r="B114">
        <v>9</v>
      </c>
      <c r="C114">
        <v>15</v>
      </c>
      <c r="D114">
        <v>1</v>
      </c>
      <c r="E114" t="s">
        <v>15</v>
      </c>
      <c r="F114" s="10">
        <f t="shared" si="6"/>
        <v>308</v>
      </c>
      <c r="G114" s="14">
        <f t="shared" si="7"/>
        <v>513</v>
      </c>
      <c r="H114" s="7">
        <f t="shared" si="8"/>
        <v>4666</v>
      </c>
      <c r="I114" s="10">
        <f t="shared" si="9"/>
        <v>4241</v>
      </c>
      <c r="J114">
        <f t="shared" si="10"/>
        <v>1</v>
      </c>
      <c r="K114">
        <f t="shared" si="11"/>
        <v>425</v>
      </c>
      <c r="M114"/>
      <c r="N114"/>
      <c r="O114"/>
    </row>
    <row r="115" spans="1:15" x14ac:dyDescent="0.3">
      <c r="A115" s="7">
        <v>690</v>
      </c>
      <c r="B115">
        <v>7</v>
      </c>
      <c r="C115">
        <v>35</v>
      </c>
      <c r="D115">
        <v>8</v>
      </c>
      <c r="E115" t="s">
        <v>18</v>
      </c>
      <c r="F115" s="10">
        <f t="shared" si="6"/>
        <v>49</v>
      </c>
      <c r="G115" s="14">
        <f t="shared" si="7"/>
        <v>241.5</v>
      </c>
      <c r="H115" s="7">
        <f t="shared" si="8"/>
        <v>583.25</v>
      </c>
      <c r="I115" s="10">
        <f t="shared" si="9"/>
        <v>980.5</v>
      </c>
      <c r="J115">
        <f t="shared" si="10"/>
        <v>0</v>
      </c>
      <c r="K115">
        <f t="shared" si="11"/>
        <v>0</v>
      </c>
      <c r="M115"/>
      <c r="N115"/>
      <c r="O115"/>
    </row>
    <row r="116" spans="1:15" x14ac:dyDescent="0.3">
      <c r="A116" s="7">
        <v>1070</v>
      </c>
      <c r="B116">
        <v>11</v>
      </c>
      <c r="C116">
        <v>35</v>
      </c>
      <c r="D116">
        <v>5</v>
      </c>
      <c r="E116" t="s">
        <v>17</v>
      </c>
      <c r="F116" s="10">
        <f t="shared" si="6"/>
        <v>118</v>
      </c>
      <c r="G116" s="14">
        <f t="shared" si="7"/>
        <v>374.5</v>
      </c>
      <c r="H116" s="7">
        <f t="shared" si="8"/>
        <v>933.2</v>
      </c>
      <c r="I116" s="10">
        <f t="shared" si="9"/>
        <v>1562.5</v>
      </c>
      <c r="J116">
        <f t="shared" si="10"/>
        <v>0</v>
      </c>
      <c r="K116">
        <f t="shared" si="11"/>
        <v>0</v>
      </c>
      <c r="M116"/>
      <c r="N116"/>
      <c r="O116"/>
    </row>
    <row r="117" spans="1:15" x14ac:dyDescent="0.3">
      <c r="A117" s="7">
        <v>1337</v>
      </c>
      <c r="B117">
        <v>0</v>
      </c>
      <c r="C117">
        <v>25</v>
      </c>
      <c r="D117">
        <v>3</v>
      </c>
      <c r="E117" t="s">
        <v>16</v>
      </c>
      <c r="F117" s="10">
        <f t="shared" si="6"/>
        <v>0</v>
      </c>
      <c r="G117" s="14">
        <f t="shared" si="7"/>
        <v>334.25</v>
      </c>
      <c r="H117" s="7">
        <f t="shared" si="8"/>
        <v>1555.33</v>
      </c>
      <c r="I117" s="10">
        <f t="shared" si="9"/>
        <v>1671.25</v>
      </c>
      <c r="J117">
        <f t="shared" si="10"/>
        <v>0</v>
      </c>
      <c r="K117">
        <f t="shared" si="11"/>
        <v>0</v>
      </c>
      <c r="M117"/>
      <c r="N117"/>
      <c r="O117"/>
    </row>
    <row r="118" spans="1:15" x14ac:dyDescent="0.3">
      <c r="A118" s="7">
        <v>6330</v>
      </c>
      <c r="B118">
        <v>20</v>
      </c>
      <c r="C118">
        <v>10</v>
      </c>
      <c r="D118">
        <v>1</v>
      </c>
      <c r="E118" t="s">
        <v>15</v>
      </c>
      <c r="F118" s="10">
        <f t="shared" si="6"/>
        <v>1266</v>
      </c>
      <c r="G118" s="14">
        <f t="shared" si="7"/>
        <v>633</v>
      </c>
      <c r="H118" s="7">
        <f t="shared" si="8"/>
        <v>4666</v>
      </c>
      <c r="I118" s="10">
        <f t="shared" si="9"/>
        <v>8229</v>
      </c>
      <c r="J118">
        <f t="shared" si="10"/>
        <v>0</v>
      </c>
      <c r="K118">
        <f t="shared" si="11"/>
        <v>0</v>
      </c>
      <c r="M118"/>
      <c r="N118"/>
      <c r="O118"/>
    </row>
    <row r="119" spans="1:15" x14ac:dyDescent="0.3">
      <c r="A119" s="7">
        <v>5020</v>
      </c>
      <c r="B119">
        <v>9</v>
      </c>
      <c r="C119">
        <v>30</v>
      </c>
      <c r="D119">
        <v>1</v>
      </c>
      <c r="E119" t="s">
        <v>17</v>
      </c>
      <c r="F119" s="10">
        <f t="shared" si="6"/>
        <v>452</v>
      </c>
      <c r="G119" s="14">
        <f t="shared" si="7"/>
        <v>1506</v>
      </c>
      <c r="H119" s="7">
        <f t="shared" si="8"/>
        <v>4666</v>
      </c>
      <c r="I119" s="10">
        <f t="shared" si="9"/>
        <v>6978</v>
      </c>
      <c r="J119">
        <f t="shared" si="10"/>
        <v>0</v>
      </c>
      <c r="K119">
        <f t="shared" si="11"/>
        <v>0</v>
      </c>
      <c r="M119"/>
      <c r="N119"/>
      <c r="O119"/>
    </row>
    <row r="120" spans="1:15" x14ac:dyDescent="0.3">
      <c r="A120" s="7">
        <v>4980</v>
      </c>
      <c r="B120">
        <v>13</v>
      </c>
      <c r="C120">
        <v>0</v>
      </c>
      <c r="D120">
        <v>1</v>
      </c>
      <c r="E120" t="s">
        <v>18</v>
      </c>
      <c r="F120" s="10">
        <f t="shared" si="6"/>
        <v>648</v>
      </c>
      <c r="G120" s="14">
        <f t="shared" si="7"/>
        <v>0</v>
      </c>
      <c r="H120" s="7">
        <f t="shared" si="8"/>
        <v>4666</v>
      </c>
      <c r="I120" s="10">
        <f t="shared" si="9"/>
        <v>5628</v>
      </c>
      <c r="J120">
        <f t="shared" si="10"/>
        <v>0</v>
      </c>
      <c r="K120">
        <f t="shared" si="11"/>
        <v>0</v>
      </c>
      <c r="M120"/>
      <c r="N120"/>
      <c r="O120"/>
    </row>
    <row r="121" spans="1:15" x14ac:dyDescent="0.3">
      <c r="A121" s="7">
        <v>615</v>
      </c>
      <c r="B121">
        <v>13</v>
      </c>
      <c r="C121">
        <v>40</v>
      </c>
      <c r="D121">
        <v>8</v>
      </c>
      <c r="E121" t="s">
        <v>17</v>
      </c>
      <c r="F121" s="10">
        <f t="shared" si="6"/>
        <v>80</v>
      </c>
      <c r="G121" s="14">
        <f t="shared" si="7"/>
        <v>246</v>
      </c>
      <c r="H121" s="7">
        <f t="shared" si="8"/>
        <v>583.25</v>
      </c>
      <c r="I121" s="10">
        <f t="shared" si="9"/>
        <v>941</v>
      </c>
      <c r="J121">
        <f t="shared" si="10"/>
        <v>0</v>
      </c>
      <c r="K121">
        <f t="shared" si="11"/>
        <v>0</v>
      </c>
      <c r="M121"/>
      <c r="N121"/>
      <c r="O121"/>
    </row>
    <row r="122" spans="1:15" x14ac:dyDescent="0.3">
      <c r="A122" s="7">
        <v>730</v>
      </c>
      <c r="B122">
        <v>18</v>
      </c>
      <c r="C122">
        <v>5</v>
      </c>
      <c r="D122">
        <v>6</v>
      </c>
      <c r="E122" t="s">
        <v>17</v>
      </c>
      <c r="F122" s="10">
        <f t="shared" si="6"/>
        <v>132</v>
      </c>
      <c r="G122" s="14">
        <f t="shared" si="7"/>
        <v>36.5</v>
      </c>
      <c r="H122" s="7">
        <f t="shared" si="8"/>
        <v>777.67</v>
      </c>
      <c r="I122" s="10">
        <f t="shared" si="9"/>
        <v>898.5</v>
      </c>
      <c r="J122">
        <f t="shared" si="10"/>
        <v>0</v>
      </c>
      <c r="K122">
        <f t="shared" si="11"/>
        <v>0</v>
      </c>
      <c r="M122"/>
      <c r="N122"/>
      <c r="O122"/>
    </row>
    <row r="123" spans="1:15" x14ac:dyDescent="0.3">
      <c r="A123" s="7">
        <v>349</v>
      </c>
      <c r="B123">
        <v>8</v>
      </c>
      <c r="C123">
        <v>10</v>
      </c>
      <c r="D123">
        <v>10</v>
      </c>
      <c r="E123" t="s">
        <v>15</v>
      </c>
      <c r="F123" s="10">
        <f t="shared" si="6"/>
        <v>28</v>
      </c>
      <c r="G123" s="14">
        <f t="shared" si="7"/>
        <v>34.9</v>
      </c>
      <c r="H123" s="7">
        <f t="shared" si="8"/>
        <v>466.6</v>
      </c>
      <c r="I123" s="10">
        <f t="shared" si="9"/>
        <v>411.9</v>
      </c>
      <c r="J123">
        <f t="shared" si="10"/>
        <v>1</v>
      </c>
      <c r="K123">
        <f t="shared" si="11"/>
        <v>54.700000000000045</v>
      </c>
      <c r="M123"/>
      <c r="N123"/>
      <c r="O123"/>
    </row>
    <row r="124" spans="1:15" x14ac:dyDescent="0.3">
      <c r="A124" s="7">
        <v>2023</v>
      </c>
      <c r="B124">
        <v>5</v>
      </c>
      <c r="C124">
        <v>10</v>
      </c>
      <c r="D124">
        <v>3</v>
      </c>
      <c r="E124" t="s">
        <v>21</v>
      </c>
      <c r="F124" s="10">
        <f t="shared" si="6"/>
        <v>102</v>
      </c>
      <c r="G124" s="14">
        <f t="shared" si="7"/>
        <v>202.3</v>
      </c>
      <c r="H124" s="7">
        <f t="shared" si="8"/>
        <v>1555.33</v>
      </c>
      <c r="I124" s="10">
        <f t="shared" si="9"/>
        <v>2327.3000000000002</v>
      </c>
      <c r="J124">
        <f t="shared" si="10"/>
        <v>0</v>
      </c>
      <c r="K124">
        <f t="shared" si="11"/>
        <v>0</v>
      </c>
      <c r="M124"/>
      <c r="N124"/>
      <c r="O124"/>
    </row>
    <row r="125" spans="1:15" x14ac:dyDescent="0.3">
      <c r="A125" s="7">
        <v>6520</v>
      </c>
      <c r="B125">
        <v>8</v>
      </c>
      <c r="C125">
        <v>25</v>
      </c>
      <c r="D125">
        <v>1</v>
      </c>
      <c r="E125" t="s">
        <v>18</v>
      </c>
      <c r="F125" s="10">
        <f t="shared" si="6"/>
        <v>522</v>
      </c>
      <c r="G125" s="14">
        <f t="shared" si="7"/>
        <v>1630</v>
      </c>
      <c r="H125" s="7">
        <f t="shared" si="8"/>
        <v>4666</v>
      </c>
      <c r="I125" s="10">
        <f t="shared" si="9"/>
        <v>8672</v>
      </c>
      <c r="J125">
        <f t="shared" si="10"/>
        <v>0</v>
      </c>
      <c r="K125">
        <f t="shared" si="11"/>
        <v>0</v>
      </c>
      <c r="M125"/>
      <c r="N125"/>
      <c r="O125"/>
    </row>
    <row r="126" spans="1:15" x14ac:dyDescent="0.3">
      <c r="A126" s="7">
        <v>3960</v>
      </c>
      <c r="B126">
        <v>8</v>
      </c>
      <c r="C126">
        <v>15</v>
      </c>
      <c r="D126">
        <v>1</v>
      </c>
      <c r="E126" t="s">
        <v>18</v>
      </c>
      <c r="F126" s="10">
        <f t="shared" si="6"/>
        <v>317</v>
      </c>
      <c r="G126" s="14">
        <f t="shared" si="7"/>
        <v>594</v>
      </c>
      <c r="H126" s="7">
        <f t="shared" si="8"/>
        <v>4666</v>
      </c>
      <c r="I126" s="10">
        <f t="shared" si="9"/>
        <v>4871</v>
      </c>
      <c r="J126">
        <f t="shared" si="10"/>
        <v>0</v>
      </c>
      <c r="K126">
        <f t="shared" si="11"/>
        <v>0</v>
      </c>
      <c r="M126"/>
      <c r="N126"/>
      <c r="O126"/>
    </row>
    <row r="127" spans="1:15" x14ac:dyDescent="0.3">
      <c r="A127" s="7">
        <v>5220</v>
      </c>
      <c r="B127">
        <v>15</v>
      </c>
      <c r="C127">
        <v>15</v>
      </c>
      <c r="D127">
        <v>1</v>
      </c>
      <c r="E127" t="s">
        <v>19</v>
      </c>
      <c r="F127" s="10">
        <f t="shared" si="6"/>
        <v>783</v>
      </c>
      <c r="G127" s="14">
        <f t="shared" si="7"/>
        <v>783</v>
      </c>
      <c r="H127" s="7">
        <f t="shared" si="8"/>
        <v>4666</v>
      </c>
      <c r="I127" s="10">
        <f t="shared" si="9"/>
        <v>6786</v>
      </c>
      <c r="J127">
        <f t="shared" si="10"/>
        <v>0</v>
      </c>
      <c r="K127">
        <f t="shared" si="11"/>
        <v>0</v>
      </c>
      <c r="M127"/>
      <c r="N127"/>
      <c r="O127"/>
    </row>
    <row r="128" spans="1:15" x14ac:dyDescent="0.3">
      <c r="A128" s="7">
        <v>6500</v>
      </c>
      <c r="B128">
        <v>2</v>
      </c>
      <c r="C128">
        <v>15</v>
      </c>
      <c r="D128">
        <v>1</v>
      </c>
      <c r="E128" t="s">
        <v>18</v>
      </c>
      <c r="F128" s="10">
        <f t="shared" si="6"/>
        <v>130</v>
      </c>
      <c r="G128" s="14">
        <f t="shared" si="7"/>
        <v>975</v>
      </c>
      <c r="H128" s="7">
        <f t="shared" si="8"/>
        <v>4666</v>
      </c>
      <c r="I128" s="10">
        <f t="shared" si="9"/>
        <v>7605</v>
      </c>
      <c r="J128">
        <f t="shared" si="10"/>
        <v>0</v>
      </c>
      <c r="K128">
        <f t="shared" si="11"/>
        <v>0</v>
      </c>
      <c r="M128"/>
      <c r="N128"/>
      <c r="O128"/>
    </row>
    <row r="129" spans="1:15" x14ac:dyDescent="0.3">
      <c r="A129" s="7">
        <v>4530</v>
      </c>
      <c r="B129">
        <v>13</v>
      </c>
      <c r="C129">
        <v>50</v>
      </c>
      <c r="D129">
        <v>1</v>
      </c>
      <c r="E129" t="s">
        <v>15</v>
      </c>
      <c r="F129" s="10">
        <f t="shared" si="6"/>
        <v>589</v>
      </c>
      <c r="G129" s="14">
        <f t="shared" si="7"/>
        <v>2265</v>
      </c>
      <c r="H129" s="7">
        <f t="shared" si="8"/>
        <v>4666</v>
      </c>
      <c r="I129" s="10">
        <f t="shared" si="9"/>
        <v>7384</v>
      </c>
      <c r="J129">
        <f t="shared" si="10"/>
        <v>0</v>
      </c>
      <c r="K129">
        <f t="shared" si="11"/>
        <v>0</v>
      </c>
      <c r="M129"/>
      <c r="N129"/>
      <c r="O129"/>
    </row>
    <row r="130" spans="1:15" x14ac:dyDescent="0.3">
      <c r="A130" s="7">
        <v>5210</v>
      </c>
      <c r="B130">
        <v>14</v>
      </c>
      <c r="C130">
        <v>25</v>
      </c>
      <c r="D130">
        <v>1</v>
      </c>
      <c r="E130" t="s">
        <v>17</v>
      </c>
      <c r="F130" s="10">
        <f t="shared" si="6"/>
        <v>730</v>
      </c>
      <c r="G130" s="14">
        <f t="shared" si="7"/>
        <v>1302.5</v>
      </c>
      <c r="H130" s="7">
        <f t="shared" si="8"/>
        <v>4666</v>
      </c>
      <c r="I130" s="10">
        <f t="shared" si="9"/>
        <v>7242.5</v>
      </c>
      <c r="J130">
        <f t="shared" si="10"/>
        <v>0</v>
      </c>
      <c r="K130">
        <f t="shared" si="11"/>
        <v>0</v>
      </c>
      <c r="M130"/>
      <c r="N130"/>
      <c r="O130"/>
    </row>
    <row r="131" spans="1:15" x14ac:dyDescent="0.3">
      <c r="A131" s="7">
        <v>746</v>
      </c>
      <c r="B131">
        <v>13</v>
      </c>
      <c r="C131">
        <v>25</v>
      </c>
      <c r="D131">
        <v>8</v>
      </c>
      <c r="E131" t="s">
        <v>15</v>
      </c>
      <c r="F131" s="10">
        <f t="shared" ref="F131:F194" si="12">ROUNDUP(0.01*B131*A131,0)</f>
        <v>97</v>
      </c>
      <c r="G131" s="14">
        <f t="shared" ref="G131:G194" si="13">ROUND(C131/100*A131,2)</f>
        <v>186.5</v>
      </c>
      <c r="H131" s="7">
        <f t="shared" ref="H131:H194" si="14">ROUND(4666/D131:D630,2)</f>
        <v>583.25</v>
      </c>
      <c r="I131" s="10">
        <f t="shared" ref="I131:I194" si="15">G131+A131+F131</f>
        <v>1029.5</v>
      </c>
      <c r="J131">
        <f t="shared" ref="J131:J194" si="16">IF(H131&gt;I131,1,0)</f>
        <v>0</v>
      </c>
      <c r="K131">
        <f t="shared" ref="K131:K194" si="17">IF(J131=1,H131-I131,0)</f>
        <v>0</v>
      </c>
      <c r="M131"/>
      <c r="N131"/>
      <c r="O131"/>
    </row>
    <row r="132" spans="1:15" x14ac:dyDescent="0.3">
      <c r="A132" s="7">
        <v>658</v>
      </c>
      <c r="B132">
        <v>1</v>
      </c>
      <c r="C132">
        <v>45</v>
      </c>
      <c r="D132">
        <v>10</v>
      </c>
      <c r="E132" t="s">
        <v>20</v>
      </c>
      <c r="F132" s="10">
        <f t="shared" si="12"/>
        <v>7</v>
      </c>
      <c r="G132" s="14">
        <f t="shared" si="13"/>
        <v>296.10000000000002</v>
      </c>
      <c r="H132" s="7">
        <f t="shared" si="14"/>
        <v>466.6</v>
      </c>
      <c r="I132" s="10">
        <f t="shared" si="15"/>
        <v>961.1</v>
      </c>
      <c r="J132">
        <f t="shared" si="16"/>
        <v>0</v>
      </c>
      <c r="K132">
        <f t="shared" si="17"/>
        <v>0</v>
      </c>
      <c r="M132"/>
      <c r="N132"/>
      <c r="O132"/>
    </row>
    <row r="133" spans="1:15" x14ac:dyDescent="0.3">
      <c r="A133" s="7">
        <v>905</v>
      </c>
      <c r="B133">
        <v>5</v>
      </c>
      <c r="C133">
        <v>15</v>
      </c>
      <c r="D133">
        <v>4</v>
      </c>
      <c r="E133" t="s">
        <v>16</v>
      </c>
      <c r="F133" s="10">
        <f t="shared" si="12"/>
        <v>46</v>
      </c>
      <c r="G133" s="14">
        <f t="shared" si="13"/>
        <v>135.75</v>
      </c>
      <c r="H133" s="7">
        <f t="shared" si="14"/>
        <v>1166.5</v>
      </c>
      <c r="I133" s="10">
        <f t="shared" si="15"/>
        <v>1086.75</v>
      </c>
      <c r="J133">
        <f t="shared" si="16"/>
        <v>1</v>
      </c>
      <c r="K133">
        <f t="shared" si="17"/>
        <v>79.75</v>
      </c>
      <c r="M133"/>
      <c r="N133"/>
      <c r="O133"/>
    </row>
    <row r="134" spans="1:15" x14ac:dyDescent="0.3">
      <c r="A134" s="7">
        <v>563</v>
      </c>
      <c r="B134">
        <v>3</v>
      </c>
      <c r="C134">
        <v>10</v>
      </c>
      <c r="D134">
        <v>9</v>
      </c>
      <c r="E134" t="s">
        <v>16</v>
      </c>
      <c r="F134" s="10">
        <f t="shared" si="12"/>
        <v>17</v>
      </c>
      <c r="G134" s="14">
        <f t="shared" si="13"/>
        <v>56.3</v>
      </c>
      <c r="H134" s="7">
        <f t="shared" si="14"/>
        <v>518.44000000000005</v>
      </c>
      <c r="I134" s="10">
        <f t="shared" si="15"/>
        <v>636.29999999999995</v>
      </c>
      <c r="J134">
        <f t="shared" si="16"/>
        <v>0</v>
      </c>
      <c r="K134">
        <f t="shared" si="17"/>
        <v>0</v>
      </c>
      <c r="M134"/>
      <c r="N134"/>
      <c r="O134"/>
    </row>
    <row r="135" spans="1:15" x14ac:dyDescent="0.3">
      <c r="A135" s="7">
        <v>3620</v>
      </c>
      <c r="B135">
        <v>16</v>
      </c>
      <c r="C135">
        <v>40</v>
      </c>
      <c r="D135">
        <v>1</v>
      </c>
      <c r="E135" t="s">
        <v>17</v>
      </c>
      <c r="F135" s="10">
        <f t="shared" si="12"/>
        <v>580</v>
      </c>
      <c r="G135" s="14">
        <f t="shared" si="13"/>
        <v>1448</v>
      </c>
      <c r="H135" s="7">
        <f t="shared" si="14"/>
        <v>4666</v>
      </c>
      <c r="I135" s="10">
        <f t="shared" si="15"/>
        <v>5648</v>
      </c>
      <c r="J135">
        <f t="shared" si="16"/>
        <v>0</v>
      </c>
      <c r="K135">
        <f t="shared" si="17"/>
        <v>0</v>
      </c>
      <c r="M135"/>
      <c r="N135"/>
      <c r="O135"/>
    </row>
    <row r="136" spans="1:15" x14ac:dyDescent="0.3">
      <c r="A136" s="7">
        <v>2350</v>
      </c>
      <c r="B136">
        <v>12</v>
      </c>
      <c r="C136">
        <v>35</v>
      </c>
      <c r="D136">
        <v>2</v>
      </c>
      <c r="E136" t="s">
        <v>15</v>
      </c>
      <c r="F136" s="10">
        <f t="shared" si="12"/>
        <v>282</v>
      </c>
      <c r="G136" s="14">
        <f t="shared" si="13"/>
        <v>822.5</v>
      </c>
      <c r="H136" s="7">
        <f t="shared" si="14"/>
        <v>2333</v>
      </c>
      <c r="I136" s="10">
        <f t="shared" si="15"/>
        <v>3454.5</v>
      </c>
      <c r="J136">
        <f t="shared" si="16"/>
        <v>0</v>
      </c>
      <c r="K136">
        <f t="shared" si="17"/>
        <v>0</v>
      </c>
      <c r="M136"/>
      <c r="N136"/>
      <c r="O136"/>
    </row>
    <row r="137" spans="1:15" x14ac:dyDescent="0.3">
      <c r="A137" s="7">
        <v>764</v>
      </c>
      <c r="B137">
        <v>4</v>
      </c>
      <c r="C137">
        <v>30</v>
      </c>
      <c r="D137">
        <v>8</v>
      </c>
      <c r="E137" t="s">
        <v>15</v>
      </c>
      <c r="F137" s="10">
        <f t="shared" si="12"/>
        <v>31</v>
      </c>
      <c r="G137" s="14">
        <f t="shared" si="13"/>
        <v>229.2</v>
      </c>
      <c r="H137" s="7">
        <f t="shared" si="14"/>
        <v>583.25</v>
      </c>
      <c r="I137" s="10">
        <f t="shared" si="15"/>
        <v>1024.2</v>
      </c>
      <c r="J137">
        <f t="shared" si="16"/>
        <v>0</v>
      </c>
      <c r="K137">
        <f t="shared" si="17"/>
        <v>0</v>
      </c>
      <c r="M137"/>
      <c r="N137"/>
      <c r="O137"/>
    </row>
    <row r="138" spans="1:15" x14ac:dyDescent="0.3">
      <c r="A138" s="7">
        <v>406</v>
      </c>
      <c r="B138">
        <v>10</v>
      </c>
      <c r="C138">
        <v>10</v>
      </c>
      <c r="D138">
        <v>10</v>
      </c>
      <c r="E138" t="s">
        <v>17</v>
      </c>
      <c r="F138" s="10">
        <f t="shared" si="12"/>
        <v>41</v>
      </c>
      <c r="G138" s="14">
        <f t="shared" si="13"/>
        <v>40.6</v>
      </c>
      <c r="H138" s="7">
        <f t="shared" si="14"/>
        <v>466.6</v>
      </c>
      <c r="I138" s="10">
        <f t="shared" si="15"/>
        <v>487.6</v>
      </c>
      <c r="J138">
        <f t="shared" si="16"/>
        <v>0</v>
      </c>
      <c r="K138">
        <f t="shared" si="17"/>
        <v>0</v>
      </c>
      <c r="M138"/>
      <c r="N138"/>
      <c r="O138"/>
    </row>
    <row r="139" spans="1:15" x14ac:dyDescent="0.3">
      <c r="A139" s="7">
        <v>1123</v>
      </c>
      <c r="B139">
        <v>0</v>
      </c>
      <c r="C139">
        <v>25</v>
      </c>
      <c r="D139">
        <v>3</v>
      </c>
      <c r="E139" t="s">
        <v>16</v>
      </c>
      <c r="F139" s="10">
        <f t="shared" si="12"/>
        <v>0</v>
      </c>
      <c r="G139" s="14">
        <f t="shared" si="13"/>
        <v>280.75</v>
      </c>
      <c r="H139" s="7">
        <f t="shared" si="14"/>
        <v>1555.33</v>
      </c>
      <c r="I139" s="10">
        <f t="shared" si="15"/>
        <v>1403.75</v>
      </c>
      <c r="J139">
        <f t="shared" si="16"/>
        <v>1</v>
      </c>
      <c r="K139">
        <f t="shared" si="17"/>
        <v>151.57999999999993</v>
      </c>
      <c r="M139"/>
      <c r="N139"/>
      <c r="O139"/>
    </row>
    <row r="140" spans="1:15" x14ac:dyDescent="0.3">
      <c r="A140" s="7">
        <v>1463</v>
      </c>
      <c r="B140">
        <v>9</v>
      </c>
      <c r="C140">
        <v>15</v>
      </c>
      <c r="D140">
        <v>4</v>
      </c>
      <c r="E140" t="s">
        <v>18</v>
      </c>
      <c r="F140" s="10">
        <f t="shared" si="12"/>
        <v>132</v>
      </c>
      <c r="G140" s="14">
        <f t="shared" si="13"/>
        <v>219.45</v>
      </c>
      <c r="H140" s="7">
        <f t="shared" si="14"/>
        <v>1166.5</v>
      </c>
      <c r="I140" s="10">
        <f t="shared" si="15"/>
        <v>1814.45</v>
      </c>
      <c r="J140">
        <f t="shared" si="16"/>
        <v>0</v>
      </c>
      <c r="K140">
        <f t="shared" si="17"/>
        <v>0</v>
      </c>
      <c r="M140"/>
      <c r="N140"/>
      <c r="O140"/>
    </row>
    <row r="141" spans="1:15" x14ac:dyDescent="0.3">
      <c r="A141" s="7">
        <v>724</v>
      </c>
      <c r="B141">
        <v>20</v>
      </c>
      <c r="C141">
        <v>30</v>
      </c>
      <c r="D141">
        <v>7</v>
      </c>
      <c r="E141" t="s">
        <v>19</v>
      </c>
      <c r="F141" s="10">
        <f t="shared" si="12"/>
        <v>145</v>
      </c>
      <c r="G141" s="14">
        <f t="shared" si="13"/>
        <v>217.2</v>
      </c>
      <c r="H141" s="7">
        <f t="shared" si="14"/>
        <v>666.57</v>
      </c>
      <c r="I141" s="10">
        <f t="shared" si="15"/>
        <v>1086.2</v>
      </c>
      <c r="J141">
        <f t="shared" si="16"/>
        <v>0</v>
      </c>
      <c r="K141">
        <f t="shared" si="17"/>
        <v>0</v>
      </c>
      <c r="M141"/>
      <c r="N141"/>
      <c r="O141"/>
    </row>
    <row r="142" spans="1:15" x14ac:dyDescent="0.3">
      <c r="A142" s="7">
        <v>550</v>
      </c>
      <c r="B142">
        <v>17</v>
      </c>
      <c r="C142">
        <v>30</v>
      </c>
      <c r="D142">
        <v>10</v>
      </c>
      <c r="E142" t="s">
        <v>18</v>
      </c>
      <c r="F142" s="10">
        <f t="shared" si="12"/>
        <v>94</v>
      </c>
      <c r="G142" s="14">
        <f t="shared" si="13"/>
        <v>165</v>
      </c>
      <c r="H142" s="7">
        <f t="shared" si="14"/>
        <v>466.6</v>
      </c>
      <c r="I142" s="10">
        <f t="shared" si="15"/>
        <v>809</v>
      </c>
      <c r="J142">
        <f t="shared" si="16"/>
        <v>0</v>
      </c>
      <c r="K142">
        <f t="shared" si="17"/>
        <v>0</v>
      </c>
      <c r="M142"/>
      <c r="N142"/>
      <c r="O142"/>
    </row>
    <row r="143" spans="1:15" x14ac:dyDescent="0.3">
      <c r="A143" s="7">
        <v>1807</v>
      </c>
      <c r="B143">
        <v>19</v>
      </c>
      <c r="C143">
        <v>50</v>
      </c>
      <c r="D143">
        <v>3</v>
      </c>
      <c r="E143" t="s">
        <v>19</v>
      </c>
      <c r="F143" s="10">
        <f t="shared" si="12"/>
        <v>344</v>
      </c>
      <c r="G143" s="14">
        <f t="shared" si="13"/>
        <v>903.5</v>
      </c>
      <c r="H143" s="7">
        <f t="shared" si="14"/>
        <v>1555.33</v>
      </c>
      <c r="I143" s="10">
        <f t="shared" si="15"/>
        <v>3054.5</v>
      </c>
      <c r="J143">
        <f t="shared" si="16"/>
        <v>0</v>
      </c>
      <c r="K143">
        <f t="shared" si="17"/>
        <v>0</v>
      </c>
      <c r="M143"/>
      <c r="N143"/>
      <c r="O143"/>
    </row>
    <row r="144" spans="1:15" x14ac:dyDescent="0.3">
      <c r="A144" s="7">
        <v>1160</v>
      </c>
      <c r="B144">
        <v>5</v>
      </c>
      <c r="C144">
        <v>10</v>
      </c>
      <c r="D144">
        <v>3</v>
      </c>
      <c r="E144" t="s">
        <v>21</v>
      </c>
      <c r="F144" s="10">
        <f t="shared" si="12"/>
        <v>58</v>
      </c>
      <c r="G144" s="14">
        <f t="shared" si="13"/>
        <v>116</v>
      </c>
      <c r="H144" s="7">
        <f t="shared" si="14"/>
        <v>1555.33</v>
      </c>
      <c r="I144" s="10">
        <f t="shared" si="15"/>
        <v>1334</v>
      </c>
      <c r="J144">
        <f t="shared" si="16"/>
        <v>1</v>
      </c>
      <c r="K144">
        <f t="shared" si="17"/>
        <v>221.32999999999993</v>
      </c>
      <c r="M144"/>
      <c r="N144"/>
      <c r="O144"/>
    </row>
    <row r="145" spans="1:15" x14ac:dyDescent="0.3">
      <c r="A145" s="7">
        <v>597</v>
      </c>
      <c r="B145">
        <v>2</v>
      </c>
      <c r="C145">
        <v>20</v>
      </c>
      <c r="D145">
        <v>7</v>
      </c>
      <c r="E145" t="s">
        <v>18</v>
      </c>
      <c r="F145" s="10">
        <f t="shared" si="12"/>
        <v>12</v>
      </c>
      <c r="G145" s="14">
        <f t="shared" si="13"/>
        <v>119.4</v>
      </c>
      <c r="H145" s="7">
        <f t="shared" si="14"/>
        <v>666.57</v>
      </c>
      <c r="I145" s="10">
        <f t="shared" si="15"/>
        <v>728.4</v>
      </c>
      <c r="J145">
        <f t="shared" si="16"/>
        <v>0</v>
      </c>
      <c r="K145">
        <f t="shared" si="17"/>
        <v>0</v>
      </c>
      <c r="M145"/>
      <c r="N145"/>
      <c r="O145"/>
    </row>
    <row r="146" spans="1:15" x14ac:dyDescent="0.3">
      <c r="A146" s="7">
        <v>1270</v>
      </c>
      <c r="B146">
        <v>12</v>
      </c>
      <c r="C146">
        <v>35</v>
      </c>
      <c r="D146">
        <v>5</v>
      </c>
      <c r="E146" t="s">
        <v>21</v>
      </c>
      <c r="F146" s="10">
        <f t="shared" si="12"/>
        <v>153</v>
      </c>
      <c r="G146" s="14">
        <f t="shared" si="13"/>
        <v>444.5</v>
      </c>
      <c r="H146" s="7">
        <f t="shared" si="14"/>
        <v>933.2</v>
      </c>
      <c r="I146" s="10">
        <f t="shared" si="15"/>
        <v>1867.5</v>
      </c>
      <c r="J146">
        <f t="shared" si="16"/>
        <v>0</v>
      </c>
      <c r="K146">
        <f t="shared" si="17"/>
        <v>0</v>
      </c>
      <c r="M146"/>
      <c r="N146"/>
      <c r="O146"/>
    </row>
    <row r="147" spans="1:15" x14ac:dyDescent="0.3">
      <c r="A147" s="7">
        <v>6590</v>
      </c>
      <c r="B147">
        <v>20</v>
      </c>
      <c r="C147">
        <v>45</v>
      </c>
      <c r="D147">
        <v>1</v>
      </c>
      <c r="E147" t="s">
        <v>19</v>
      </c>
      <c r="F147" s="10">
        <f t="shared" si="12"/>
        <v>1318</v>
      </c>
      <c r="G147" s="14">
        <f t="shared" si="13"/>
        <v>2965.5</v>
      </c>
      <c r="H147" s="7">
        <f t="shared" si="14"/>
        <v>4666</v>
      </c>
      <c r="I147" s="10">
        <f t="shared" si="15"/>
        <v>10873.5</v>
      </c>
      <c r="J147">
        <f t="shared" si="16"/>
        <v>0</v>
      </c>
      <c r="K147">
        <f t="shared" si="17"/>
        <v>0</v>
      </c>
      <c r="M147"/>
      <c r="N147"/>
      <c r="O147"/>
    </row>
    <row r="148" spans="1:15" x14ac:dyDescent="0.3">
      <c r="A148" s="7">
        <v>1056</v>
      </c>
      <c r="B148">
        <v>17</v>
      </c>
      <c r="C148">
        <v>50</v>
      </c>
      <c r="D148">
        <v>5</v>
      </c>
      <c r="E148" t="s">
        <v>15</v>
      </c>
      <c r="F148" s="10">
        <f t="shared" si="12"/>
        <v>180</v>
      </c>
      <c r="G148" s="14">
        <f t="shared" si="13"/>
        <v>528</v>
      </c>
      <c r="H148" s="7">
        <f t="shared" si="14"/>
        <v>933.2</v>
      </c>
      <c r="I148" s="10">
        <f t="shared" si="15"/>
        <v>1764</v>
      </c>
      <c r="J148">
        <f t="shared" si="16"/>
        <v>0</v>
      </c>
      <c r="K148">
        <f t="shared" si="17"/>
        <v>0</v>
      </c>
      <c r="M148"/>
      <c r="N148"/>
      <c r="O148"/>
    </row>
    <row r="149" spans="1:15" x14ac:dyDescent="0.3">
      <c r="A149" s="7">
        <v>6560</v>
      </c>
      <c r="B149">
        <v>7</v>
      </c>
      <c r="C149">
        <v>50</v>
      </c>
      <c r="D149">
        <v>1</v>
      </c>
      <c r="E149" t="s">
        <v>20</v>
      </c>
      <c r="F149" s="10">
        <f t="shared" si="12"/>
        <v>460</v>
      </c>
      <c r="G149" s="14">
        <f t="shared" si="13"/>
        <v>3280</v>
      </c>
      <c r="H149" s="7">
        <f t="shared" si="14"/>
        <v>4666</v>
      </c>
      <c r="I149" s="10">
        <f t="shared" si="15"/>
        <v>10300</v>
      </c>
      <c r="J149">
        <f t="shared" si="16"/>
        <v>0</v>
      </c>
      <c r="K149">
        <f t="shared" si="17"/>
        <v>0</v>
      </c>
      <c r="M149"/>
      <c r="N149"/>
      <c r="O149"/>
    </row>
    <row r="150" spans="1:15" x14ac:dyDescent="0.3">
      <c r="A150" s="7">
        <v>492</v>
      </c>
      <c r="B150">
        <v>16</v>
      </c>
      <c r="C150">
        <v>0</v>
      </c>
      <c r="D150">
        <v>10</v>
      </c>
      <c r="E150" t="s">
        <v>17</v>
      </c>
      <c r="F150" s="10">
        <f t="shared" si="12"/>
        <v>79</v>
      </c>
      <c r="G150" s="14">
        <f t="shared" si="13"/>
        <v>0</v>
      </c>
      <c r="H150" s="7">
        <f t="shared" si="14"/>
        <v>466.6</v>
      </c>
      <c r="I150" s="10">
        <f t="shared" si="15"/>
        <v>571</v>
      </c>
      <c r="J150">
        <f t="shared" si="16"/>
        <v>0</v>
      </c>
      <c r="K150">
        <f t="shared" si="17"/>
        <v>0</v>
      </c>
      <c r="M150"/>
      <c r="N150"/>
      <c r="O150"/>
    </row>
    <row r="151" spans="1:15" x14ac:dyDescent="0.3">
      <c r="A151" s="7">
        <v>3075</v>
      </c>
      <c r="B151">
        <v>16</v>
      </c>
      <c r="C151">
        <v>15</v>
      </c>
      <c r="D151">
        <v>2</v>
      </c>
      <c r="E151" t="s">
        <v>21</v>
      </c>
      <c r="F151" s="10">
        <f t="shared" si="12"/>
        <v>492</v>
      </c>
      <c r="G151" s="14">
        <f t="shared" si="13"/>
        <v>461.25</v>
      </c>
      <c r="H151" s="7">
        <f t="shared" si="14"/>
        <v>2333</v>
      </c>
      <c r="I151" s="10">
        <f t="shared" si="15"/>
        <v>4028.25</v>
      </c>
      <c r="J151">
        <f t="shared" si="16"/>
        <v>0</v>
      </c>
      <c r="K151">
        <f t="shared" si="17"/>
        <v>0</v>
      </c>
      <c r="M151"/>
      <c r="N151"/>
      <c r="O151"/>
    </row>
    <row r="152" spans="1:15" x14ac:dyDescent="0.3">
      <c r="A152" s="7">
        <v>920</v>
      </c>
      <c r="B152">
        <v>7</v>
      </c>
      <c r="C152">
        <v>0</v>
      </c>
      <c r="D152">
        <v>4</v>
      </c>
      <c r="E152" t="s">
        <v>21</v>
      </c>
      <c r="F152" s="10">
        <f t="shared" si="12"/>
        <v>65</v>
      </c>
      <c r="G152" s="14">
        <f t="shared" si="13"/>
        <v>0</v>
      </c>
      <c r="H152" s="7">
        <f t="shared" si="14"/>
        <v>1166.5</v>
      </c>
      <c r="I152" s="10">
        <f t="shared" si="15"/>
        <v>985</v>
      </c>
      <c r="J152">
        <f t="shared" si="16"/>
        <v>1</v>
      </c>
      <c r="K152">
        <f t="shared" si="17"/>
        <v>181.5</v>
      </c>
      <c r="M152"/>
      <c r="N152"/>
      <c r="O152"/>
    </row>
    <row r="153" spans="1:15" x14ac:dyDescent="0.3">
      <c r="A153" s="7">
        <v>637</v>
      </c>
      <c r="B153">
        <v>17</v>
      </c>
      <c r="C153">
        <v>35</v>
      </c>
      <c r="D153">
        <v>10</v>
      </c>
      <c r="E153" t="s">
        <v>16</v>
      </c>
      <c r="F153" s="10">
        <f t="shared" si="12"/>
        <v>109</v>
      </c>
      <c r="G153" s="14">
        <f t="shared" si="13"/>
        <v>222.95</v>
      </c>
      <c r="H153" s="7">
        <f t="shared" si="14"/>
        <v>466.6</v>
      </c>
      <c r="I153" s="10">
        <f t="shared" si="15"/>
        <v>968.95</v>
      </c>
      <c r="J153">
        <f t="shared" si="16"/>
        <v>0</v>
      </c>
      <c r="K153">
        <f t="shared" si="17"/>
        <v>0</v>
      </c>
      <c r="M153"/>
      <c r="N153"/>
      <c r="O153"/>
    </row>
    <row r="154" spans="1:15" x14ac:dyDescent="0.3">
      <c r="A154" s="7">
        <v>5260</v>
      </c>
      <c r="B154">
        <v>16</v>
      </c>
      <c r="C154">
        <v>5</v>
      </c>
      <c r="D154">
        <v>1</v>
      </c>
      <c r="E154" t="s">
        <v>20</v>
      </c>
      <c r="F154" s="10">
        <f t="shared" si="12"/>
        <v>842</v>
      </c>
      <c r="G154" s="14">
        <f t="shared" si="13"/>
        <v>263</v>
      </c>
      <c r="H154" s="7">
        <f t="shared" si="14"/>
        <v>4666</v>
      </c>
      <c r="I154" s="10">
        <f t="shared" si="15"/>
        <v>6365</v>
      </c>
      <c r="J154">
        <f t="shared" si="16"/>
        <v>0</v>
      </c>
      <c r="K154">
        <f t="shared" si="17"/>
        <v>0</v>
      </c>
      <c r="M154"/>
      <c r="N154"/>
      <c r="O154"/>
    </row>
    <row r="155" spans="1:15" x14ac:dyDescent="0.3">
      <c r="A155" s="7">
        <v>6400</v>
      </c>
      <c r="B155">
        <v>6</v>
      </c>
      <c r="C155">
        <v>10</v>
      </c>
      <c r="D155">
        <v>1</v>
      </c>
      <c r="E155" t="s">
        <v>20</v>
      </c>
      <c r="F155" s="10">
        <f t="shared" si="12"/>
        <v>384</v>
      </c>
      <c r="G155" s="14">
        <f t="shared" si="13"/>
        <v>640</v>
      </c>
      <c r="H155" s="7">
        <f t="shared" si="14"/>
        <v>4666</v>
      </c>
      <c r="I155" s="10">
        <f t="shared" si="15"/>
        <v>7424</v>
      </c>
      <c r="J155">
        <f t="shared" si="16"/>
        <v>0</v>
      </c>
      <c r="K155">
        <f t="shared" si="17"/>
        <v>0</v>
      </c>
      <c r="M155"/>
      <c r="N155"/>
      <c r="O155"/>
    </row>
    <row r="156" spans="1:15" x14ac:dyDescent="0.3">
      <c r="A156" s="7">
        <v>1274</v>
      </c>
      <c r="B156">
        <v>4</v>
      </c>
      <c r="C156">
        <v>5</v>
      </c>
      <c r="D156">
        <v>5</v>
      </c>
      <c r="E156" t="s">
        <v>19</v>
      </c>
      <c r="F156" s="10">
        <f t="shared" si="12"/>
        <v>51</v>
      </c>
      <c r="G156" s="14">
        <f t="shared" si="13"/>
        <v>63.7</v>
      </c>
      <c r="H156" s="7">
        <f t="shared" si="14"/>
        <v>933.2</v>
      </c>
      <c r="I156" s="10">
        <f t="shared" si="15"/>
        <v>1388.7</v>
      </c>
      <c r="J156">
        <f t="shared" si="16"/>
        <v>0</v>
      </c>
      <c r="K156">
        <f t="shared" si="17"/>
        <v>0</v>
      </c>
      <c r="M156"/>
      <c r="N156"/>
      <c r="O156"/>
    </row>
    <row r="157" spans="1:15" x14ac:dyDescent="0.3">
      <c r="A157" s="7">
        <v>358</v>
      </c>
      <c r="B157">
        <v>7</v>
      </c>
      <c r="C157">
        <v>20</v>
      </c>
      <c r="D157">
        <v>10</v>
      </c>
      <c r="E157" t="s">
        <v>21</v>
      </c>
      <c r="F157" s="10">
        <f t="shared" si="12"/>
        <v>26</v>
      </c>
      <c r="G157" s="14">
        <f t="shared" si="13"/>
        <v>71.599999999999994</v>
      </c>
      <c r="H157" s="7">
        <f t="shared" si="14"/>
        <v>466.6</v>
      </c>
      <c r="I157" s="10">
        <f t="shared" si="15"/>
        <v>455.6</v>
      </c>
      <c r="J157">
        <f t="shared" si="16"/>
        <v>1</v>
      </c>
      <c r="K157">
        <f t="shared" si="17"/>
        <v>11</v>
      </c>
      <c r="M157"/>
      <c r="N157"/>
      <c r="O157"/>
    </row>
    <row r="158" spans="1:15" x14ac:dyDescent="0.3">
      <c r="A158" s="7">
        <v>6790</v>
      </c>
      <c r="B158">
        <v>13</v>
      </c>
      <c r="C158">
        <v>45</v>
      </c>
      <c r="D158">
        <v>1</v>
      </c>
      <c r="E158" t="s">
        <v>19</v>
      </c>
      <c r="F158" s="10">
        <f t="shared" si="12"/>
        <v>883</v>
      </c>
      <c r="G158" s="14">
        <f t="shared" si="13"/>
        <v>3055.5</v>
      </c>
      <c r="H158" s="7">
        <f t="shared" si="14"/>
        <v>4666</v>
      </c>
      <c r="I158" s="10">
        <f t="shared" si="15"/>
        <v>10728.5</v>
      </c>
      <c r="J158">
        <f t="shared" si="16"/>
        <v>0</v>
      </c>
      <c r="K158">
        <f t="shared" si="17"/>
        <v>0</v>
      </c>
      <c r="M158"/>
      <c r="N158"/>
      <c r="O158"/>
    </row>
    <row r="159" spans="1:15" x14ac:dyDescent="0.3">
      <c r="A159" s="7">
        <v>1010</v>
      </c>
      <c r="B159">
        <v>6</v>
      </c>
      <c r="C159">
        <v>25</v>
      </c>
      <c r="D159">
        <v>3</v>
      </c>
      <c r="E159" t="s">
        <v>15</v>
      </c>
      <c r="F159" s="10">
        <f t="shared" si="12"/>
        <v>61</v>
      </c>
      <c r="G159" s="14">
        <f t="shared" si="13"/>
        <v>252.5</v>
      </c>
      <c r="H159" s="7">
        <f t="shared" si="14"/>
        <v>1555.33</v>
      </c>
      <c r="I159" s="10">
        <f t="shared" si="15"/>
        <v>1323.5</v>
      </c>
      <c r="J159">
        <f t="shared" si="16"/>
        <v>1</v>
      </c>
      <c r="K159">
        <f t="shared" si="17"/>
        <v>231.82999999999993</v>
      </c>
      <c r="M159"/>
      <c r="N159"/>
      <c r="O159"/>
    </row>
    <row r="160" spans="1:15" x14ac:dyDescent="0.3">
      <c r="A160" s="7">
        <v>5100</v>
      </c>
      <c r="B160">
        <v>13</v>
      </c>
      <c r="C160">
        <v>45</v>
      </c>
      <c r="D160">
        <v>1</v>
      </c>
      <c r="E160" t="s">
        <v>20</v>
      </c>
      <c r="F160" s="10">
        <f t="shared" si="12"/>
        <v>663</v>
      </c>
      <c r="G160" s="14">
        <f t="shared" si="13"/>
        <v>2295</v>
      </c>
      <c r="H160" s="7">
        <f t="shared" si="14"/>
        <v>4666</v>
      </c>
      <c r="I160" s="10">
        <f t="shared" si="15"/>
        <v>8058</v>
      </c>
      <c r="J160">
        <f t="shared" si="16"/>
        <v>0</v>
      </c>
      <c r="K160">
        <f t="shared" si="17"/>
        <v>0</v>
      </c>
      <c r="M160"/>
      <c r="N160"/>
      <c r="O160"/>
    </row>
    <row r="161" spans="1:15" x14ac:dyDescent="0.3">
      <c r="A161" s="7">
        <v>447</v>
      </c>
      <c r="B161">
        <v>12</v>
      </c>
      <c r="C161">
        <v>25</v>
      </c>
      <c r="D161">
        <v>9</v>
      </c>
      <c r="E161" t="s">
        <v>19</v>
      </c>
      <c r="F161" s="10">
        <f t="shared" si="12"/>
        <v>54</v>
      </c>
      <c r="G161" s="14">
        <f t="shared" si="13"/>
        <v>111.75</v>
      </c>
      <c r="H161" s="7">
        <f t="shared" si="14"/>
        <v>518.44000000000005</v>
      </c>
      <c r="I161" s="10">
        <f t="shared" si="15"/>
        <v>612.75</v>
      </c>
      <c r="J161">
        <f t="shared" si="16"/>
        <v>0</v>
      </c>
      <c r="K161">
        <f t="shared" si="17"/>
        <v>0</v>
      </c>
      <c r="M161"/>
      <c r="N161"/>
      <c r="O161"/>
    </row>
    <row r="162" spans="1:15" x14ac:dyDescent="0.3">
      <c r="A162" s="7">
        <v>3790</v>
      </c>
      <c r="B162">
        <v>2</v>
      </c>
      <c r="C162">
        <v>40</v>
      </c>
      <c r="D162">
        <v>1</v>
      </c>
      <c r="E162" t="s">
        <v>17</v>
      </c>
      <c r="F162" s="10">
        <f t="shared" si="12"/>
        <v>76</v>
      </c>
      <c r="G162" s="14">
        <f t="shared" si="13"/>
        <v>1516</v>
      </c>
      <c r="H162" s="7">
        <f t="shared" si="14"/>
        <v>4666</v>
      </c>
      <c r="I162" s="10">
        <f t="shared" si="15"/>
        <v>5382</v>
      </c>
      <c r="J162">
        <f t="shared" si="16"/>
        <v>0</v>
      </c>
      <c r="K162">
        <f t="shared" si="17"/>
        <v>0</v>
      </c>
      <c r="M162"/>
      <c r="N162"/>
      <c r="O162"/>
    </row>
    <row r="163" spans="1:15" x14ac:dyDescent="0.3">
      <c r="A163" s="7">
        <v>1320</v>
      </c>
      <c r="B163">
        <v>18</v>
      </c>
      <c r="C163">
        <v>25</v>
      </c>
      <c r="D163">
        <v>5</v>
      </c>
      <c r="E163" t="s">
        <v>20</v>
      </c>
      <c r="F163" s="10">
        <f t="shared" si="12"/>
        <v>238</v>
      </c>
      <c r="G163" s="14">
        <f t="shared" si="13"/>
        <v>330</v>
      </c>
      <c r="H163" s="7">
        <f t="shared" si="14"/>
        <v>933.2</v>
      </c>
      <c r="I163" s="10">
        <f t="shared" si="15"/>
        <v>1888</v>
      </c>
      <c r="J163">
        <f t="shared" si="16"/>
        <v>0</v>
      </c>
      <c r="K163">
        <f t="shared" si="17"/>
        <v>0</v>
      </c>
      <c r="M163"/>
      <c r="N163"/>
      <c r="O163"/>
    </row>
    <row r="164" spans="1:15" x14ac:dyDescent="0.3">
      <c r="A164" s="7">
        <v>808</v>
      </c>
      <c r="B164">
        <v>7</v>
      </c>
      <c r="C164">
        <v>45</v>
      </c>
      <c r="D164">
        <v>6</v>
      </c>
      <c r="E164" t="s">
        <v>20</v>
      </c>
      <c r="F164" s="10">
        <f t="shared" si="12"/>
        <v>57</v>
      </c>
      <c r="G164" s="14">
        <f t="shared" si="13"/>
        <v>363.6</v>
      </c>
      <c r="H164" s="7">
        <f t="shared" si="14"/>
        <v>777.67</v>
      </c>
      <c r="I164" s="10">
        <f t="shared" si="15"/>
        <v>1228.5999999999999</v>
      </c>
      <c r="J164">
        <f t="shared" si="16"/>
        <v>0</v>
      </c>
      <c r="K164">
        <f t="shared" si="17"/>
        <v>0</v>
      </c>
      <c r="M164"/>
      <c r="N164"/>
      <c r="O164"/>
    </row>
    <row r="165" spans="1:15" x14ac:dyDescent="0.3">
      <c r="A165" s="7">
        <v>1318</v>
      </c>
      <c r="B165">
        <v>16</v>
      </c>
      <c r="C165">
        <v>30</v>
      </c>
      <c r="D165">
        <v>5</v>
      </c>
      <c r="E165" t="s">
        <v>19</v>
      </c>
      <c r="F165" s="10">
        <f t="shared" si="12"/>
        <v>211</v>
      </c>
      <c r="G165" s="14">
        <f t="shared" si="13"/>
        <v>395.4</v>
      </c>
      <c r="H165" s="7">
        <f t="shared" si="14"/>
        <v>933.2</v>
      </c>
      <c r="I165" s="10">
        <f t="shared" si="15"/>
        <v>1924.4</v>
      </c>
      <c r="J165">
        <f t="shared" si="16"/>
        <v>0</v>
      </c>
      <c r="K165">
        <f t="shared" si="17"/>
        <v>0</v>
      </c>
      <c r="M165"/>
      <c r="N165"/>
      <c r="O165"/>
    </row>
    <row r="166" spans="1:15" x14ac:dyDescent="0.3">
      <c r="A166" s="7">
        <v>4690</v>
      </c>
      <c r="B166">
        <v>7</v>
      </c>
      <c r="C166">
        <v>0</v>
      </c>
      <c r="D166">
        <v>1</v>
      </c>
      <c r="E166" t="s">
        <v>21</v>
      </c>
      <c r="F166" s="10">
        <f t="shared" si="12"/>
        <v>329</v>
      </c>
      <c r="G166" s="14">
        <f t="shared" si="13"/>
        <v>0</v>
      </c>
      <c r="H166" s="7">
        <f t="shared" si="14"/>
        <v>4666</v>
      </c>
      <c r="I166" s="10">
        <f t="shared" si="15"/>
        <v>5019</v>
      </c>
      <c r="J166">
        <f t="shared" si="16"/>
        <v>0</v>
      </c>
      <c r="K166">
        <f t="shared" si="17"/>
        <v>0</v>
      </c>
      <c r="M166"/>
      <c r="N166"/>
      <c r="O166"/>
    </row>
    <row r="167" spans="1:15" x14ac:dyDescent="0.3">
      <c r="A167" s="7">
        <v>401</v>
      </c>
      <c r="B167">
        <v>4</v>
      </c>
      <c r="C167">
        <v>50</v>
      </c>
      <c r="D167">
        <v>7</v>
      </c>
      <c r="E167" t="s">
        <v>21</v>
      </c>
      <c r="F167" s="10">
        <f t="shared" si="12"/>
        <v>17</v>
      </c>
      <c r="G167" s="14">
        <f t="shared" si="13"/>
        <v>200.5</v>
      </c>
      <c r="H167" s="7">
        <f t="shared" si="14"/>
        <v>666.57</v>
      </c>
      <c r="I167" s="10">
        <f t="shared" si="15"/>
        <v>618.5</v>
      </c>
      <c r="J167">
        <f t="shared" si="16"/>
        <v>1</v>
      </c>
      <c r="K167">
        <f t="shared" si="17"/>
        <v>48.07000000000005</v>
      </c>
      <c r="M167"/>
      <c r="N167"/>
      <c r="O167"/>
    </row>
    <row r="168" spans="1:15" x14ac:dyDescent="0.3">
      <c r="A168" s="7">
        <v>420</v>
      </c>
      <c r="B168">
        <v>15</v>
      </c>
      <c r="C168">
        <v>10</v>
      </c>
      <c r="D168">
        <v>8</v>
      </c>
      <c r="E168" t="s">
        <v>19</v>
      </c>
      <c r="F168" s="10">
        <f t="shared" si="12"/>
        <v>63</v>
      </c>
      <c r="G168" s="14">
        <f t="shared" si="13"/>
        <v>42</v>
      </c>
      <c r="H168" s="7">
        <f t="shared" si="14"/>
        <v>583.25</v>
      </c>
      <c r="I168" s="10">
        <f t="shared" si="15"/>
        <v>525</v>
      </c>
      <c r="J168">
        <f t="shared" si="16"/>
        <v>1</v>
      </c>
      <c r="K168">
        <f t="shared" si="17"/>
        <v>58.25</v>
      </c>
      <c r="M168"/>
      <c r="N168"/>
      <c r="O168"/>
    </row>
    <row r="169" spans="1:15" x14ac:dyDescent="0.3">
      <c r="A169" s="7">
        <v>5490</v>
      </c>
      <c r="B169">
        <v>10</v>
      </c>
      <c r="C169">
        <v>45</v>
      </c>
      <c r="D169">
        <v>1</v>
      </c>
      <c r="E169" t="s">
        <v>17</v>
      </c>
      <c r="F169" s="10">
        <f t="shared" si="12"/>
        <v>549</v>
      </c>
      <c r="G169" s="14">
        <f t="shared" si="13"/>
        <v>2470.5</v>
      </c>
      <c r="H169" s="7">
        <f t="shared" si="14"/>
        <v>4666</v>
      </c>
      <c r="I169" s="10">
        <f t="shared" si="15"/>
        <v>8509.5</v>
      </c>
      <c r="J169">
        <f t="shared" si="16"/>
        <v>0</v>
      </c>
      <c r="K169">
        <f t="shared" si="17"/>
        <v>0</v>
      </c>
      <c r="M169"/>
      <c r="N169"/>
      <c r="O169"/>
    </row>
    <row r="170" spans="1:15" x14ac:dyDescent="0.3">
      <c r="A170" s="7">
        <v>647</v>
      </c>
      <c r="B170">
        <v>17</v>
      </c>
      <c r="C170">
        <v>10</v>
      </c>
      <c r="D170">
        <v>9</v>
      </c>
      <c r="E170" t="s">
        <v>16</v>
      </c>
      <c r="F170" s="10">
        <f t="shared" si="12"/>
        <v>110</v>
      </c>
      <c r="G170" s="14">
        <f t="shared" si="13"/>
        <v>64.7</v>
      </c>
      <c r="H170" s="7">
        <f t="shared" si="14"/>
        <v>518.44000000000005</v>
      </c>
      <c r="I170" s="10">
        <f t="shared" si="15"/>
        <v>821.7</v>
      </c>
      <c r="J170">
        <f t="shared" si="16"/>
        <v>0</v>
      </c>
      <c r="K170">
        <f t="shared" si="17"/>
        <v>0</v>
      </c>
      <c r="M170"/>
      <c r="N170"/>
      <c r="O170"/>
    </row>
    <row r="171" spans="1:15" x14ac:dyDescent="0.3">
      <c r="A171" s="7">
        <v>6240</v>
      </c>
      <c r="B171">
        <v>5</v>
      </c>
      <c r="C171">
        <v>50</v>
      </c>
      <c r="D171">
        <v>1</v>
      </c>
      <c r="E171" t="s">
        <v>17</v>
      </c>
      <c r="F171" s="10">
        <f t="shared" si="12"/>
        <v>312</v>
      </c>
      <c r="G171" s="14">
        <f t="shared" si="13"/>
        <v>3120</v>
      </c>
      <c r="H171" s="7">
        <f t="shared" si="14"/>
        <v>4666</v>
      </c>
      <c r="I171" s="10">
        <f t="shared" si="15"/>
        <v>9672</v>
      </c>
      <c r="J171">
        <f t="shared" si="16"/>
        <v>0</v>
      </c>
      <c r="K171">
        <f t="shared" si="17"/>
        <v>0</v>
      </c>
      <c r="M171"/>
      <c r="N171"/>
      <c r="O171"/>
    </row>
    <row r="172" spans="1:15" x14ac:dyDescent="0.3">
      <c r="A172" s="7">
        <v>677.1</v>
      </c>
      <c r="B172">
        <v>6</v>
      </c>
      <c r="C172">
        <v>45</v>
      </c>
      <c r="D172">
        <v>6</v>
      </c>
      <c r="E172" t="s">
        <v>17</v>
      </c>
      <c r="F172" s="10">
        <f t="shared" si="12"/>
        <v>41</v>
      </c>
      <c r="G172" s="14">
        <f t="shared" si="13"/>
        <v>304.7</v>
      </c>
      <c r="H172" s="7">
        <f t="shared" si="14"/>
        <v>777.67</v>
      </c>
      <c r="I172" s="10">
        <f t="shared" si="15"/>
        <v>1022.8</v>
      </c>
      <c r="J172">
        <f t="shared" si="16"/>
        <v>0</v>
      </c>
      <c r="K172">
        <f t="shared" si="17"/>
        <v>0</v>
      </c>
      <c r="M172"/>
      <c r="N172"/>
      <c r="O172"/>
    </row>
    <row r="173" spans="1:15" x14ac:dyDescent="0.3">
      <c r="A173" s="7">
        <v>1324</v>
      </c>
      <c r="B173">
        <v>1</v>
      </c>
      <c r="C173">
        <v>10</v>
      </c>
      <c r="D173">
        <v>5</v>
      </c>
      <c r="E173" t="s">
        <v>20</v>
      </c>
      <c r="F173" s="10">
        <f t="shared" si="12"/>
        <v>14</v>
      </c>
      <c r="G173" s="14">
        <f t="shared" si="13"/>
        <v>132.4</v>
      </c>
      <c r="H173" s="7">
        <f t="shared" si="14"/>
        <v>933.2</v>
      </c>
      <c r="I173" s="10">
        <f t="shared" si="15"/>
        <v>1470.4</v>
      </c>
      <c r="J173">
        <f t="shared" si="16"/>
        <v>0</v>
      </c>
      <c r="K173">
        <f t="shared" si="17"/>
        <v>0</v>
      </c>
      <c r="M173"/>
      <c r="N173"/>
      <c r="O173"/>
    </row>
    <row r="174" spans="1:15" x14ac:dyDescent="0.3">
      <c r="A174" s="7">
        <v>1525</v>
      </c>
      <c r="B174">
        <v>17</v>
      </c>
      <c r="C174">
        <v>20</v>
      </c>
      <c r="D174">
        <v>2</v>
      </c>
      <c r="E174" t="s">
        <v>21</v>
      </c>
      <c r="F174" s="10">
        <f t="shared" si="12"/>
        <v>260</v>
      </c>
      <c r="G174" s="14">
        <f t="shared" si="13"/>
        <v>305</v>
      </c>
      <c r="H174" s="7">
        <f t="shared" si="14"/>
        <v>2333</v>
      </c>
      <c r="I174" s="10">
        <f t="shared" si="15"/>
        <v>2090</v>
      </c>
      <c r="J174">
        <f t="shared" si="16"/>
        <v>1</v>
      </c>
      <c r="K174">
        <f t="shared" si="17"/>
        <v>243</v>
      </c>
      <c r="M174"/>
      <c r="N174"/>
      <c r="O174"/>
    </row>
    <row r="175" spans="1:15" x14ac:dyDescent="0.3">
      <c r="A175" s="7">
        <v>4090</v>
      </c>
      <c r="B175">
        <v>9</v>
      </c>
      <c r="C175">
        <v>5</v>
      </c>
      <c r="D175">
        <v>1</v>
      </c>
      <c r="E175" t="s">
        <v>16</v>
      </c>
      <c r="F175" s="10">
        <f t="shared" si="12"/>
        <v>369</v>
      </c>
      <c r="G175" s="14">
        <f t="shared" si="13"/>
        <v>204.5</v>
      </c>
      <c r="H175" s="7">
        <f t="shared" si="14"/>
        <v>4666</v>
      </c>
      <c r="I175" s="10">
        <f t="shared" si="15"/>
        <v>4663.5</v>
      </c>
      <c r="J175">
        <f t="shared" si="16"/>
        <v>1</v>
      </c>
      <c r="K175">
        <f t="shared" si="17"/>
        <v>2.5</v>
      </c>
      <c r="M175"/>
      <c r="N175"/>
      <c r="O175"/>
    </row>
    <row r="176" spans="1:15" x14ac:dyDescent="0.3">
      <c r="A176" s="7">
        <v>4050</v>
      </c>
      <c r="B176">
        <v>14</v>
      </c>
      <c r="C176">
        <v>50</v>
      </c>
      <c r="D176">
        <v>1</v>
      </c>
      <c r="E176" t="s">
        <v>17</v>
      </c>
      <c r="F176" s="10">
        <f t="shared" si="12"/>
        <v>567</v>
      </c>
      <c r="G176" s="14">
        <f t="shared" si="13"/>
        <v>2025</v>
      </c>
      <c r="H176" s="7">
        <f t="shared" si="14"/>
        <v>4666</v>
      </c>
      <c r="I176" s="10">
        <f t="shared" si="15"/>
        <v>6642</v>
      </c>
      <c r="J176">
        <f t="shared" si="16"/>
        <v>0</v>
      </c>
      <c r="K176">
        <f t="shared" si="17"/>
        <v>0</v>
      </c>
      <c r="M176"/>
      <c r="N176"/>
      <c r="O176"/>
    </row>
    <row r="177" spans="1:15" x14ac:dyDescent="0.3">
      <c r="A177" s="7">
        <v>371</v>
      </c>
      <c r="B177">
        <v>12</v>
      </c>
      <c r="C177">
        <v>50</v>
      </c>
      <c r="D177">
        <v>10</v>
      </c>
      <c r="E177" t="s">
        <v>15</v>
      </c>
      <c r="F177" s="10">
        <f t="shared" si="12"/>
        <v>45</v>
      </c>
      <c r="G177" s="14">
        <f t="shared" si="13"/>
        <v>185.5</v>
      </c>
      <c r="H177" s="7">
        <f t="shared" si="14"/>
        <v>466.6</v>
      </c>
      <c r="I177" s="10">
        <f t="shared" si="15"/>
        <v>601.5</v>
      </c>
      <c r="J177">
        <f t="shared" si="16"/>
        <v>0</v>
      </c>
      <c r="K177">
        <f t="shared" si="17"/>
        <v>0</v>
      </c>
      <c r="M177"/>
      <c r="N177"/>
      <c r="O177"/>
    </row>
    <row r="178" spans="1:15" x14ac:dyDescent="0.3">
      <c r="A178" s="7">
        <v>1014</v>
      </c>
      <c r="B178">
        <v>3</v>
      </c>
      <c r="C178">
        <v>0</v>
      </c>
      <c r="D178">
        <v>5</v>
      </c>
      <c r="E178" t="s">
        <v>16</v>
      </c>
      <c r="F178" s="10">
        <f t="shared" si="12"/>
        <v>31</v>
      </c>
      <c r="G178" s="14">
        <f t="shared" si="13"/>
        <v>0</v>
      </c>
      <c r="H178" s="7">
        <f t="shared" si="14"/>
        <v>933.2</v>
      </c>
      <c r="I178" s="10">
        <f t="shared" si="15"/>
        <v>1045</v>
      </c>
      <c r="J178">
        <f t="shared" si="16"/>
        <v>0</v>
      </c>
      <c r="K178">
        <f t="shared" si="17"/>
        <v>0</v>
      </c>
      <c r="M178"/>
      <c r="N178"/>
      <c r="O178"/>
    </row>
    <row r="179" spans="1:15" x14ac:dyDescent="0.3">
      <c r="A179" s="7">
        <v>517</v>
      </c>
      <c r="B179">
        <v>12</v>
      </c>
      <c r="C179">
        <v>15</v>
      </c>
      <c r="D179">
        <v>10</v>
      </c>
      <c r="E179" t="s">
        <v>16</v>
      </c>
      <c r="F179" s="10">
        <f t="shared" si="12"/>
        <v>63</v>
      </c>
      <c r="G179" s="14">
        <f t="shared" si="13"/>
        <v>77.55</v>
      </c>
      <c r="H179" s="7">
        <f t="shared" si="14"/>
        <v>466.6</v>
      </c>
      <c r="I179" s="10">
        <f t="shared" si="15"/>
        <v>657.55</v>
      </c>
      <c r="J179">
        <f t="shared" si="16"/>
        <v>0</v>
      </c>
      <c r="K179">
        <f t="shared" si="17"/>
        <v>0</v>
      </c>
      <c r="M179"/>
      <c r="N179"/>
      <c r="O179"/>
    </row>
    <row r="180" spans="1:15" x14ac:dyDescent="0.3">
      <c r="A180" s="7">
        <v>5340</v>
      </c>
      <c r="B180">
        <v>4</v>
      </c>
      <c r="C180">
        <v>30</v>
      </c>
      <c r="D180">
        <v>1</v>
      </c>
      <c r="E180" t="s">
        <v>16</v>
      </c>
      <c r="F180" s="10">
        <f t="shared" si="12"/>
        <v>214</v>
      </c>
      <c r="G180" s="14">
        <f t="shared" si="13"/>
        <v>1602</v>
      </c>
      <c r="H180" s="7">
        <f t="shared" si="14"/>
        <v>4666</v>
      </c>
      <c r="I180" s="10">
        <f t="shared" si="15"/>
        <v>7156</v>
      </c>
      <c r="J180">
        <f t="shared" si="16"/>
        <v>0</v>
      </c>
      <c r="K180">
        <f t="shared" si="17"/>
        <v>0</v>
      </c>
      <c r="M180"/>
      <c r="N180"/>
      <c r="O180"/>
    </row>
    <row r="181" spans="1:15" x14ac:dyDescent="0.3">
      <c r="A181" s="7">
        <v>589</v>
      </c>
      <c r="B181">
        <v>3</v>
      </c>
      <c r="C181">
        <v>15</v>
      </c>
      <c r="D181">
        <v>7</v>
      </c>
      <c r="E181" t="s">
        <v>16</v>
      </c>
      <c r="F181" s="10">
        <f t="shared" si="12"/>
        <v>18</v>
      </c>
      <c r="G181" s="14">
        <f t="shared" si="13"/>
        <v>88.35</v>
      </c>
      <c r="H181" s="7">
        <f t="shared" si="14"/>
        <v>666.57</v>
      </c>
      <c r="I181" s="10">
        <f t="shared" si="15"/>
        <v>695.35</v>
      </c>
      <c r="J181">
        <f t="shared" si="16"/>
        <v>0</v>
      </c>
      <c r="K181">
        <f t="shared" si="17"/>
        <v>0</v>
      </c>
      <c r="M181"/>
      <c r="N181"/>
      <c r="O181"/>
    </row>
    <row r="182" spans="1:15" x14ac:dyDescent="0.3">
      <c r="A182" s="7">
        <v>6900</v>
      </c>
      <c r="B182">
        <v>2</v>
      </c>
      <c r="C182">
        <v>10</v>
      </c>
      <c r="D182">
        <v>1</v>
      </c>
      <c r="E182" t="s">
        <v>19</v>
      </c>
      <c r="F182" s="10">
        <f t="shared" si="12"/>
        <v>138</v>
      </c>
      <c r="G182" s="14">
        <f t="shared" si="13"/>
        <v>690</v>
      </c>
      <c r="H182" s="7">
        <f t="shared" si="14"/>
        <v>4666</v>
      </c>
      <c r="I182" s="10">
        <f t="shared" si="15"/>
        <v>7728</v>
      </c>
      <c r="J182">
        <f t="shared" si="16"/>
        <v>0</v>
      </c>
      <c r="K182">
        <f t="shared" si="17"/>
        <v>0</v>
      </c>
      <c r="M182"/>
      <c r="N182"/>
      <c r="O182"/>
    </row>
    <row r="183" spans="1:15" x14ac:dyDescent="0.3">
      <c r="A183" s="7">
        <v>1963</v>
      </c>
      <c r="B183">
        <v>20</v>
      </c>
      <c r="C183">
        <v>45</v>
      </c>
      <c r="D183">
        <v>3</v>
      </c>
      <c r="E183" t="s">
        <v>15</v>
      </c>
      <c r="F183" s="10">
        <f t="shared" si="12"/>
        <v>393</v>
      </c>
      <c r="G183" s="14">
        <f t="shared" si="13"/>
        <v>883.35</v>
      </c>
      <c r="H183" s="7">
        <f t="shared" si="14"/>
        <v>1555.33</v>
      </c>
      <c r="I183" s="10">
        <f t="shared" si="15"/>
        <v>3239.35</v>
      </c>
      <c r="J183">
        <f t="shared" si="16"/>
        <v>0</v>
      </c>
      <c r="K183">
        <f t="shared" si="17"/>
        <v>0</v>
      </c>
      <c r="M183"/>
      <c r="N183"/>
      <c r="O183"/>
    </row>
    <row r="184" spans="1:15" x14ac:dyDescent="0.3">
      <c r="A184" s="7">
        <v>3490</v>
      </c>
      <c r="B184">
        <v>16</v>
      </c>
      <c r="C184">
        <v>35</v>
      </c>
      <c r="D184">
        <v>1</v>
      </c>
      <c r="E184" t="s">
        <v>17</v>
      </c>
      <c r="F184" s="10">
        <f t="shared" si="12"/>
        <v>559</v>
      </c>
      <c r="G184" s="14">
        <f t="shared" si="13"/>
        <v>1221.5</v>
      </c>
      <c r="H184" s="7">
        <f t="shared" si="14"/>
        <v>4666</v>
      </c>
      <c r="I184" s="10">
        <f t="shared" si="15"/>
        <v>5270.5</v>
      </c>
      <c r="J184">
        <f t="shared" si="16"/>
        <v>0</v>
      </c>
      <c r="K184">
        <f t="shared" si="17"/>
        <v>0</v>
      </c>
      <c r="M184"/>
      <c r="N184"/>
      <c r="O184"/>
    </row>
    <row r="185" spans="1:15" x14ac:dyDescent="0.3">
      <c r="A185" s="7">
        <v>6690</v>
      </c>
      <c r="B185">
        <v>7</v>
      </c>
      <c r="C185">
        <v>50</v>
      </c>
      <c r="D185">
        <v>1</v>
      </c>
      <c r="E185" t="s">
        <v>19</v>
      </c>
      <c r="F185" s="10">
        <f t="shared" si="12"/>
        <v>469</v>
      </c>
      <c r="G185" s="14">
        <f t="shared" si="13"/>
        <v>3345</v>
      </c>
      <c r="H185" s="7">
        <f t="shared" si="14"/>
        <v>4666</v>
      </c>
      <c r="I185" s="10">
        <f t="shared" si="15"/>
        <v>10504</v>
      </c>
      <c r="J185">
        <f t="shared" si="16"/>
        <v>0</v>
      </c>
      <c r="K185">
        <f t="shared" si="17"/>
        <v>0</v>
      </c>
      <c r="M185"/>
      <c r="N185"/>
      <c r="O185"/>
    </row>
    <row r="186" spans="1:15" x14ac:dyDescent="0.3">
      <c r="A186" s="7">
        <v>3830</v>
      </c>
      <c r="B186">
        <v>4</v>
      </c>
      <c r="C186">
        <v>5</v>
      </c>
      <c r="D186">
        <v>1</v>
      </c>
      <c r="E186" t="s">
        <v>16</v>
      </c>
      <c r="F186" s="10">
        <f t="shared" si="12"/>
        <v>154</v>
      </c>
      <c r="G186" s="14">
        <f t="shared" si="13"/>
        <v>191.5</v>
      </c>
      <c r="H186" s="7">
        <f t="shared" si="14"/>
        <v>4666</v>
      </c>
      <c r="I186" s="10">
        <f t="shared" si="15"/>
        <v>4175.5</v>
      </c>
      <c r="J186">
        <f t="shared" si="16"/>
        <v>1</v>
      </c>
      <c r="K186">
        <f t="shared" si="17"/>
        <v>490.5</v>
      </c>
      <c r="M186"/>
      <c r="N186"/>
      <c r="O186"/>
    </row>
    <row r="187" spans="1:15" x14ac:dyDescent="0.3">
      <c r="A187" s="7">
        <v>2095</v>
      </c>
      <c r="B187">
        <v>4</v>
      </c>
      <c r="C187">
        <v>15</v>
      </c>
      <c r="D187">
        <v>2</v>
      </c>
      <c r="E187" t="s">
        <v>18</v>
      </c>
      <c r="F187" s="10">
        <f t="shared" si="12"/>
        <v>84</v>
      </c>
      <c r="G187" s="14">
        <f t="shared" si="13"/>
        <v>314.25</v>
      </c>
      <c r="H187" s="7">
        <f t="shared" si="14"/>
        <v>2333</v>
      </c>
      <c r="I187" s="10">
        <f t="shared" si="15"/>
        <v>2493.25</v>
      </c>
      <c r="J187">
        <f t="shared" si="16"/>
        <v>0</v>
      </c>
      <c r="K187">
        <f t="shared" si="17"/>
        <v>0</v>
      </c>
      <c r="M187"/>
      <c r="N187"/>
      <c r="O187"/>
    </row>
    <row r="188" spans="1:15" x14ac:dyDescent="0.3">
      <c r="A188" s="7">
        <v>410</v>
      </c>
      <c r="B188">
        <v>12</v>
      </c>
      <c r="C188">
        <v>10</v>
      </c>
      <c r="D188">
        <v>8</v>
      </c>
      <c r="E188" t="s">
        <v>20</v>
      </c>
      <c r="F188" s="10">
        <f t="shared" si="12"/>
        <v>50</v>
      </c>
      <c r="G188" s="14">
        <f t="shared" si="13"/>
        <v>41</v>
      </c>
      <c r="H188" s="7">
        <f t="shared" si="14"/>
        <v>583.25</v>
      </c>
      <c r="I188" s="10">
        <f t="shared" si="15"/>
        <v>501</v>
      </c>
      <c r="J188">
        <f t="shared" si="16"/>
        <v>1</v>
      </c>
      <c r="K188">
        <f t="shared" si="17"/>
        <v>82.25</v>
      </c>
      <c r="M188"/>
      <c r="N188"/>
      <c r="O188"/>
    </row>
    <row r="189" spans="1:15" x14ac:dyDescent="0.3">
      <c r="A189" s="7">
        <v>3160</v>
      </c>
      <c r="B189">
        <v>8</v>
      </c>
      <c r="C189">
        <v>50</v>
      </c>
      <c r="D189">
        <v>1</v>
      </c>
      <c r="E189" t="s">
        <v>20</v>
      </c>
      <c r="F189" s="10">
        <f t="shared" si="12"/>
        <v>253</v>
      </c>
      <c r="G189" s="14">
        <f t="shared" si="13"/>
        <v>1580</v>
      </c>
      <c r="H189" s="7">
        <f t="shared" si="14"/>
        <v>4666</v>
      </c>
      <c r="I189" s="10">
        <f t="shared" si="15"/>
        <v>4993</v>
      </c>
      <c r="J189">
        <f t="shared" si="16"/>
        <v>0</v>
      </c>
      <c r="K189">
        <f t="shared" si="17"/>
        <v>0</v>
      </c>
      <c r="M189"/>
      <c r="N189"/>
      <c r="O189"/>
    </row>
    <row r="190" spans="1:15" x14ac:dyDescent="0.3">
      <c r="A190" s="7">
        <v>1174</v>
      </c>
      <c r="B190">
        <v>9</v>
      </c>
      <c r="C190">
        <v>35</v>
      </c>
      <c r="D190">
        <v>5</v>
      </c>
      <c r="E190" t="s">
        <v>21</v>
      </c>
      <c r="F190" s="10">
        <f t="shared" si="12"/>
        <v>106</v>
      </c>
      <c r="G190" s="14">
        <f t="shared" si="13"/>
        <v>410.9</v>
      </c>
      <c r="H190" s="7">
        <f t="shared" si="14"/>
        <v>933.2</v>
      </c>
      <c r="I190" s="10">
        <f t="shared" si="15"/>
        <v>1690.9</v>
      </c>
      <c r="J190">
        <f t="shared" si="16"/>
        <v>0</v>
      </c>
      <c r="K190">
        <f t="shared" si="17"/>
        <v>0</v>
      </c>
      <c r="M190"/>
      <c r="N190"/>
      <c r="O190"/>
    </row>
    <row r="191" spans="1:15" x14ac:dyDescent="0.3">
      <c r="A191" s="7">
        <v>5570</v>
      </c>
      <c r="B191">
        <v>10</v>
      </c>
      <c r="C191">
        <v>40</v>
      </c>
      <c r="D191">
        <v>1</v>
      </c>
      <c r="E191" t="s">
        <v>19</v>
      </c>
      <c r="F191" s="10">
        <f t="shared" si="12"/>
        <v>557</v>
      </c>
      <c r="G191" s="14">
        <f t="shared" si="13"/>
        <v>2228</v>
      </c>
      <c r="H191" s="7">
        <f t="shared" si="14"/>
        <v>4666</v>
      </c>
      <c r="I191" s="10">
        <f t="shared" si="15"/>
        <v>8355</v>
      </c>
      <c r="J191">
        <f t="shared" si="16"/>
        <v>0</v>
      </c>
      <c r="K191">
        <f t="shared" si="17"/>
        <v>0</v>
      </c>
      <c r="M191"/>
      <c r="N191"/>
      <c r="O191"/>
    </row>
    <row r="192" spans="1:15" x14ac:dyDescent="0.3">
      <c r="A192" s="7">
        <v>794</v>
      </c>
      <c r="B192">
        <v>16</v>
      </c>
      <c r="C192">
        <v>50</v>
      </c>
      <c r="D192">
        <v>7</v>
      </c>
      <c r="E192" t="s">
        <v>16</v>
      </c>
      <c r="F192" s="10">
        <f t="shared" si="12"/>
        <v>128</v>
      </c>
      <c r="G192" s="14">
        <f t="shared" si="13"/>
        <v>397</v>
      </c>
      <c r="H192" s="7">
        <f t="shared" si="14"/>
        <v>666.57</v>
      </c>
      <c r="I192" s="10">
        <f t="shared" si="15"/>
        <v>1319</v>
      </c>
      <c r="J192">
        <f t="shared" si="16"/>
        <v>0</v>
      </c>
      <c r="K192">
        <f t="shared" si="17"/>
        <v>0</v>
      </c>
      <c r="M192"/>
      <c r="N192"/>
      <c r="O192"/>
    </row>
    <row r="193" spans="1:15" x14ac:dyDescent="0.3">
      <c r="A193" s="7">
        <v>339</v>
      </c>
      <c r="B193">
        <v>19</v>
      </c>
      <c r="C193">
        <v>45</v>
      </c>
      <c r="D193">
        <v>9</v>
      </c>
      <c r="E193" t="s">
        <v>20</v>
      </c>
      <c r="F193" s="10">
        <f t="shared" si="12"/>
        <v>65</v>
      </c>
      <c r="G193" s="14">
        <f t="shared" si="13"/>
        <v>152.55000000000001</v>
      </c>
      <c r="H193" s="7">
        <f t="shared" si="14"/>
        <v>518.44000000000005</v>
      </c>
      <c r="I193" s="10">
        <f t="shared" si="15"/>
        <v>556.54999999999995</v>
      </c>
      <c r="J193">
        <f t="shared" si="16"/>
        <v>0</v>
      </c>
      <c r="K193">
        <f t="shared" si="17"/>
        <v>0</v>
      </c>
      <c r="M193"/>
      <c r="N193"/>
      <c r="O193"/>
    </row>
    <row r="194" spans="1:15" x14ac:dyDescent="0.3">
      <c r="A194" s="7">
        <v>500</v>
      </c>
      <c r="B194">
        <v>11</v>
      </c>
      <c r="C194">
        <v>20</v>
      </c>
      <c r="D194">
        <v>6</v>
      </c>
      <c r="E194" t="s">
        <v>20</v>
      </c>
      <c r="F194" s="10">
        <f t="shared" si="12"/>
        <v>55</v>
      </c>
      <c r="G194" s="14">
        <f t="shared" si="13"/>
        <v>100</v>
      </c>
      <c r="H194" s="7">
        <f t="shared" si="14"/>
        <v>777.67</v>
      </c>
      <c r="I194" s="10">
        <f t="shared" si="15"/>
        <v>655</v>
      </c>
      <c r="J194">
        <f t="shared" si="16"/>
        <v>1</v>
      </c>
      <c r="K194">
        <f t="shared" si="17"/>
        <v>122.66999999999996</v>
      </c>
      <c r="M194"/>
      <c r="N194"/>
      <c r="O194"/>
    </row>
    <row r="195" spans="1:15" x14ac:dyDescent="0.3">
      <c r="A195" s="7">
        <v>1186</v>
      </c>
      <c r="B195">
        <v>11</v>
      </c>
      <c r="C195">
        <v>10</v>
      </c>
      <c r="D195">
        <v>5</v>
      </c>
      <c r="E195" t="s">
        <v>17</v>
      </c>
      <c r="F195" s="10">
        <f t="shared" ref="F195:F258" si="18">ROUNDUP(0.01*B195*A195,0)</f>
        <v>131</v>
      </c>
      <c r="G195" s="14">
        <f t="shared" ref="G195:G258" si="19">ROUND(C195/100*A195,2)</f>
        <v>118.6</v>
      </c>
      <c r="H195" s="7">
        <f t="shared" ref="H195:H258" si="20">ROUND(4666/D195:D694,2)</f>
        <v>933.2</v>
      </c>
      <c r="I195" s="10">
        <f t="shared" ref="I195:I258" si="21">G195+A195+F195</f>
        <v>1435.6</v>
      </c>
      <c r="J195">
        <f t="shared" ref="J195:J258" si="22">IF(H195&gt;I195,1,0)</f>
        <v>0</v>
      </c>
      <c r="K195">
        <f t="shared" ref="K195:K258" si="23">IF(J195=1,H195-I195,0)</f>
        <v>0</v>
      </c>
      <c r="M195"/>
      <c r="N195"/>
      <c r="O195"/>
    </row>
    <row r="196" spans="1:15" x14ac:dyDescent="0.3">
      <c r="A196" s="7">
        <v>1815</v>
      </c>
      <c r="B196">
        <v>5</v>
      </c>
      <c r="C196">
        <v>35</v>
      </c>
      <c r="D196">
        <v>2</v>
      </c>
      <c r="E196" t="s">
        <v>17</v>
      </c>
      <c r="F196" s="10">
        <f t="shared" si="18"/>
        <v>91</v>
      </c>
      <c r="G196" s="14">
        <f t="shared" si="19"/>
        <v>635.25</v>
      </c>
      <c r="H196" s="7">
        <f t="shared" si="20"/>
        <v>2333</v>
      </c>
      <c r="I196" s="10">
        <f t="shared" si="21"/>
        <v>2541.25</v>
      </c>
      <c r="J196">
        <f t="shared" si="22"/>
        <v>0</v>
      </c>
      <c r="K196">
        <f t="shared" si="23"/>
        <v>0</v>
      </c>
      <c r="M196"/>
      <c r="N196"/>
      <c r="O196"/>
    </row>
    <row r="197" spans="1:15" x14ac:dyDescent="0.3">
      <c r="A197" s="7">
        <v>1236</v>
      </c>
      <c r="B197">
        <v>8</v>
      </c>
      <c r="C197">
        <v>15</v>
      </c>
      <c r="D197">
        <v>5</v>
      </c>
      <c r="E197" t="s">
        <v>16</v>
      </c>
      <c r="F197" s="10">
        <f t="shared" si="18"/>
        <v>99</v>
      </c>
      <c r="G197" s="14">
        <f t="shared" si="19"/>
        <v>185.4</v>
      </c>
      <c r="H197" s="7">
        <f t="shared" si="20"/>
        <v>933.2</v>
      </c>
      <c r="I197" s="10">
        <f t="shared" si="21"/>
        <v>1520.4</v>
      </c>
      <c r="J197">
        <f t="shared" si="22"/>
        <v>0</v>
      </c>
      <c r="K197">
        <f t="shared" si="23"/>
        <v>0</v>
      </c>
      <c r="M197"/>
      <c r="N197"/>
      <c r="O197"/>
    </row>
    <row r="198" spans="1:15" x14ac:dyDescent="0.3">
      <c r="A198" s="7">
        <v>324</v>
      </c>
      <c r="B198">
        <v>18</v>
      </c>
      <c r="C198">
        <v>30</v>
      </c>
      <c r="D198">
        <v>9</v>
      </c>
      <c r="E198" t="s">
        <v>16</v>
      </c>
      <c r="F198" s="10">
        <f t="shared" si="18"/>
        <v>59</v>
      </c>
      <c r="G198" s="14">
        <f t="shared" si="19"/>
        <v>97.2</v>
      </c>
      <c r="H198" s="7">
        <f t="shared" si="20"/>
        <v>518.44000000000005</v>
      </c>
      <c r="I198" s="10">
        <f t="shared" si="21"/>
        <v>480.2</v>
      </c>
      <c r="J198">
        <f t="shared" si="22"/>
        <v>1</v>
      </c>
      <c r="K198">
        <f t="shared" si="23"/>
        <v>38.240000000000066</v>
      </c>
      <c r="M198"/>
      <c r="N198"/>
      <c r="O198"/>
    </row>
    <row r="199" spans="1:15" x14ac:dyDescent="0.3">
      <c r="A199" s="7">
        <v>504</v>
      </c>
      <c r="B199">
        <v>9</v>
      </c>
      <c r="C199">
        <v>20</v>
      </c>
      <c r="D199">
        <v>9</v>
      </c>
      <c r="E199" t="s">
        <v>20</v>
      </c>
      <c r="F199" s="10">
        <f t="shared" si="18"/>
        <v>46</v>
      </c>
      <c r="G199" s="14">
        <f t="shared" si="19"/>
        <v>100.8</v>
      </c>
      <c r="H199" s="7">
        <f t="shared" si="20"/>
        <v>518.44000000000005</v>
      </c>
      <c r="I199" s="10">
        <f t="shared" si="21"/>
        <v>650.79999999999995</v>
      </c>
      <c r="J199">
        <f t="shared" si="22"/>
        <v>0</v>
      </c>
      <c r="K199">
        <f t="shared" si="23"/>
        <v>0</v>
      </c>
      <c r="M199"/>
      <c r="N199"/>
      <c r="O199"/>
    </row>
    <row r="200" spans="1:15" x14ac:dyDescent="0.3">
      <c r="A200" s="7">
        <v>475</v>
      </c>
      <c r="B200">
        <v>11</v>
      </c>
      <c r="C200">
        <v>40</v>
      </c>
      <c r="D200">
        <v>10</v>
      </c>
      <c r="E200" t="s">
        <v>20</v>
      </c>
      <c r="F200" s="10">
        <f t="shared" si="18"/>
        <v>53</v>
      </c>
      <c r="G200" s="14">
        <f t="shared" si="19"/>
        <v>190</v>
      </c>
      <c r="H200" s="7">
        <f t="shared" si="20"/>
        <v>466.6</v>
      </c>
      <c r="I200" s="10">
        <f t="shared" si="21"/>
        <v>718</v>
      </c>
      <c r="J200">
        <f t="shared" si="22"/>
        <v>0</v>
      </c>
      <c r="K200">
        <f t="shared" si="23"/>
        <v>0</v>
      </c>
      <c r="M200"/>
      <c r="N200"/>
      <c r="O200"/>
    </row>
    <row r="201" spans="1:15" x14ac:dyDescent="0.3">
      <c r="A201" s="7">
        <v>360</v>
      </c>
      <c r="B201">
        <v>4</v>
      </c>
      <c r="C201">
        <v>35</v>
      </c>
      <c r="D201">
        <v>8</v>
      </c>
      <c r="E201" t="s">
        <v>17</v>
      </c>
      <c r="F201" s="10">
        <f t="shared" si="18"/>
        <v>15</v>
      </c>
      <c r="G201" s="14">
        <f t="shared" si="19"/>
        <v>126</v>
      </c>
      <c r="H201" s="7">
        <f t="shared" si="20"/>
        <v>583.25</v>
      </c>
      <c r="I201" s="10">
        <f t="shared" si="21"/>
        <v>501</v>
      </c>
      <c r="J201">
        <f t="shared" si="22"/>
        <v>1</v>
      </c>
      <c r="K201">
        <f t="shared" si="23"/>
        <v>82.25</v>
      </c>
      <c r="M201"/>
      <c r="N201"/>
      <c r="O201"/>
    </row>
    <row r="202" spans="1:15" x14ac:dyDescent="0.3">
      <c r="A202" s="7">
        <v>1340</v>
      </c>
      <c r="B202">
        <v>0</v>
      </c>
      <c r="C202">
        <v>5</v>
      </c>
      <c r="D202">
        <v>5</v>
      </c>
      <c r="E202" t="s">
        <v>19</v>
      </c>
      <c r="F202" s="10">
        <f t="shared" si="18"/>
        <v>0</v>
      </c>
      <c r="G202" s="14">
        <f t="shared" si="19"/>
        <v>67</v>
      </c>
      <c r="H202" s="7">
        <f t="shared" si="20"/>
        <v>933.2</v>
      </c>
      <c r="I202" s="10">
        <f t="shared" si="21"/>
        <v>1407</v>
      </c>
      <c r="J202">
        <f t="shared" si="22"/>
        <v>0</v>
      </c>
      <c r="K202">
        <f t="shared" si="23"/>
        <v>0</v>
      </c>
      <c r="M202"/>
      <c r="N202"/>
      <c r="O202"/>
    </row>
    <row r="203" spans="1:15" x14ac:dyDescent="0.3">
      <c r="A203" s="7">
        <v>1067</v>
      </c>
      <c r="B203">
        <v>2</v>
      </c>
      <c r="C203">
        <v>30</v>
      </c>
      <c r="D203">
        <v>3</v>
      </c>
      <c r="E203" t="s">
        <v>21</v>
      </c>
      <c r="F203" s="10">
        <f t="shared" si="18"/>
        <v>22</v>
      </c>
      <c r="G203" s="14">
        <f t="shared" si="19"/>
        <v>320.10000000000002</v>
      </c>
      <c r="H203" s="7">
        <f t="shared" si="20"/>
        <v>1555.33</v>
      </c>
      <c r="I203" s="10">
        <f t="shared" si="21"/>
        <v>1409.1</v>
      </c>
      <c r="J203">
        <f t="shared" si="22"/>
        <v>1</v>
      </c>
      <c r="K203">
        <f t="shared" si="23"/>
        <v>146.23000000000002</v>
      </c>
      <c r="M203"/>
      <c r="N203"/>
      <c r="O203"/>
    </row>
    <row r="204" spans="1:15" x14ac:dyDescent="0.3">
      <c r="A204" s="7">
        <v>4330</v>
      </c>
      <c r="B204">
        <v>7</v>
      </c>
      <c r="C204">
        <v>50</v>
      </c>
      <c r="D204">
        <v>1</v>
      </c>
      <c r="E204" t="s">
        <v>15</v>
      </c>
      <c r="F204" s="10">
        <f t="shared" si="18"/>
        <v>304</v>
      </c>
      <c r="G204" s="14">
        <f t="shared" si="19"/>
        <v>2165</v>
      </c>
      <c r="H204" s="7">
        <f t="shared" si="20"/>
        <v>4666</v>
      </c>
      <c r="I204" s="10">
        <f t="shared" si="21"/>
        <v>6799</v>
      </c>
      <c r="J204">
        <f t="shared" si="22"/>
        <v>0</v>
      </c>
      <c r="K204">
        <f t="shared" si="23"/>
        <v>0</v>
      </c>
      <c r="M204"/>
      <c r="N204"/>
      <c r="O204"/>
    </row>
    <row r="205" spans="1:15" x14ac:dyDescent="0.3">
      <c r="A205" s="7">
        <v>4170</v>
      </c>
      <c r="B205">
        <v>12</v>
      </c>
      <c r="C205">
        <v>35</v>
      </c>
      <c r="D205">
        <v>1</v>
      </c>
      <c r="E205" t="s">
        <v>18</v>
      </c>
      <c r="F205" s="10">
        <f t="shared" si="18"/>
        <v>501</v>
      </c>
      <c r="G205" s="14">
        <f t="shared" si="19"/>
        <v>1459.5</v>
      </c>
      <c r="H205" s="7">
        <f t="shared" si="20"/>
        <v>4666</v>
      </c>
      <c r="I205" s="10">
        <f t="shared" si="21"/>
        <v>6130.5</v>
      </c>
      <c r="J205">
        <f t="shared" si="22"/>
        <v>0</v>
      </c>
      <c r="K205">
        <f t="shared" si="23"/>
        <v>0</v>
      </c>
      <c r="M205"/>
      <c r="N205"/>
      <c r="O205"/>
    </row>
    <row r="206" spans="1:15" x14ac:dyDescent="0.3">
      <c r="A206" s="7">
        <v>1860</v>
      </c>
      <c r="B206">
        <v>8</v>
      </c>
      <c r="C206">
        <v>30</v>
      </c>
      <c r="D206">
        <v>3</v>
      </c>
      <c r="E206" t="s">
        <v>17</v>
      </c>
      <c r="F206" s="10">
        <f t="shared" si="18"/>
        <v>149</v>
      </c>
      <c r="G206" s="14">
        <f t="shared" si="19"/>
        <v>558</v>
      </c>
      <c r="H206" s="7">
        <f t="shared" si="20"/>
        <v>1555.33</v>
      </c>
      <c r="I206" s="10">
        <f t="shared" si="21"/>
        <v>2567</v>
      </c>
      <c r="J206">
        <f t="shared" si="22"/>
        <v>0</v>
      </c>
      <c r="K206">
        <f t="shared" si="23"/>
        <v>0</v>
      </c>
      <c r="M206"/>
      <c r="N206"/>
      <c r="O206"/>
    </row>
    <row r="207" spans="1:15" x14ac:dyDescent="0.3">
      <c r="A207" s="7">
        <v>6550</v>
      </c>
      <c r="B207">
        <v>8</v>
      </c>
      <c r="C207">
        <v>30</v>
      </c>
      <c r="D207">
        <v>1</v>
      </c>
      <c r="E207" t="s">
        <v>19</v>
      </c>
      <c r="F207" s="10">
        <f t="shared" si="18"/>
        <v>524</v>
      </c>
      <c r="G207" s="14">
        <f t="shared" si="19"/>
        <v>1965</v>
      </c>
      <c r="H207" s="7">
        <f t="shared" si="20"/>
        <v>4666</v>
      </c>
      <c r="I207" s="10">
        <f t="shared" si="21"/>
        <v>9039</v>
      </c>
      <c r="J207">
        <f t="shared" si="22"/>
        <v>0</v>
      </c>
      <c r="K207">
        <f t="shared" si="23"/>
        <v>0</v>
      </c>
      <c r="M207"/>
      <c r="N207"/>
      <c r="O207"/>
    </row>
    <row r="208" spans="1:15" x14ac:dyDescent="0.3">
      <c r="A208" s="7">
        <v>6790</v>
      </c>
      <c r="B208">
        <v>13</v>
      </c>
      <c r="C208">
        <v>40</v>
      </c>
      <c r="D208">
        <v>1</v>
      </c>
      <c r="E208" t="s">
        <v>19</v>
      </c>
      <c r="F208" s="10">
        <f t="shared" si="18"/>
        <v>883</v>
      </c>
      <c r="G208" s="14">
        <f t="shared" si="19"/>
        <v>2716</v>
      </c>
      <c r="H208" s="7">
        <f t="shared" si="20"/>
        <v>4666</v>
      </c>
      <c r="I208" s="10">
        <f t="shared" si="21"/>
        <v>10389</v>
      </c>
      <c r="J208">
        <f t="shared" si="22"/>
        <v>0</v>
      </c>
      <c r="K208">
        <f t="shared" si="23"/>
        <v>0</v>
      </c>
      <c r="M208"/>
      <c r="N208"/>
      <c r="O208"/>
    </row>
    <row r="209" spans="1:15" x14ac:dyDescent="0.3">
      <c r="A209" s="7">
        <v>4600</v>
      </c>
      <c r="B209">
        <v>11</v>
      </c>
      <c r="C209">
        <v>30</v>
      </c>
      <c r="D209">
        <v>1</v>
      </c>
      <c r="E209" t="s">
        <v>16</v>
      </c>
      <c r="F209" s="10">
        <f t="shared" si="18"/>
        <v>506</v>
      </c>
      <c r="G209" s="14">
        <f t="shared" si="19"/>
        <v>1380</v>
      </c>
      <c r="H209" s="7">
        <f t="shared" si="20"/>
        <v>4666</v>
      </c>
      <c r="I209" s="10">
        <f t="shared" si="21"/>
        <v>6486</v>
      </c>
      <c r="J209">
        <f t="shared" si="22"/>
        <v>0</v>
      </c>
      <c r="K209">
        <f t="shared" si="23"/>
        <v>0</v>
      </c>
      <c r="M209"/>
      <c r="N209"/>
      <c r="O209"/>
    </row>
    <row r="210" spans="1:15" x14ac:dyDescent="0.3">
      <c r="A210" s="7">
        <v>5720</v>
      </c>
      <c r="B210">
        <v>15</v>
      </c>
      <c r="C210">
        <v>0</v>
      </c>
      <c r="D210">
        <v>1</v>
      </c>
      <c r="E210" t="s">
        <v>19</v>
      </c>
      <c r="F210" s="10">
        <f t="shared" si="18"/>
        <v>858</v>
      </c>
      <c r="G210" s="14">
        <f t="shared" si="19"/>
        <v>0</v>
      </c>
      <c r="H210" s="7">
        <f t="shared" si="20"/>
        <v>4666</v>
      </c>
      <c r="I210" s="10">
        <f t="shared" si="21"/>
        <v>6578</v>
      </c>
      <c r="J210">
        <f t="shared" si="22"/>
        <v>0</v>
      </c>
      <c r="K210">
        <f t="shared" si="23"/>
        <v>0</v>
      </c>
      <c r="M210"/>
      <c r="N210"/>
      <c r="O210"/>
    </row>
    <row r="211" spans="1:15" x14ac:dyDescent="0.3">
      <c r="A211" s="7">
        <v>1102</v>
      </c>
      <c r="B211">
        <v>12</v>
      </c>
      <c r="C211">
        <v>10</v>
      </c>
      <c r="D211">
        <v>5</v>
      </c>
      <c r="E211" t="s">
        <v>15</v>
      </c>
      <c r="F211" s="10">
        <f t="shared" si="18"/>
        <v>133</v>
      </c>
      <c r="G211" s="14">
        <f t="shared" si="19"/>
        <v>110.2</v>
      </c>
      <c r="H211" s="7">
        <f t="shared" si="20"/>
        <v>933.2</v>
      </c>
      <c r="I211" s="10">
        <f t="shared" si="21"/>
        <v>1345.2</v>
      </c>
      <c r="J211">
        <f t="shared" si="22"/>
        <v>0</v>
      </c>
      <c r="K211">
        <f t="shared" si="23"/>
        <v>0</v>
      </c>
      <c r="M211"/>
      <c r="N211"/>
      <c r="O211"/>
    </row>
    <row r="212" spans="1:15" x14ac:dyDescent="0.3">
      <c r="A212" s="7">
        <v>999</v>
      </c>
      <c r="B212">
        <v>20</v>
      </c>
      <c r="C212">
        <v>50</v>
      </c>
      <c r="D212">
        <v>7</v>
      </c>
      <c r="E212" t="s">
        <v>17</v>
      </c>
      <c r="F212" s="10">
        <f t="shared" si="18"/>
        <v>200</v>
      </c>
      <c r="G212" s="14">
        <f t="shared" si="19"/>
        <v>499.5</v>
      </c>
      <c r="H212" s="7">
        <f t="shared" si="20"/>
        <v>666.57</v>
      </c>
      <c r="I212" s="10">
        <f t="shared" si="21"/>
        <v>1698.5</v>
      </c>
      <c r="J212">
        <f t="shared" si="22"/>
        <v>0</v>
      </c>
      <c r="K212">
        <f t="shared" si="23"/>
        <v>0</v>
      </c>
      <c r="M212"/>
      <c r="N212"/>
      <c r="O212"/>
    </row>
    <row r="213" spans="1:15" x14ac:dyDescent="0.3">
      <c r="A213" s="7">
        <v>5130</v>
      </c>
      <c r="B213">
        <v>17</v>
      </c>
      <c r="C213">
        <v>45</v>
      </c>
      <c r="D213">
        <v>1</v>
      </c>
      <c r="E213" t="s">
        <v>21</v>
      </c>
      <c r="F213" s="10">
        <f t="shared" si="18"/>
        <v>873</v>
      </c>
      <c r="G213" s="14">
        <f t="shared" si="19"/>
        <v>2308.5</v>
      </c>
      <c r="H213" s="7">
        <f t="shared" si="20"/>
        <v>4666</v>
      </c>
      <c r="I213" s="10">
        <f t="shared" si="21"/>
        <v>8311.5</v>
      </c>
      <c r="J213">
        <f t="shared" si="22"/>
        <v>0</v>
      </c>
      <c r="K213">
        <f t="shared" si="23"/>
        <v>0</v>
      </c>
      <c r="M213"/>
      <c r="N213"/>
      <c r="O213"/>
    </row>
    <row r="214" spans="1:15" x14ac:dyDescent="0.3">
      <c r="A214" s="7">
        <v>2115</v>
      </c>
      <c r="B214">
        <v>10</v>
      </c>
      <c r="C214">
        <v>50</v>
      </c>
      <c r="D214">
        <v>2</v>
      </c>
      <c r="E214" t="s">
        <v>17</v>
      </c>
      <c r="F214" s="10">
        <f t="shared" si="18"/>
        <v>212</v>
      </c>
      <c r="G214" s="14">
        <f t="shared" si="19"/>
        <v>1057.5</v>
      </c>
      <c r="H214" s="7">
        <f t="shared" si="20"/>
        <v>2333</v>
      </c>
      <c r="I214" s="10">
        <f t="shared" si="21"/>
        <v>3384.5</v>
      </c>
      <c r="J214">
        <f t="shared" si="22"/>
        <v>0</v>
      </c>
      <c r="K214">
        <f t="shared" si="23"/>
        <v>0</v>
      </c>
      <c r="M214"/>
      <c r="N214"/>
      <c r="O214"/>
    </row>
    <row r="215" spans="1:15" x14ac:dyDescent="0.3">
      <c r="A215" s="7">
        <v>1455</v>
      </c>
      <c r="B215">
        <v>13</v>
      </c>
      <c r="C215">
        <v>40</v>
      </c>
      <c r="D215">
        <v>4</v>
      </c>
      <c r="E215" t="s">
        <v>15</v>
      </c>
      <c r="F215" s="10">
        <f t="shared" si="18"/>
        <v>190</v>
      </c>
      <c r="G215" s="14">
        <f t="shared" si="19"/>
        <v>582</v>
      </c>
      <c r="H215" s="7">
        <f t="shared" si="20"/>
        <v>1166.5</v>
      </c>
      <c r="I215" s="10">
        <f t="shared" si="21"/>
        <v>2227</v>
      </c>
      <c r="J215">
        <f t="shared" si="22"/>
        <v>0</v>
      </c>
      <c r="K215">
        <f t="shared" si="23"/>
        <v>0</v>
      </c>
      <c r="M215"/>
      <c r="N215"/>
      <c r="O215"/>
    </row>
    <row r="216" spans="1:15" x14ac:dyDescent="0.3">
      <c r="A216" s="7">
        <v>1138</v>
      </c>
      <c r="B216">
        <v>13</v>
      </c>
      <c r="C216">
        <v>10</v>
      </c>
      <c r="D216">
        <v>5</v>
      </c>
      <c r="E216" t="s">
        <v>20</v>
      </c>
      <c r="F216" s="10">
        <f t="shared" si="18"/>
        <v>148</v>
      </c>
      <c r="G216" s="14">
        <f t="shared" si="19"/>
        <v>113.8</v>
      </c>
      <c r="H216" s="7">
        <f t="shared" si="20"/>
        <v>933.2</v>
      </c>
      <c r="I216" s="10">
        <f t="shared" si="21"/>
        <v>1399.8</v>
      </c>
      <c r="J216">
        <f t="shared" si="22"/>
        <v>0</v>
      </c>
      <c r="K216">
        <f t="shared" si="23"/>
        <v>0</v>
      </c>
      <c r="M216"/>
      <c r="N216"/>
      <c r="O216"/>
    </row>
    <row r="217" spans="1:15" x14ac:dyDescent="0.3">
      <c r="A217" s="7">
        <v>490</v>
      </c>
      <c r="B217">
        <v>10</v>
      </c>
      <c r="C217">
        <v>30</v>
      </c>
      <c r="D217">
        <v>7</v>
      </c>
      <c r="E217" t="s">
        <v>19</v>
      </c>
      <c r="F217" s="10">
        <f t="shared" si="18"/>
        <v>49</v>
      </c>
      <c r="G217" s="14">
        <f t="shared" si="19"/>
        <v>147</v>
      </c>
      <c r="H217" s="7">
        <f t="shared" si="20"/>
        <v>666.57</v>
      </c>
      <c r="I217" s="10">
        <f t="shared" si="21"/>
        <v>686</v>
      </c>
      <c r="J217">
        <f t="shared" si="22"/>
        <v>0</v>
      </c>
      <c r="K217">
        <f t="shared" si="23"/>
        <v>0</v>
      </c>
      <c r="M217"/>
      <c r="N217"/>
      <c r="O217"/>
    </row>
    <row r="218" spans="1:15" x14ac:dyDescent="0.3">
      <c r="A218" s="7">
        <v>2800</v>
      </c>
      <c r="B218">
        <v>7</v>
      </c>
      <c r="C218">
        <v>30</v>
      </c>
      <c r="D218">
        <v>2</v>
      </c>
      <c r="E218" t="s">
        <v>21</v>
      </c>
      <c r="F218" s="10">
        <f t="shared" si="18"/>
        <v>196</v>
      </c>
      <c r="G218" s="14">
        <f t="shared" si="19"/>
        <v>840</v>
      </c>
      <c r="H218" s="7">
        <f t="shared" si="20"/>
        <v>2333</v>
      </c>
      <c r="I218" s="10">
        <f t="shared" si="21"/>
        <v>3836</v>
      </c>
      <c r="J218">
        <f t="shared" si="22"/>
        <v>0</v>
      </c>
      <c r="K218">
        <f t="shared" si="23"/>
        <v>0</v>
      </c>
      <c r="M218"/>
      <c r="N218"/>
      <c r="O218"/>
    </row>
    <row r="219" spans="1:15" x14ac:dyDescent="0.3">
      <c r="A219" s="7">
        <v>3770</v>
      </c>
      <c r="B219">
        <v>13</v>
      </c>
      <c r="C219">
        <v>5</v>
      </c>
      <c r="D219">
        <v>1</v>
      </c>
      <c r="E219" t="s">
        <v>20</v>
      </c>
      <c r="F219" s="10">
        <f t="shared" si="18"/>
        <v>491</v>
      </c>
      <c r="G219" s="14">
        <f t="shared" si="19"/>
        <v>188.5</v>
      </c>
      <c r="H219" s="7">
        <f t="shared" si="20"/>
        <v>4666</v>
      </c>
      <c r="I219" s="10">
        <f t="shared" si="21"/>
        <v>4449.5</v>
      </c>
      <c r="J219">
        <f t="shared" si="22"/>
        <v>1</v>
      </c>
      <c r="K219">
        <f t="shared" si="23"/>
        <v>216.5</v>
      </c>
      <c r="M219"/>
      <c r="N219"/>
      <c r="O219"/>
    </row>
    <row r="220" spans="1:15" x14ac:dyDescent="0.3">
      <c r="A220" s="7">
        <v>917</v>
      </c>
      <c r="B220">
        <v>8</v>
      </c>
      <c r="C220">
        <v>5</v>
      </c>
      <c r="D220">
        <v>7</v>
      </c>
      <c r="E220" t="s">
        <v>20</v>
      </c>
      <c r="F220" s="10">
        <f t="shared" si="18"/>
        <v>74</v>
      </c>
      <c r="G220" s="14">
        <f t="shared" si="19"/>
        <v>45.85</v>
      </c>
      <c r="H220" s="7">
        <f t="shared" si="20"/>
        <v>666.57</v>
      </c>
      <c r="I220" s="10">
        <f t="shared" si="21"/>
        <v>1036.8499999999999</v>
      </c>
      <c r="J220">
        <f t="shared" si="22"/>
        <v>0</v>
      </c>
      <c r="K220">
        <f t="shared" si="23"/>
        <v>0</v>
      </c>
      <c r="M220"/>
      <c r="N220"/>
      <c r="O220"/>
    </row>
    <row r="221" spans="1:15" x14ac:dyDescent="0.3">
      <c r="A221" s="7">
        <v>776</v>
      </c>
      <c r="B221">
        <v>12</v>
      </c>
      <c r="C221">
        <v>20</v>
      </c>
      <c r="D221">
        <v>7</v>
      </c>
      <c r="E221" t="s">
        <v>16</v>
      </c>
      <c r="F221" s="10">
        <f t="shared" si="18"/>
        <v>94</v>
      </c>
      <c r="G221" s="14">
        <f t="shared" si="19"/>
        <v>155.19999999999999</v>
      </c>
      <c r="H221" s="7">
        <f t="shared" si="20"/>
        <v>666.57</v>
      </c>
      <c r="I221" s="10">
        <f t="shared" si="21"/>
        <v>1025.2</v>
      </c>
      <c r="J221">
        <f t="shared" si="22"/>
        <v>0</v>
      </c>
      <c r="K221">
        <f t="shared" si="23"/>
        <v>0</v>
      </c>
      <c r="M221"/>
      <c r="N221"/>
      <c r="O221"/>
    </row>
    <row r="222" spans="1:15" x14ac:dyDescent="0.3">
      <c r="A222" s="7">
        <v>5030</v>
      </c>
      <c r="B222">
        <v>9</v>
      </c>
      <c r="C222">
        <v>0</v>
      </c>
      <c r="D222">
        <v>1</v>
      </c>
      <c r="E222" t="s">
        <v>18</v>
      </c>
      <c r="F222" s="10">
        <f t="shared" si="18"/>
        <v>453</v>
      </c>
      <c r="G222" s="14">
        <f t="shared" si="19"/>
        <v>0</v>
      </c>
      <c r="H222" s="7">
        <f t="shared" si="20"/>
        <v>4666</v>
      </c>
      <c r="I222" s="10">
        <f t="shared" si="21"/>
        <v>5483</v>
      </c>
      <c r="J222">
        <f t="shared" si="22"/>
        <v>0</v>
      </c>
      <c r="K222">
        <f t="shared" si="23"/>
        <v>0</v>
      </c>
      <c r="M222"/>
      <c r="N222"/>
      <c r="O222"/>
    </row>
    <row r="223" spans="1:15" x14ac:dyDescent="0.3">
      <c r="A223" s="7">
        <v>773</v>
      </c>
      <c r="B223">
        <v>9</v>
      </c>
      <c r="C223">
        <v>5</v>
      </c>
      <c r="D223">
        <v>8</v>
      </c>
      <c r="E223" t="s">
        <v>19</v>
      </c>
      <c r="F223" s="10">
        <f t="shared" si="18"/>
        <v>70</v>
      </c>
      <c r="G223" s="14">
        <f t="shared" si="19"/>
        <v>38.65</v>
      </c>
      <c r="H223" s="7">
        <f t="shared" si="20"/>
        <v>583.25</v>
      </c>
      <c r="I223" s="10">
        <f t="shared" si="21"/>
        <v>881.65</v>
      </c>
      <c r="J223">
        <f t="shared" si="22"/>
        <v>0</v>
      </c>
      <c r="K223">
        <f t="shared" si="23"/>
        <v>0</v>
      </c>
      <c r="M223"/>
      <c r="N223"/>
      <c r="O223"/>
    </row>
    <row r="224" spans="1:15" x14ac:dyDescent="0.3">
      <c r="A224" s="7">
        <v>1727</v>
      </c>
      <c r="B224">
        <v>19</v>
      </c>
      <c r="C224">
        <v>25</v>
      </c>
      <c r="D224">
        <v>3</v>
      </c>
      <c r="E224" t="s">
        <v>18</v>
      </c>
      <c r="F224" s="10">
        <f t="shared" si="18"/>
        <v>329</v>
      </c>
      <c r="G224" s="14">
        <f t="shared" si="19"/>
        <v>431.75</v>
      </c>
      <c r="H224" s="7">
        <f t="shared" si="20"/>
        <v>1555.33</v>
      </c>
      <c r="I224" s="10">
        <f t="shared" si="21"/>
        <v>2487.75</v>
      </c>
      <c r="J224">
        <f t="shared" si="22"/>
        <v>0</v>
      </c>
      <c r="K224">
        <f t="shared" si="23"/>
        <v>0</v>
      </c>
      <c r="M224"/>
      <c r="N224"/>
      <c r="O224"/>
    </row>
    <row r="225" spans="1:15" x14ac:dyDescent="0.3">
      <c r="A225" s="7">
        <v>1588</v>
      </c>
      <c r="B225">
        <v>6</v>
      </c>
      <c r="C225">
        <v>15</v>
      </c>
      <c r="D225">
        <v>4</v>
      </c>
      <c r="E225" t="s">
        <v>21</v>
      </c>
      <c r="F225" s="10">
        <f t="shared" si="18"/>
        <v>96</v>
      </c>
      <c r="G225" s="14">
        <f t="shared" si="19"/>
        <v>238.2</v>
      </c>
      <c r="H225" s="7">
        <f t="shared" si="20"/>
        <v>1166.5</v>
      </c>
      <c r="I225" s="10">
        <f t="shared" si="21"/>
        <v>1922.2</v>
      </c>
      <c r="J225">
        <f t="shared" si="22"/>
        <v>0</v>
      </c>
      <c r="K225">
        <f t="shared" si="23"/>
        <v>0</v>
      </c>
      <c r="M225"/>
      <c r="N225"/>
      <c r="O225"/>
    </row>
    <row r="226" spans="1:15" x14ac:dyDescent="0.3">
      <c r="A226" s="7">
        <v>5340</v>
      </c>
      <c r="B226">
        <v>16</v>
      </c>
      <c r="C226">
        <v>30</v>
      </c>
      <c r="D226">
        <v>1</v>
      </c>
      <c r="E226" t="s">
        <v>20</v>
      </c>
      <c r="F226" s="10">
        <f t="shared" si="18"/>
        <v>855</v>
      </c>
      <c r="G226" s="14">
        <f t="shared" si="19"/>
        <v>1602</v>
      </c>
      <c r="H226" s="7">
        <f t="shared" si="20"/>
        <v>4666</v>
      </c>
      <c r="I226" s="10">
        <f t="shared" si="21"/>
        <v>7797</v>
      </c>
      <c r="J226">
        <f t="shared" si="22"/>
        <v>0</v>
      </c>
      <c r="K226">
        <f t="shared" si="23"/>
        <v>0</v>
      </c>
      <c r="M226"/>
      <c r="N226"/>
      <c r="O226"/>
    </row>
    <row r="227" spans="1:15" x14ac:dyDescent="0.3">
      <c r="A227" s="7">
        <v>424</v>
      </c>
      <c r="B227">
        <v>2</v>
      </c>
      <c r="C227">
        <v>15</v>
      </c>
      <c r="D227">
        <v>8</v>
      </c>
      <c r="E227" t="s">
        <v>18</v>
      </c>
      <c r="F227" s="10">
        <f t="shared" si="18"/>
        <v>9</v>
      </c>
      <c r="G227" s="14">
        <f t="shared" si="19"/>
        <v>63.6</v>
      </c>
      <c r="H227" s="7">
        <f t="shared" si="20"/>
        <v>583.25</v>
      </c>
      <c r="I227" s="10">
        <f t="shared" si="21"/>
        <v>496.6</v>
      </c>
      <c r="J227">
        <f t="shared" si="22"/>
        <v>1</v>
      </c>
      <c r="K227">
        <f t="shared" si="23"/>
        <v>86.649999999999977</v>
      </c>
      <c r="M227"/>
      <c r="N227"/>
      <c r="O227"/>
    </row>
    <row r="228" spans="1:15" x14ac:dyDescent="0.3">
      <c r="A228" s="7">
        <v>2255</v>
      </c>
      <c r="B228">
        <v>9</v>
      </c>
      <c r="C228">
        <v>30</v>
      </c>
      <c r="D228">
        <v>2</v>
      </c>
      <c r="E228" t="s">
        <v>19</v>
      </c>
      <c r="F228" s="10">
        <f t="shared" si="18"/>
        <v>203</v>
      </c>
      <c r="G228" s="14">
        <f t="shared" si="19"/>
        <v>676.5</v>
      </c>
      <c r="H228" s="7">
        <f t="shared" si="20"/>
        <v>2333</v>
      </c>
      <c r="I228" s="10">
        <f t="shared" si="21"/>
        <v>3134.5</v>
      </c>
      <c r="J228">
        <f t="shared" si="22"/>
        <v>0</v>
      </c>
      <c r="K228">
        <f t="shared" si="23"/>
        <v>0</v>
      </c>
      <c r="M228"/>
      <c r="N228"/>
      <c r="O228"/>
    </row>
    <row r="229" spans="1:15" x14ac:dyDescent="0.3">
      <c r="A229" s="7">
        <v>3280</v>
      </c>
      <c r="B229">
        <v>10</v>
      </c>
      <c r="C229">
        <v>20</v>
      </c>
      <c r="D229">
        <v>1</v>
      </c>
      <c r="E229" t="s">
        <v>20</v>
      </c>
      <c r="F229" s="10">
        <f t="shared" si="18"/>
        <v>328</v>
      </c>
      <c r="G229" s="14">
        <f t="shared" si="19"/>
        <v>656</v>
      </c>
      <c r="H229" s="7">
        <f t="shared" si="20"/>
        <v>4666</v>
      </c>
      <c r="I229" s="10">
        <f t="shared" si="21"/>
        <v>4264</v>
      </c>
      <c r="J229">
        <f t="shared" si="22"/>
        <v>1</v>
      </c>
      <c r="K229">
        <f t="shared" si="23"/>
        <v>402</v>
      </c>
      <c r="M229"/>
      <c r="N229"/>
      <c r="O229"/>
    </row>
    <row r="230" spans="1:15" x14ac:dyDescent="0.3">
      <c r="A230" s="7">
        <v>1197</v>
      </c>
      <c r="B230">
        <v>14</v>
      </c>
      <c r="C230">
        <v>5</v>
      </c>
      <c r="D230">
        <v>3</v>
      </c>
      <c r="E230" t="s">
        <v>21</v>
      </c>
      <c r="F230" s="10">
        <f t="shared" si="18"/>
        <v>168</v>
      </c>
      <c r="G230" s="14">
        <f t="shared" si="19"/>
        <v>59.85</v>
      </c>
      <c r="H230" s="7">
        <f t="shared" si="20"/>
        <v>1555.33</v>
      </c>
      <c r="I230" s="10">
        <f t="shared" si="21"/>
        <v>1424.85</v>
      </c>
      <c r="J230">
        <f t="shared" si="22"/>
        <v>1</v>
      </c>
      <c r="K230">
        <f t="shared" si="23"/>
        <v>130.48000000000002</v>
      </c>
      <c r="M230"/>
      <c r="N230"/>
      <c r="O230"/>
    </row>
    <row r="231" spans="1:15" x14ac:dyDescent="0.3">
      <c r="A231" s="7">
        <v>710.1</v>
      </c>
      <c r="B231">
        <v>2</v>
      </c>
      <c r="C231">
        <v>10</v>
      </c>
      <c r="D231">
        <v>5</v>
      </c>
      <c r="E231" t="s">
        <v>21</v>
      </c>
      <c r="F231" s="10">
        <f t="shared" si="18"/>
        <v>15</v>
      </c>
      <c r="G231" s="14">
        <f t="shared" si="19"/>
        <v>71.010000000000005</v>
      </c>
      <c r="H231" s="7">
        <f t="shared" si="20"/>
        <v>933.2</v>
      </c>
      <c r="I231" s="10">
        <f t="shared" si="21"/>
        <v>796.11</v>
      </c>
      <c r="J231">
        <f t="shared" si="22"/>
        <v>1</v>
      </c>
      <c r="K231">
        <f t="shared" si="23"/>
        <v>137.09000000000003</v>
      </c>
      <c r="M231"/>
      <c r="N231"/>
      <c r="O231"/>
    </row>
    <row r="232" spans="1:15" x14ac:dyDescent="0.3">
      <c r="A232" s="7">
        <v>6320</v>
      </c>
      <c r="B232">
        <v>2</v>
      </c>
      <c r="C232">
        <v>50</v>
      </c>
      <c r="D232">
        <v>1</v>
      </c>
      <c r="E232" t="s">
        <v>21</v>
      </c>
      <c r="F232" s="10">
        <f t="shared" si="18"/>
        <v>127</v>
      </c>
      <c r="G232" s="14">
        <f t="shared" si="19"/>
        <v>3160</v>
      </c>
      <c r="H232" s="7">
        <f t="shared" si="20"/>
        <v>4666</v>
      </c>
      <c r="I232" s="10">
        <f t="shared" si="21"/>
        <v>9607</v>
      </c>
      <c r="J232">
        <f t="shared" si="22"/>
        <v>0</v>
      </c>
      <c r="K232">
        <f t="shared" si="23"/>
        <v>0</v>
      </c>
      <c r="M232"/>
      <c r="N232"/>
      <c r="O232"/>
    </row>
    <row r="233" spans="1:15" x14ac:dyDescent="0.3">
      <c r="A233" s="7">
        <v>5250</v>
      </c>
      <c r="B233">
        <v>2</v>
      </c>
      <c r="C233">
        <v>50</v>
      </c>
      <c r="D233">
        <v>1</v>
      </c>
      <c r="E233" t="s">
        <v>16</v>
      </c>
      <c r="F233" s="10">
        <f t="shared" si="18"/>
        <v>105</v>
      </c>
      <c r="G233" s="14">
        <f t="shared" si="19"/>
        <v>2625</v>
      </c>
      <c r="H233" s="7">
        <f t="shared" si="20"/>
        <v>4666</v>
      </c>
      <c r="I233" s="10">
        <f t="shared" si="21"/>
        <v>7980</v>
      </c>
      <c r="J233">
        <f t="shared" si="22"/>
        <v>0</v>
      </c>
      <c r="K233">
        <f t="shared" si="23"/>
        <v>0</v>
      </c>
      <c r="M233"/>
      <c r="N233"/>
      <c r="O233"/>
    </row>
    <row r="234" spans="1:15" x14ac:dyDescent="0.3">
      <c r="A234" s="7">
        <v>2005</v>
      </c>
      <c r="B234">
        <v>18</v>
      </c>
      <c r="C234">
        <v>45</v>
      </c>
      <c r="D234">
        <v>2</v>
      </c>
      <c r="E234" t="s">
        <v>20</v>
      </c>
      <c r="F234" s="10">
        <f t="shared" si="18"/>
        <v>361</v>
      </c>
      <c r="G234" s="14">
        <f t="shared" si="19"/>
        <v>902.25</v>
      </c>
      <c r="H234" s="7">
        <f t="shared" si="20"/>
        <v>2333</v>
      </c>
      <c r="I234" s="10">
        <f t="shared" si="21"/>
        <v>3268.25</v>
      </c>
      <c r="J234">
        <f t="shared" si="22"/>
        <v>0</v>
      </c>
      <c r="K234">
        <f t="shared" si="23"/>
        <v>0</v>
      </c>
      <c r="M234"/>
      <c r="N234"/>
      <c r="O234"/>
    </row>
    <row r="235" spans="1:15" x14ac:dyDescent="0.3">
      <c r="A235" s="7">
        <v>973.3</v>
      </c>
      <c r="B235">
        <v>16</v>
      </c>
      <c r="C235">
        <v>35</v>
      </c>
      <c r="D235">
        <v>7</v>
      </c>
      <c r="E235" t="s">
        <v>20</v>
      </c>
      <c r="F235" s="10">
        <f t="shared" si="18"/>
        <v>156</v>
      </c>
      <c r="G235" s="14">
        <f t="shared" si="19"/>
        <v>340.66</v>
      </c>
      <c r="H235" s="7">
        <f t="shared" si="20"/>
        <v>666.57</v>
      </c>
      <c r="I235" s="10">
        <f t="shared" si="21"/>
        <v>1469.96</v>
      </c>
      <c r="J235">
        <f t="shared" si="22"/>
        <v>0</v>
      </c>
      <c r="K235">
        <f t="shared" si="23"/>
        <v>0</v>
      </c>
      <c r="M235"/>
      <c r="N235"/>
      <c r="O235"/>
    </row>
    <row r="236" spans="1:15" x14ac:dyDescent="0.3">
      <c r="A236" s="7">
        <v>1890</v>
      </c>
      <c r="B236">
        <v>0</v>
      </c>
      <c r="C236">
        <v>45</v>
      </c>
      <c r="D236">
        <v>3</v>
      </c>
      <c r="E236" t="s">
        <v>17</v>
      </c>
      <c r="F236" s="10">
        <f t="shared" si="18"/>
        <v>0</v>
      </c>
      <c r="G236" s="14">
        <f t="shared" si="19"/>
        <v>850.5</v>
      </c>
      <c r="H236" s="7">
        <f t="shared" si="20"/>
        <v>1555.33</v>
      </c>
      <c r="I236" s="10">
        <f t="shared" si="21"/>
        <v>2740.5</v>
      </c>
      <c r="J236">
        <f t="shared" si="22"/>
        <v>0</v>
      </c>
      <c r="K236">
        <f t="shared" si="23"/>
        <v>0</v>
      </c>
      <c r="M236"/>
      <c r="N236"/>
      <c r="O236"/>
    </row>
    <row r="237" spans="1:15" x14ac:dyDescent="0.3">
      <c r="A237" s="7">
        <v>815</v>
      </c>
      <c r="B237">
        <v>8</v>
      </c>
      <c r="C237">
        <v>20</v>
      </c>
      <c r="D237">
        <v>8</v>
      </c>
      <c r="E237" t="s">
        <v>16</v>
      </c>
      <c r="F237" s="10">
        <f t="shared" si="18"/>
        <v>66</v>
      </c>
      <c r="G237" s="14">
        <f t="shared" si="19"/>
        <v>163</v>
      </c>
      <c r="H237" s="7">
        <f t="shared" si="20"/>
        <v>583.25</v>
      </c>
      <c r="I237" s="10">
        <f t="shared" si="21"/>
        <v>1044</v>
      </c>
      <c r="J237">
        <f t="shared" si="22"/>
        <v>0</v>
      </c>
      <c r="K237">
        <f t="shared" si="23"/>
        <v>0</v>
      </c>
      <c r="M237"/>
      <c r="N237"/>
      <c r="O237"/>
    </row>
    <row r="238" spans="1:15" x14ac:dyDescent="0.3">
      <c r="A238" s="7">
        <v>2960</v>
      </c>
      <c r="B238">
        <v>15</v>
      </c>
      <c r="C238">
        <v>20</v>
      </c>
      <c r="D238">
        <v>1</v>
      </c>
      <c r="E238" t="s">
        <v>20</v>
      </c>
      <c r="F238" s="10">
        <f t="shared" si="18"/>
        <v>444</v>
      </c>
      <c r="G238" s="14">
        <f t="shared" si="19"/>
        <v>592</v>
      </c>
      <c r="H238" s="7">
        <f t="shared" si="20"/>
        <v>4666</v>
      </c>
      <c r="I238" s="10">
        <f t="shared" si="21"/>
        <v>3996</v>
      </c>
      <c r="J238">
        <f t="shared" si="22"/>
        <v>1</v>
      </c>
      <c r="K238">
        <f t="shared" si="23"/>
        <v>670</v>
      </c>
      <c r="M238"/>
      <c r="N238"/>
      <c r="O238"/>
    </row>
    <row r="239" spans="1:15" x14ac:dyDescent="0.3">
      <c r="A239" s="7">
        <v>5430</v>
      </c>
      <c r="B239">
        <v>19</v>
      </c>
      <c r="C239">
        <v>15</v>
      </c>
      <c r="D239">
        <v>1</v>
      </c>
      <c r="E239" t="s">
        <v>18</v>
      </c>
      <c r="F239" s="10">
        <f t="shared" si="18"/>
        <v>1032</v>
      </c>
      <c r="G239" s="14">
        <f t="shared" si="19"/>
        <v>814.5</v>
      </c>
      <c r="H239" s="7">
        <f t="shared" si="20"/>
        <v>4666</v>
      </c>
      <c r="I239" s="10">
        <f t="shared" si="21"/>
        <v>7276.5</v>
      </c>
      <c r="J239">
        <f t="shared" si="22"/>
        <v>0</v>
      </c>
      <c r="K239">
        <f t="shared" si="23"/>
        <v>0</v>
      </c>
      <c r="M239"/>
      <c r="N239"/>
      <c r="O239"/>
    </row>
    <row r="240" spans="1:15" x14ac:dyDescent="0.3">
      <c r="A240" s="7">
        <v>2115</v>
      </c>
      <c r="B240">
        <v>6</v>
      </c>
      <c r="C240">
        <v>45</v>
      </c>
      <c r="D240">
        <v>2</v>
      </c>
      <c r="E240" t="s">
        <v>17</v>
      </c>
      <c r="F240" s="10">
        <f t="shared" si="18"/>
        <v>127</v>
      </c>
      <c r="G240" s="14">
        <f t="shared" si="19"/>
        <v>951.75</v>
      </c>
      <c r="H240" s="7">
        <f t="shared" si="20"/>
        <v>2333</v>
      </c>
      <c r="I240" s="10">
        <f t="shared" si="21"/>
        <v>3193.75</v>
      </c>
      <c r="J240">
        <f t="shared" si="22"/>
        <v>0</v>
      </c>
      <c r="K240">
        <f t="shared" si="23"/>
        <v>0</v>
      </c>
      <c r="M240"/>
      <c r="N240"/>
      <c r="O240"/>
    </row>
    <row r="241" spans="1:15" x14ac:dyDescent="0.3">
      <c r="A241" s="7">
        <v>1643</v>
      </c>
      <c r="B241">
        <v>1</v>
      </c>
      <c r="C241">
        <v>35</v>
      </c>
      <c r="D241">
        <v>3</v>
      </c>
      <c r="E241" t="s">
        <v>17</v>
      </c>
      <c r="F241" s="10">
        <f t="shared" si="18"/>
        <v>17</v>
      </c>
      <c r="G241" s="14">
        <f t="shared" si="19"/>
        <v>575.04999999999995</v>
      </c>
      <c r="H241" s="7">
        <f t="shared" si="20"/>
        <v>1555.33</v>
      </c>
      <c r="I241" s="10">
        <f t="shared" si="21"/>
        <v>2235.0500000000002</v>
      </c>
      <c r="J241">
        <f t="shared" si="22"/>
        <v>0</v>
      </c>
      <c r="K241">
        <f t="shared" si="23"/>
        <v>0</v>
      </c>
      <c r="M241"/>
      <c r="N241"/>
      <c r="O241"/>
    </row>
    <row r="242" spans="1:15" x14ac:dyDescent="0.3">
      <c r="A242" s="7">
        <v>2320</v>
      </c>
      <c r="B242">
        <v>10</v>
      </c>
      <c r="C242">
        <v>25</v>
      </c>
      <c r="D242">
        <v>3</v>
      </c>
      <c r="E242" t="s">
        <v>16</v>
      </c>
      <c r="F242" s="10">
        <f t="shared" si="18"/>
        <v>232</v>
      </c>
      <c r="G242" s="14">
        <f t="shared" si="19"/>
        <v>580</v>
      </c>
      <c r="H242" s="7">
        <f t="shared" si="20"/>
        <v>1555.33</v>
      </c>
      <c r="I242" s="10">
        <f t="shared" si="21"/>
        <v>3132</v>
      </c>
      <c r="J242">
        <f t="shared" si="22"/>
        <v>0</v>
      </c>
      <c r="K242">
        <f t="shared" si="23"/>
        <v>0</v>
      </c>
      <c r="M242"/>
      <c r="N242"/>
      <c r="O242"/>
    </row>
    <row r="243" spans="1:15" x14ac:dyDescent="0.3">
      <c r="A243" s="7">
        <v>1183</v>
      </c>
      <c r="B243">
        <v>19</v>
      </c>
      <c r="C243">
        <v>20</v>
      </c>
      <c r="D243">
        <v>4</v>
      </c>
      <c r="E243" t="s">
        <v>18</v>
      </c>
      <c r="F243" s="10">
        <f t="shared" si="18"/>
        <v>225</v>
      </c>
      <c r="G243" s="14">
        <f t="shared" si="19"/>
        <v>236.6</v>
      </c>
      <c r="H243" s="7">
        <f t="shared" si="20"/>
        <v>1166.5</v>
      </c>
      <c r="I243" s="10">
        <f t="shared" si="21"/>
        <v>1644.6</v>
      </c>
      <c r="J243">
        <f t="shared" si="22"/>
        <v>0</v>
      </c>
      <c r="K243">
        <f t="shared" si="23"/>
        <v>0</v>
      </c>
      <c r="M243"/>
      <c r="N243"/>
      <c r="O243"/>
    </row>
    <row r="244" spans="1:15" x14ac:dyDescent="0.3">
      <c r="A244" s="7">
        <v>676</v>
      </c>
      <c r="B244">
        <v>11</v>
      </c>
      <c r="C244">
        <v>50</v>
      </c>
      <c r="D244">
        <v>7</v>
      </c>
      <c r="E244" t="s">
        <v>20</v>
      </c>
      <c r="F244" s="10">
        <f t="shared" si="18"/>
        <v>75</v>
      </c>
      <c r="G244" s="14">
        <f t="shared" si="19"/>
        <v>338</v>
      </c>
      <c r="H244" s="7">
        <f t="shared" si="20"/>
        <v>666.57</v>
      </c>
      <c r="I244" s="10">
        <f t="shared" si="21"/>
        <v>1089</v>
      </c>
      <c r="J244">
        <f t="shared" si="22"/>
        <v>0</v>
      </c>
      <c r="K244">
        <f t="shared" si="23"/>
        <v>0</v>
      </c>
      <c r="M244"/>
      <c r="N244"/>
      <c r="O244"/>
    </row>
    <row r="245" spans="1:15" x14ac:dyDescent="0.3">
      <c r="A245" s="7">
        <v>375</v>
      </c>
      <c r="B245">
        <v>0</v>
      </c>
      <c r="C245">
        <v>10</v>
      </c>
      <c r="D245">
        <v>10</v>
      </c>
      <c r="E245" t="s">
        <v>20</v>
      </c>
      <c r="F245" s="10">
        <f t="shared" si="18"/>
        <v>0</v>
      </c>
      <c r="G245" s="14">
        <f t="shared" si="19"/>
        <v>37.5</v>
      </c>
      <c r="H245" s="7">
        <f t="shared" si="20"/>
        <v>466.6</v>
      </c>
      <c r="I245" s="10">
        <f t="shared" si="21"/>
        <v>412.5</v>
      </c>
      <c r="J245">
        <f t="shared" si="22"/>
        <v>1</v>
      </c>
      <c r="K245">
        <f t="shared" si="23"/>
        <v>54.100000000000023</v>
      </c>
      <c r="M245"/>
      <c r="N245"/>
      <c r="O245"/>
    </row>
    <row r="246" spans="1:15" x14ac:dyDescent="0.3">
      <c r="A246" s="7">
        <v>666</v>
      </c>
      <c r="B246">
        <v>18</v>
      </c>
      <c r="C246">
        <v>35</v>
      </c>
      <c r="D246">
        <v>9</v>
      </c>
      <c r="E246" t="s">
        <v>17</v>
      </c>
      <c r="F246" s="10">
        <f t="shared" si="18"/>
        <v>120</v>
      </c>
      <c r="G246" s="14">
        <f t="shared" si="19"/>
        <v>233.1</v>
      </c>
      <c r="H246" s="7">
        <f t="shared" si="20"/>
        <v>518.44000000000005</v>
      </c>
      <c r="I246" s="10">
        <f t="shared" si="21"/>
        <v>1019.1</v>
      </c>
      <c r="J246">
        <f t="shared" si="22"/>
        <v>0</v>
      </c>
      <c r="K246">
        <f t="shared" si="23"/>
        <v>0</v>
      </c>
      <c r="M246"/>
      <c r="N246"/>
      <c r="O246"/>
    </row>
    <row r="247" spans="1:15" x14ac:dyDescent="0.3">
      <c r="A247" s="7">
        <v>1020</v>
      </c>
      <c r="B247">
        <v>4</v>
      </c>
      <c r="C247">
        <v>50</v>
      </c>
      <c r="D247">
        <v>6</v>
      </c>
      <c r="E247" t="s">
        <v>15</v>
      </c>
      <c r="F247" s="10">
        <f t="shared" si="18"/>
        <v>41</v>
      </c>
      <c r="G247" s="14">
        <f t="shared" si="19"/>
        <v>510</v>
      </c>
      <c r="H247" s="7">
        <f t="shared" si="20"/>
        <v>777.67</v>
      </c>
      <c r="I247" s="10">
        <f t="shared" si="21"/>
        <v>1571</v>
      </c>
      <c r="J247">
        <f t="shared" si="22"/>
        <v>0</v>
      </c>
      <c r="K247">
        <f t="shared" si="23"/>
        <v>0</v>
      </c>
      <c r="M247"/>
      <c r="N247"/>
      <c r="O247"/>
    </row>
    <row r="248" spans="1:15" x14ac:dyDescent="0.3">
      <c r="A248" s="7">
        <v>705</v>
      </c>
      <c r="B248">
        <v>16</v>
      </c>
      <c r="C248">
        <v>30</v>
      </c>
      <c r="D248">
        <v>8</v>
      </c>
      <c r="E248" t="s">
        <v>16</v>
      </c>
      <c r="F248" s="10">
        <f t="shared" si="18"/>
        <v>113</v>
      </c>
      <c r="G248" s="14">
        <f t="shared" si="19"/>
        <v>211.5</v>
      </c>
      <c r="H248" s="7">
        <f t="shared" si="20"/>
        <v>583.25</v>
      </c>
      <c r="I248" s="10">
        <f t="shared" si="21"/>
        <v>1029.5</v>
      </c>
      <c r="J248">
        <f t="shared" si="22"/>
        <v>0</v>
      </c>
      <c r="K248">
        <f t="shared" si="23"/>
        <v>0</v>
      </c>
      <c r="M248"/>
      <c r="N248"/>
      <c r="O248"/>
    </row>
    <row r="249" spans="1:15" x14ac:dyDescent="0.3">
      <c r="A249" s="7">
        <v>676</v>
      </c>
      <c r="B249">
        <v>9</v>
      </c>
      <c r="C249">
        <v>0</v>
      </c>
      <c r="D249">
        <v>7</v>
      </c>
      <c r="E249" t="s">
        <v>19</v>
      </c>
      <c r="F249" s="10">
        <f t="shared" si="18"/>
        <v>61</v>
      </c>
      <c r="G249" s="14">
        <f t="shared" si="19"/>
        <v>0</v>
      </c>
      <c r="H249" s="7">
        <f t="shared" si="20"/>
        <v>666.57</v>
      </c>
      <c r="I249" s="10">
        <f t="shared" si="21"/>
        <v>737</v>
      </c>
      <c r="J249">
        <f t="shared" si="22"/>
        <v>0</v>
      </c>
      <c r="K249">
        <f t="shared" si="23"/>
        <v>0</v>
      </c>
      <c r="M249"/>
      <c r="N249"/>
      <c r="O249"/>
    </row>
    <row r="250" spans="1:15" x14ac:dyDescent="0.3">
      <c r="A250" s="7">
        <v>560</v>
      </c>
      <c r="B250">
        <v>8</v>
      </c>
      <c r="C250">
        <v>30</v>
      </c>
      <c r="D250">
        <v>8</v>
      </c>
      <c r="E250" t="s">
        <v>15</v>
      </c>
      <c r="F250" s="10">
        <f t="shared" si="18"/>
        <v>45</v>
      </c>
      <c r="G250" s="14">
        <f t="shared" si="19"/>
        <v>168</v>
      </c>
      <c r="H250" s="7">
        <f t="shared" si="20"/>
        <v>583.25</v>
      </c>
      <c r="I250" s="10">
        <f t="shared" si="21"/>
        <v>773</v>
      </c>
      <c r="J250">
        <f t="shared" si="22"/>
        <v>0</v>
      </c>
      <c r="K250">
        <f t="shared" si="23"/>
        <v>0</v>
      </c>
      <c r="M250"/>
      <c r="N250"/>
      <c r="O250"/>
    </row>
    <row r="251" spans="1:15" x14ac:dyDescent="0.3">
      <c r="A251" s="7">
        <v>1455</v>
      </c>
      <c r="B251">
        <v>17</v>
      </c>
      <c r="C251">
        <v>0</v>
      </c>
      <c r="D251">
        <v>4</v>
      </c>
      <c r="E251" t="s">
        <v>18</v>
      </c>
      <c r="F251" s="10">
        <f t="shared" si="18"/>
        <v>248</v>
      </c>
      <c r="G251" s="14">
        <f t="shared" si="19"/>
        <v>0</v>
      </c>
      <c r="H251" s="7">
        <f t="shared" si="20"/>
        <v>1166.5</v>
      </c>
      <c r="I251" s="10">
        <f t="shared" si="21"/>
        <v>1703</v>
      </c>
      <c r="J251">
        <f t="shared" si="22"/>
        <v>0</v>
      </c>
      <c r="K251">
        <f t="shared" si="23"/>
        <v>0</v>
      </c>
      <c r="M251"/>
      <c r="N251"/>
      <c r="O251"/>
    </row>
    <row r="252" spans="1:15" x14ac:dyDescent="0.3">
      <c r="A252" s="7">
        <v>727</v>
      </c>
      <c r="B252">
        <v>14</v>
      </c>
      <c r="C252">
        <v>50</v>
      </c>
      <c r="D252">
        <v>6</v>
      </c>
      <c r="E252" t="s">
        <v>18</v>
      </c>
      <c r="F252" s="10">
        <f t="shared" si="18"/>
        <v>102</v>
      </c>
      <c r="G252" s="14">
        <f t="shared" si="19"/>
        <v>363.5</v>
      </c>
      <c r="H252" s="7">
        <f t="shared" si="20"/>
        <v>777.67</v>
      </c>
      <c r="I252" s="10">
        <f t="shared" si="21"/>
        <v>1192.5</v>
      </c>
      <c r="J252">
        <f t="shared" si="22"/>
        <v>0</v>
      </c>
      <c r="K252">
        <f t="shared" si="23"/>
        <v>0</v>
      </c>
      <c r="M252"/>
      <c r="N252"/>
      <c r="O252"/>
    </row>
    <row r="253" spans="1:15" x14ac:dyDescent="0.3">
      <c r="A253" s="7">
        <v>497</v>
      </c>
      <c r="B253">
        <v>13</v>
      </c>
      <c r="C253">
        <v>40</v>
      </c>
      <c r="D253">
        <v>9</v>
      </c>
      <c r="E253" t="s">
        <v>19</v>
      </c>
      <c r="F253" s="10">
        <f t="shared" si="18"/>
        <v>65</v>
      </c>
      <c r="G253" s="14">
        <f t="shared" si="19"/>
        <v>198.8</v>
      </c>
      <c r="H253" s="7">
        <f t="shared" si="20"/>
        <v>518.44000000000005</v>
      </c>
      <c r="I253" s="10">
        <f t="shared" si="21"/>
        <v>760.8</v>
      </c>
      <c r="J253">
        <f t="shared" si="22"/>
        <v>0</v>
      </c>
      <c r="K253">
        <f t="shared" si="23"/>
        <v>0</v>
      </c>
      <c r="M253"/>
      <c r="N253"/>
      <c r="O253"/>
    </row>
    <row r="254" spans="1:15" x14ac:dyDescent="0.3">
      <c r="A254" s="7">
        <v>1113</v>
      </c>
      <c r="B254">
        <v>18</v>
      </c>
      <c r="C254">
        <v>20</v>
      </c>
      <c r="D254">
        <v>4</v>
      </c>
      <c r="E254" t="s">
        <v>21</v>
      </c>
      <c r="F254" s="10">
        <f t="shared" si="18"/>
        <v>201</v>
      </c>
      <c r="G254" s="14">
        <f t="shared" si="19"/>
        <v>222.6</v>
      </c>
      <c r="H254" s="7">
        <f t="shared" si="20"/>
        <v>1166.5</v>
      </c>
      <c r="I254" s="10">
        <f t="shared" si="21"/>
        <v>1536.6</v>
      </c>
      <c r="J254">
        <f t="shared" si="22"/>
        <v>0</v>
      </c>
      <c r="K254">
        <f t="shared" si="23"/>
        <v>0</v>
      </c>
      <c r="M254"/>
      <c r="N254"/>
      <c r="O254"/>
    </row>
    <row r="255" spans="1:15" x14ac:dyDescent="0.3">
      <c r="A255" s="7">
        <v>6370</v>
      </c>
      <c r="B255">
        <v>0</v>
      </c>
      <c r="C255">
        <v>15</v>
      </c>
      <c r="D255">
        <v>1</v>
      </c>
      <c r="E255" t="s">
        <v>17</v>
      </c>
      <c r="F255" s="10">
        <f t="shared" si="18"/>
        <v>0</v>
      </c>
      <c r="G255" s="14">
        <f t="shared" si="19"/>
        <v>955.5</v>
      </c>
      <c r="H255" s="7">
        <f t="shared" si="20"/>
        <v>4666</v>
      </c>
      <c r="I255" s="10">
        <f t="shared" si="21"/>
        <v>7325.5</v>
      </c>
      <c r="J255">
        <f t="shared" si="22"/>
        <v>0</v>
      </c>
      <c r="K255">
        <f t="shared" si="23"/>
        <v>0</v>
      </c>
      <c r="M255"/>
      <c r="N255"/>
      <c r="O255"/>
    </row>
    <row r="256" spans="1:15" x14ac:dyDescent="0.3">
      <c r="A256" s="7">
        <v>1268</v>
      </c>
      <c r="B256">
        <v>5</v>
      </c>
      <c r="C256">
        <v>0</v>
      </c>
      <c r="D256">
        <v>5</v>
      </c>
      <c r="E256" t="s">
        <v>15</v>
      </c>
      <c r="F256" s="10">
        <f t="shared" si="18"/>
        <v>64</v>
      </c>
      <c r="G256" s="14">
        <f t="shared" si="19"/>
        <v>0</v>
      </c>
      <c r="H256" s="7">
        <f t="shared" si="20"/>
        <v>933.2</v>
      </c>
      <c r="I256" s="10">
        <f t="shared" si="21"/>
        <v>1332</v>
      </c>
      <c r="J256">
        <f t="shared" si="22"/>
        <v>0</v>
      </c>
      <c r="K256">
        <f t="shared" si="23"/>
        <v>0</v>
      </c>
      <c r="M256"/>
      <c r="N256"/>
      <c r="O256"/>
    </row>
    <row r="257" spans="1:15" x14ac:dyDescent="0.3">
      <c r="A257" s="7">
        <v>5390</v>
      </c>
      <c r="B257">
        <v>9</v>
      </c>
      <c r="C257">
        <v>35</v>
      </c>
      <c r="D257">
        <v>1</v>
      </c>
      <c r="E257" t="s">
        <v>16</v>
      </c>
      <c r="F257" s="10">
        <f t="shared" si="18"/>
        <v>486</v>
      </c>
      <c r="G257" s="14">
        <f t="shared" si="19"/>
        <v>1886.5</v>
      </c>
      <c r="H257" s="7">
        <f t="shared" si="20"/>
        <v>4666</v>
      </c>
      <c r="I257" s="10">
        <f t="shared" si="21"/>
        <v>7762.5</v>
      </c>
      <c r="J257">
        <f t="shared" si="22"/>
        <v>0</v>
      </c>
      <c r="K257">
        <f t="shared" si="23"/>
        <v>0</v>
      </c>
      <c r="M257"/>
      <c r="N257"/>
      <c r="O257"/>
    </row>
    <row r="258" spans="1:15" x14ac:dyDescent="0.3">
      <c r="A258" s="7">
        <v>306</v>
      </c>
      <c r="B258">
        <v>13</v>
      </c>
      <c r="C258">
        <v>45</v>
      </c>
      <c r="D258">
        <v>9</v>
      </c>
      <c r="E258" t="s">
        <v>18</v>
      </c>
      <c r="F258" s="10">
        <f t="shared" si="18"/>
        <v>40</v>
      </c>
      <c r="G258" s="14">
        <f t="shared" si="19"/>
        <v>137.69999999999999</v>
      </c>
      <c r="H258" s="7">
        <f t="shared" si="20"/>
        <v>518.44000000000005</v>
      </c>
      <c r="I258" s="10">
        <f t="shared" si="21"/>
        <v>483.7</v>
      </c>
      <c r="J258">
        <f t="shared" si="22"/>
        <v>1</v>
      </c>
      <c r="K258">
        <f t="shared" si="23"/>
        <v>34.740000000000066</v>
      </c>
      <c r="M258"/>
      <c r="N258"/>
      <c r="O258"/>
    </row>
    <row r="259" spans="1:15" x14ac:dyDescent="0.3">
      <c r="A259" s="7">
        <v>3530</v>
      </c>
      <c r="B259">
        <v>14</v>
      </c>
      <c r="C259">
        <v>25</v>
      </c>
      <c r="D259">
        <v>1</v>
      </c>
      <c r="E259" t="s">
        <v>16</v>
      </c>
      <c r="F259" s="10">
        <f t="shared" ref="F259:F322" si="24">ROUNDUP(0.01*B259*A259,0)</f>
        <v>495</v>
      </c>
      <c r="G259" s="14">
        <f t="shared" ref="G259:G322" si="25">ROUND(C259/100*A259,2)</f>
        <v>882.5</v>
      </c>
      <c r="H259" s="7">
        <f t="shared" ref="H259:H322" si="26">ROUND(4666/D259:D758,2)</f>
        <v>4666</v>
      </c>
      <c r="I259" s="10">
        <f t="shared" ref="I259:I322" si="27">G259+A259+F259</f>
        <v>4907.5</v>
      </c>
      <c r="J259">
        <f t="shared" ref="J259:J322" si="28">IF(H259&gt;I259,1,0)</f>
        <v>0</v>
      </c>
      <c r="K259">
        <f t="shared" ref="K259:K322" si="29">IF(J259=1,H259-I259,0)</f>
        <v>0</v>
      </c>
      <c r="M259"/>
      <c r="N259"/>
      <c r="O259"/>
    </row>
    <row r="260" spans="1:15" x14ac:dyDescent="0.3">
      <c r="A260" s="7">
        <v>5130</v>
      </c>
      <c r="B260">
        <v>19</v>
      </c>
      <c r="C260">
        <v>20</v>
      </c>
      <c r="D260">
        <v>1</v>
      </c>
      <c r="E260" t="s">
        <v>17</v>
      </c>
      <c r="F260" s="10">
        <f t="shared" si="24"/>
        <v>975</v>
      </c>
      <c r="G260" s="14">
        <f t="shared" si="25"/>
        <v>1026</v>
      </c>
      <c r="H260" s="7">
        <f t="shared" si="26"/>
        <v>4666</v>
      </c>
      <c r="I260" s="10">
        <f t="shared" si="27"/>
        <v>7131</v>
      </c>
      <c r="J260">
        <f t="shared" si="28"/>
        <v>0</v>
      </c>
      <c r="K260">
        <f t="shared" si="29"/>
        <v>0</v>
      </c>
      <c r="M260"/>
      <c r="N260"/>
      <c r="O260"/>
    </row>
    <row r="261" spans="1:15" x14ac:dyDescent="0.3">
      <c r="A261" s="7">
        <v>521</v>
      </c>
      <c r="B261">
        <v>7</v>
      </c>
      <c r="C261">
        <v>50</v>
      </c>
      <c r="D261">
        <v>7</v>
      </c>
      <c r="E261" t="s">
        <v>16</v>
      </c>
      <c r="F261" s="10">
        <f t="shared" si="24"/>
        <v>37</v>
      </c>
      <c r="G261" s="14">
        <f t="shared" si="25"/>
        <v>260.5</v>
      </c>
      <c r="H261" s="7">
        <f t="shared" si="26"/>
        <v>666.57</v>
      </c>
      <c r="I261" s="10">
        <f t="shared" si="27"/>
        <v>818.5</v>
      </c>
      <c r="J261">
        <f t="shared" si="28"/>
        <v>0</v>
      </c>
      <c r="K261">
        <f t="shared" si="29"/>
        <v>0</v>
      </c>
      <c r="M261"/>
      <c r="N261"/>
      <c r="O261"/>
    </row>
    <row r="262" spans="1:15" x14ac:dyDescent="0.3">
      <c r="A262" s="7">
        <v>845</v>
      </c>
      <c r="B262">
        <v>13</v>
      </c>
      <c r="C262">
        <v>50</v>
      </c>
      <c r="D262">
        <v>8</v>
      </c>
      <c r="E262" t="s">
        <v>18</v>
      </c>
      <c r="F262" s="10">
        <f t="shared" si="24"/>
        <v>110</v>
      </c>
      <c r="G262" s="14">
        <f t="shared" si="25"/>
        <v>422.5</v>
      </c>
      <c r="H262" s="7">
        <f t="shared" si="26"/>
        <v>583.25</v>
      </c>
      <c r="I262" s="10">
        <f t="shared" si="27"/>
        <v>1377.5</v>
      </c>
      <c r="J262">
        <f t="shared" si="28"/>
        <v>0</v>
      </c>
      <c r="K262">
        <f t="shared" si="29"/>
        <v>0</v>
      </c>
      <c r="M262"/>
      <c r="N262"/>
      <c r="O262"/>
    </row>
    <row r="263" spans="1:15" x14ac:dyDescent="0.3">
      <c r="A263" s="7">
        <v>713</v>
      </c>
      <c r="B263">
        <v>16</v>
      </c>
      <c r="C263">
        <v>5</v>
      </c>
      <c r="D263">
        <v>9</v>
      </c>
      <c r="E263" t="s">
        <v>20</v>
      </c>
      <c r="F263" s="10">
        <f t="shared" si="24"/>
        <v>115</v>
      </c>
      <c r="G263" s="14">
        <f t="shared" si="25"/>
        <v>35.65</v>
      </c>
      <c r="H263" s="7">
        <f t="shared" si="26"/>
        <v>518.44000000000005</v>
      </c>
      <c r="I263" s="10">
        <f t="shared" si="27"/>
        <v>863.65</v>
      </c>
      <c r="J263">
        <f t="shared" si="28"/>
        <v>0</v>
      </c>
      <c r="K263">
        <f t="shared" si="29"/>
        <v>0</v>
      </c>
      <c r="M263"/>
      <c r="N263"/>
      <c r="O263"/>
    </row>
    <row r="264" spans="1:15" x14ac:dyDescent="0.3">
      <c r="A264" s="7">
        <v>560</v>
      </c>
      <c r="B264">
        <v>16</v>
      </c>
      <c r="C264">
        <v>25</v>
      </c>
      <c r="D264">
        <v>9</v>
      </c>
      <c r="E264" t="s">
        <v>19</v>
      </c>
      <c r="F264" s="10">
        <f t="shared" si="24"/>
        <v>90</v>
      </c>
      <c r="G264" s="14">
        <f t="shared" si="25"/>
        <v>140</v>
      </c>
      <c r="H264" s="7">
        <f t="shared" si="26"/>
        <v>518.44000000000005</v>
      </c>
      <c r="I264" s="10">
        <f t="shared" si="27"/>
        <v>790</v>
      </c>
      <c r="J264">
        <f t="shared" si="28"/>
        <v>0</v>
      </c>
      <c r="K264">
        <f t="shared" si="29"/>
        <v>0</v>
      </c>
      <c r="M264"/>
      <c r="N264"/>
      <c r="O264"/>
    </row>
    <row r="265" spans="1:15" x14ac:dyDescent="0.3">
      <c r="A265" s="7">
        <v>3000</v>
      </c>
      <c r="B265">
        <v>10</v>
      </c>
      <c r="C265">
        <v>30</v>
      </c>
      <c r="D265">
        <v>1</v>
      </c>
      <c r="E265" t="s">
        <v>20</v>
      </c>
      <c r="F265" s="10">
        <f t="shared" si="24"/>
        <v>300</v>
      </c>
      <c r="G265" s="14">
        <f t="shared" si="25"/>
        <v>900</v>
      </c>
      <c r="H265" s="7">
        <f t="shared" si="26"/>
        <v>4666</v>
      </c>
      <c r="I265" s="10">
        <f t="shared" si="27"/>
        <v>4200</v>
      </c>
      <c r="J265">
        <f t="shared" si="28"/>
        <v>1</v>
      </c>
      <c r="K265">
        <f t="shared" si="29"/>
        <v>466</v>
      </c>
      <c r="M265"/>
      <c r="N265"/>
      <c r="O265"/>
    </row>
    <row r="266" spans="1:15" x14ac:dyDescent="0.3">
      <c r="A266" s="7">
        <v>651</v>
      </c>
      <c r="B266">
        <v>10</v>
      </c>
      <c r="C266">
        <v>25</v>
      </c>
      <c r="D266">
        <v>10</v>
      </c>
      <c r="E266" t="s">
        <v>19</v>
      </c>
      <c r="F266" s="10">
        <f t="shared" si="24"/>
        <v>66</v>
      </c>
      <c r="G266" s="14">
        <f t="shared" si="25"/>
        <v>162.75</v>
      </c>
      <c r="H266" s="7">
        <f t="shared" si="26"/>
        <v>466.6</v>
      </c>
      <c r="I266" s="10">
        <f t="shared" si="27"/>
        <v>879.75</v>
      </c>
      <c r="J266">
        <f t="shared" si="28"/>
        <v>0</v>
      </c>
      <c r="K266">
        <f t="shared" si="29"/>
        <v>0</v>
      </c>
      <c r="M266"/>
      <c r="N266"/>
      <c r="O266"/>
    </row>
    <row r="267" spans="1:15" x14ac:dyDescent="0.3">
      <c r="A267" s="7">
        <v>5970</v>
      </c>
      <c r="B267">
        <v>7</v>
      </c>
      <c r="C267">
        <v>25</v>
      </c>
      <c r="D267">
        <v>1</v>
      </c>
      <c r="E267" t="s">
        <v>15</v>
      </c>
      <c r="F267" s="10">
        <f t="shared" si="24"/>
        <v>418</v>
      </c>
      <c r="G267" s="14">
        <f t="shared" si="25"/>
        <v>1492.5</v>
      </c>
      <c r="H267" s="7">
        <f t="shared" si="26"/>
        <v>4666</v>
      </c>
      <c r="I267" s="10">
        <f t="shared" si="27"/>
        <v>7880.5</v>
      </c>
      <c r="J267">
        <f t="shared" si="28"/>
        <v>0</v>
      </c>
      <c r="K267">
        <f t="shared" si="29"/>
        <v>0</v>
      </c>
      <c r="M267"/>
      <c r="N267"/>
      <c r="O267"/>
    </row>
    <row r="268" spans="1:15" x14ac:dyDescent="0.3">
      <c r="A268" s="7">
        <v>1423</v>
      </c>
      <c r="B268">
        <v>0</v>
      </c>
      <c r="C268">
        <v>15</v>
      </c>
      <c r="D268">
        <v>3</v>
      </c>
      <c r="E268" t="s">
        <v>18</v>
      </c>
      <c r="F268" s="10">
        <f t="shared" si="24"/>
        <v>0</v>
      </c>
      <c r="G268" s="14">
        <f t="shared" si="25"/>
        <v>213.45</v>
      </c>
      <c r="H268" s="7">
        <f t="shared" si="26"/>
        <v>1555.33</v>
      </c>
      <c r="I268" s="10">
        <f t="shared" si="27"/>
        <v>1636.45</v>
      </c>
      <c r="J268">
        <f t="shared" si="28"/>
        <v>0</v>
      </c>
      <c r="K268">
        <f t="shared" si="29"/>
        <v>0</v>
      </c>
      <c r="M268"/>
      <c r="N268"/>
      <c r="O268"/>
    </row>
    <row r="269" spans="1:15" x14ac:dyDescent="0.3">
      <c r="A269" s="7">
        <v>5330</v>
      </c>
      <c r="B269">
        <v>10</v>
      </c>
      <c r="C269">
        <v>5</v>
      </c>
      <c r="D269">
        <v>1</v>
      </c>
      <c r="E269" t="s">
        <v>16</v>
      </c>
      <c r="F269" s="10">
        <f t="shared" si="24"/>
        <v>533</v>
      </c>
      <c r="G269" s="14">
        <f t="shared" si="25"/>
        <v>266.5</v>
      </c>
      <c r="H269" s="7">
        <f t="shared" si="26"/>
        <v>4666</v>
      </c>
      <c r="I269" s="10">
        <f t="shared" si="27"/>
        <v>6129.5</v>
      </c>
      <c r="J269">
        <f t="shared" si="28"/>
        <v>0</v>
      </c>
      <c r="K269">
        <f t="shared" si="29"/>
        <v>0</v>
      </c>
      <c r="M269"/>
      <c r="N269"/>
      <c r="O269"/>
    </row>
    <row r="270" spans="1:15" x14ac:dyDescent="0.3">
      <c r="A270" s="7">
        <v>4730</v>
      </c>
      <c r="B270">
        <v>13</v>
      </c>
      <c r="C270">
        <v>15</v>
      </c>
      <c r="D270">
        <v>1</v>
      </c>
      <c r="E270" t="s">
        <v>20</v>
      </c>
      <c r="F270" s="10">
        <f t="shared" si="24"/>
        <v>615</v>
      </c>
      <c r="G270" s="14">
        <f t="shared" si="25"/>
        <v>709.5</v>
      </c>
      <c r="H270" s="7">
        <f t="shared" si="26"/>
        <v>4666</v>
      </c>
      <c r="I270" s="10">
        <f t="shared" si="27"/>
        <v>6054.5</v>
      </c>
      <c r="J270">
        <f t="shared" si="28"/>
        <v>0</v>
      </c>
      <c r="K270">
        <f t="shared" si="29"/>
        <v>0</v>
      </c>
      <c r="M270"/>
      <c r="N270"/>
      <c r="O270"/>
    </row>
    <row r="271" spans="1:15" x14ac:dyDescent="0.3">
      <c r="A271" s="7">
        <v>789</v>
      </c>
      <c r="B271">
        <v>10</v>
      </c>
      <c r="C271">
        <v>40</v>
      </c>
      <c r="D271">
        <v>8</v>
      </c>
      <c r="E271" t="s">
        <v>15</v>
      </c>
      <c r="F271" s="10">
        <f t="shared" si="24"/>
        <v>79</v>
      </c>
      <c r="G271" s="14">
        <f t="shared" si="25"/>
        <v>315.60000000000002</v>
      </c>
      <c r="H271" s="7">
        <f t="shared" si="26"/>
        <v>583.25</v>
      </c>
      <c r="I271" s="10">
        <f t="shared" si="27"/>
        <v>1183.5999999999999</v>
      </c>
      <c r="J271">
        <f t="shared" si="28"/>
        <v>0</v>
      </c>
      <c r="K271">
        <f t="shared" si="29"/>
        <v>0</v>
      </c>
      <c r="M271"/>
      <c r="N271"/>
      <c r="O271"/>
    </row>
    <row r="272" spans="1:15" x14ac:dyDescent="0.3">
      <c r="A272" s="7">
        <v>773</v>
      </c>
      <c r="B272">
        <v>6</v>
      </c>
      <c r="C272">
        <v>45</v>
      </c>
      <c r="D272">
        <v>8</v>
      </c>
      <c r="E272" t="s">
        <v>18</v>
      </c>
      <c r="F272" s="10">
        <f t="shared" si="24"/>
        <v>47</v>
      </c>
      <c r="G272" s="14">
        <f t="shared" si="25"/>
        <v>347.85</v>
      </c>
      <c r="H272" s="7">
        <f t="shared" si="26"/>
        <v>583.25</v>
      </c>
      <c r="I272" s="10">
        <f t="shared" si="27"/>
        <v>1167.8499999999999</v>
      </c>
      <c r="J272">
        <f t="shared" si="28"/>
        <v>0</v>
      </c>
      <c r="K272">
        <f t="shared" si="29"/>
        <v>0</v>
      </c>
      <c r="M272"/>
      <c r="N272"/>
      <c r="O272"/>
    </row>
    <row r="273" spans="1:15" x14ac:dyDescent="0.3">
      <c r="A273" s="7">
        <v>6380</v>
      </c>
      <c r="B273">
        <v>14</v>
      </c>
      <c r="C273">
        <v>5</v>
      </c>
      <c r="D273">
        <v>1</v>
      </c>
      <c r="E273" t="s">
        <v>15</v>
      </c>
      <c r="F273" s="10">
        <f t="shared" si="24"/>
        <v>894</v>
      </c>
      <c r="G273" s="14">
        <f t="shared" si="25"/>
        <v>319</v>
      </c>
      <c r="H273" s="7">
        <f t="shared" si="26"/>
        <v>4666</v>
      </c>
      <c r="I273" s="10">
        <f t="shared" si="27"/>
        <v>7593</v>
      </c>
      <c r="J273">
        <f t="shared" si="28"/>
        <v>0</v>
      </c>
      <c r="K273">
        <f t="shared" si="29"/>
        <v>0</v>
      </c>
      <c r="M273"/>
      <c r="N273"/>
      <c r="O273"/>
    </row>
    <row r="274" spans="1:15" x14ac:dyDescent="0.3">
      <c r="A274" s="7">
        <v>459</v>
      </c>
      <c r="B274">
        <v>13</v>
      </c>
      <c r="C274">
        <v>30</v>
      </c>
      <c r="D274">
        <v>10</v>
      </c>
      <c r="E274" t="s">
        <v>17</v>
      </c>
      <c r="F274" s="10">
        <f t="shared" si="24"/>
        <v>60</v>
      </c>
      <c r="G274" s="14">
        <f t="shared" si="25"/>
        <v>137.69999999999999</v>
      </c>
      <c r="H274" s="7">
        <f t="shared" si="26"/>
        <v>466.6</v>
      </c>
      <c r="I274" s="10">
        <f t="shared" si="27"/>
        <v>656.7</v>
      </c>
      <c r="J274">
        <f t="shared" si="28"/>
        <v>0</v>
      </c>
      <c r="K274">
        <f t="shared" si="29"/>
        <v>0</v>
      </c>
      <c r="M274"/>
      <c r="N274"/>
      <c r="O274"/>
    </row>
    <row r="275" spans="1:15" x14ac:dyDescent="0.3">
      <c r="A275" s="7">
        <v>6360</v>
      </c>
      <c r="B275">
        <v>1</v>
      </c>
      <c r="C275">
        <v>20</v>
      </c>
      <c r="D275">
        <v>1</v>
      </c>
      <c r="E275" t="s">
        <v>16</v>
      </c>
      <c r="F275" s="10">
        <f t="shared" si="24"/>
        <v>64</v>
      </c>
      <c r="G275" s="14">
        <f t="shared" si="25"/>
        <v>1272</v>
      </c>
      <c r="H275" s="7">
        <f t="shared" si="26"/>
        <v>4666</v>
      </c>
      <c r="I275" s="10">
        <f t="shared" si="27"/>
        <v>7696</v>
      </c>
      <c r="J275">
        <f t="shared" si="28"/>
        <v>0</v>
      </c>
      <c r="K275">
        <f t="shared" si="29"/>
        <v>0</v>
      </c>
      <c r="M275"/>
      <c r="N275"/>
      <c r="O275"/>
    </row>
    <row r="276" spans="1:15" x14ac:dyDescent="0.3">
      <c r="A276" s="7">
        <v>3355</v>
      </c>
      <c r="B276">
        <v>14</v>
      </c>
      <c r="C276">
        <v>25</v>
      </c>
      <c r="D276">
        <v>2</v>
      </c>
      <c r="E276" t="s">
        <v>21</v>
      </c>
      <c r="F276" s="10">
        <f t="shared" si="24"/>
        <v>470</v>
      </c>
      <c r="G276" s="14">
        <f t="shared" si="25"/>
        <v>838.75</v>
      </c>
      <c r="H276" s="7">
        <f t="shared" si="26"/>
        <v>2333</v>
      </c>
      <c r="I276" s="10">
        <f t="shared" si="27"/>
        <v>4663.75</v>
      </c>
      <c r="J276">
        <f t="shared" si="28"/>
        <v>0</v>
      </c>
      <c r="K276">
        <f t="shared" si="29"/>
        <v>0</v>
      </c>
      <c r="M276"/>
      <c r="N276"/>
      <c r="O276"/>
    </row>
    <row r="277" spans="1:15" x14ac:dyDescent="0.3">
      <c r="A277" s="7">
        <v>1200</v>
      </c>
      <c r="B277">
        <v>9</v>
      </c>
      <c r="C277">
        <v>10</v>
      </c>
      <c r="D277">
        <v>3</v>
      </c>
      <c r="E277" t="s">
        <v>21</v>
      </c>
      <c r="F277" s="10">
        <f t="shared" si="24"/>
        <v>108</v>
      </c>
      <c r="G277" s="14">
        <f t="shared" si="25"/>
        <v>120</v>
      </c>
      <c r="H277" s="7">
        <f t="shared" si="26"/>
        <v>1555.33</v>
      </c>
      <c r="I277" s="10">
        <f t="shared" si="27"/>
        <v>1428</v>
      </c>
      <c r="J277">
        <f t="shared" si="28"/>
        <v>1</v>
      </c>
      <c r="K277">
        <f t="shared" si="29"/>
        <v>127.32999999999993</v>
      </c>
      <c r="M277"/>
      <c r="N277"/>
      <c r="O277"/>
    </row>
    <row r="278" spans="1:15" x14ac:dyDescent="0.3">
      <c r="A278" s="7">
        <v>763</v>
      </c>
      <c r="B278">
        <v>10</v>
      </c>
      <c r="C278">
        <v>25</v>
      </c>
      <c r="D278">
        <v>4</v>
      </c>
      <c r="E278" t="s">
        <v>19</v>
      </c>
      <c r="F278" s="10">
        <f t="shared" si="24"/>
        <v>77</v>
      </c>
      <c r="G278" s="14">
        <f t="shared" si="25"/>
        <v>190.75</v>
      </c>
      <c r="H278" s="7">
        <f t="shared" si="26"/>
        <v>1166.5</v>
      </c>
      <c r="I278" s="10">
        <f t="shared" si="27"/>
        <v>1030.75</v>
      </c>
      <c r="J278">
        <f t="shared" si="28"/>
        <v>1</v>
      </c>
      <c r="K278">
        <f t="shared" si="29"/>
        <v>135.75</v>
      </c>
      <c r="M278"/>
      <c r="N278"/>
      <c r="O278"/>
    </row>
    <row r="279" spans="1:15" x14ac:dyDescent="0.3">
      <c r="A279" s="7">
        <v>3180</v>
      </c>
      <c r="B279">
        <v>8</v>
      </c>
      <c r="C279">
        <v>35</v>
      </c>
      <c r="D279">
        <v>1</v>
      </c>
      <c r="E279" t="s">
        <v>17</v>
      </c>
      <c r="F279" s="10">
        <f t="shared" si="24"/>
        <v>255</v>
      </c>
      <c r="G279" s="14">
        <f t="shared" si="25"/>
        <v>1113</v>
      </c>
      <c r="H279" s="7">
        <f t="shared" si="26"/>
        <v>4666</v>
      </c>
      <c r="I279" s="10">
        <f t="shared" si="27"/>
        <v>4548</v>
      </c>
      <c r="J279">
        <f t="shared" si="28"/>
        <v>1</v>
      </c>
      <c r="K279">
        <f t="shared" si="29"/>
        <v>118</v>
      </c>
      <c r="M279"/>
      <c r="N279"/>
      <c r="O279"/>
    </row>
    <row r="280" spans="1:15" x14ac:dyDescent="0.3">
      <c r="A280" s="7">
        <v>1013.3</v>
      </c>
      <c r="B280">
        <v>0</v>
      </c>
      <c r="C280">
        <v>35</v>
      </c>
      <c r="D280">
        <v>3</v>
      </c>
      <c r="E280" t="s">
        <v>21</v>
      </c>
      <c r="F280" s="10">
        <f t="shared" si="24"/>
        <v>0</v>
      </c>
      <c r="G280" s="14">
        <f t="shared" si="25"/>
        <v>354.66</v>
      </c>
      <c r="H280" s="7">
        <f t="shared" si="26"/>
        <v>1555.33</v>
      </c>
      <c r="I280" s="10">
        <f t="shared" si="27"/>
        <v>1367.96</v>
      </c>
      <c r="J280">
        <f t="shared" si="28"/>
        <v>1</v>
      </c>
      <c r="K280">
        <f t="shared" si="29"/>
        <v>187.36999999999989</v>
      </c>
      <c r="M280"/>
      <c r="N280"/>
      <c r="O280"/>
    </row>
    <row r="281" spans="1:15" x14ac:dyDescent="0.3">
      <c r="A281" s="7">
        <v>5100</v>
      </c>
      <c r="B281">
        <v>9</v>
      </c>
      <c r="C281">
        <v>45</v>
      </c>
      <c r="D281">
        <v>1</v>
      </c>
      <c r="E281" t="s">
        <v>17</v>
      </c>
      <c r="F281" s="10">
        <f t="shared" si="24"/>
        <v>459</v>
      </c>
      <c r="G281" s="14">
        <f t="shared" si="25"/>
        <v>2295</v>
      </c>
      <c r="H281" s="7">
        <f t="shared" si="26"/>
        <v>4666</v>
      </c>
      <c r="I281" s="10">
        <f t="shared" si="27"/>
        <v>7854</v>
      </c>
      <c r="J281">
        <f t="shared" si="28"/>
        <v>0</v>
      </c>
      <c r="K281">
        <f t="shared" si="29"/>
        <v>0</v>
      </c>
      <c r="M281"/>
      <c r="N281"/>
      <c r="O281"/>
    </row>
    <row r="282" spans="1:15" x14ac:dyDescent="0.3">
      <c r="A282" s="7">
        <v>1657</v>
      </c>
      <c r="B282">
        <v>3</v>
      </c>
      <c r="C282">
        <v>20</v>
      </c>
      <c r="D282">
        <v>3</v>
      </c>
      <c r="E282" t="s">
        <v>18</v>
      </c>
      <c r="F282" s="10">
        <f t="shared" si="24"/>
        <v>50</v>
      </c>
      <c r="G282" s="14">
        <f t="shared" si="25"/>
        <v>331.4</v>
      </c>
      <c r="H282" s="7">
        <f t="shared" si="26"/>
        <v>1555.33</v>
      </c>
      <c r="I282" s="10">
        <f t="shared" si="27"/>
        <v>2038.4</v>
      </c>
      <c r="J282">
        <f t="shared" si="28"/>
        <v>0</v>
      </c>
      <c r="K282">
        <f t="shared" si="29"/>
        <v>0</v>
      </c>
      <c r="M282"/>
      <c r="N282"/>
      <c r="O282"/>
    </row>
    <row r="283" spans="1:15" x14ac:dyDescent="0.3">
      <c r="A283" s="7">
        <v>5470</v>
      </c>
      <c r="B283">
        <v>15</v>
      </c>
      <c r="C283">
        <v>5</v>
      </c>
      <c r="D283">
        <v>1</v>
      </c>
      <c r="E283" t="s">
        <v>16</v>
      </c>
      <c r="F283" s="10">
        <f t="shared" si="24"/>
        <v>821</v>
      </c>
      <c r="G283" s="14">
        <f t="shared" si="25"/>
        <v>273.5</v>
      </c>
      <c r="H283" s="7">
        <f t="shared" si="26"/>
        <v>4666</v>
      </c>
      <c r="I283" s="10">
        <f t="shared" si="27"/>
        <v>6564.5</v>
      </c>
      <c r="J283">
        <f t="shared" si="28"/>
        <v>0</v>
      </c>
      <c r="K283">
        <f t="shared" si="29"/>
        <v>0</v>
      </c>
      <c r="M283"/>
      <c r="N283"/>
      <c r="O283"/>
    </row>
    <row r="284" spans="1:15" x14ac:dyDescent="0.3">
      <c r="A284" s="7">
        <v>296</v>
      </c>
      <c r="B284">
        <v>20</v>
      </c>
      <c r="C284">
        <v>15</v>
      </c>
      <c r="D284">
        <v>10</v>
      </c>
      <c r="E284" t="s">
        <v>17</v>
      </c>
      <c r="F284" s="10">
        <f t="shared" si="24"/>
        <v>60</v>
      </c>
      <c r="G284" s="14">
        <f t="shared" si="25"/>
        <v>44.4</v>
      </c>
      <c r="H284" s="7">
        <f t="shared" si="26"/>
        <v>466.6</v>
      </c>
      <c r="I284" s="10">
        <f t="shared" si="27"/>
        <v>400.4</v>
      </c>
      <c r="J284">
        <f t="shared" si="28"/>
        <v>1</v>
      </c>
      <c r="K284">
        <f t="shared" si="29"/>
        <v>66.200000000000045</v>
      </c>
      <c r="M284"/>
      <c r="N284"/>
      <c r="O284"/>
    </row>
    <row r="285" spans="1:15" x14ac:dyDescent="0.3">
      <c r="A285" s="7">
        <v>2313</v>
      </c>
      <c r="B285">
        <v>5</v>
      </c>
      <c r="C285">
        <v>25</v>
      </c>
      <c r="D285">
        <v>3</v>
      </c>
      <c r="E285" t="s">
        <v>18</v>
      </c>
      <c r="F285" s="10">
        <f t="shared" si="24"/>
        <v>116</v>
      </c>
      <c r="G285" s="14">
        <f t="shared" si="25"/>
        <v>578.25</v>
      </c>
      <c r="H285" s="7">
        <f t="shared" si="26"/>
        <v>1555.33</v>
      </c>
      <c r="I285" s="10">
        <f t="shared" si="27"/>
        <v>3007.25</v>
      </c>
      <c r="J285">
        <f t="shared" si="28"/>
        <v>0</v>
      </c>
      <c r="K285">
        <f t="shared" si="29"/>
        <v>0</v>
      </c>
      <c r="M285"/>
      <c r="N285"/>
      <c r="O285"/>
    </row>
    <row r="286" spans="1:15" x14ac:dyDescent="0.3">
      <c r="A286" s="7">
        <v>4100</v>
      </c>
      <c r="B286">
        <v>14</v>
      </c>
      <c r="C286">
        <v>30</v>
      </c>
      <c r="D286">
        <v>1</v>
      </c>
      <c r="E286" t="s">
        <v>21</v>
      </c>
      <c r="F286" s="10">
        <f t="shared" si="24"/>
        <v>574</v>
      </c>
      <c r="G286" s="14">
        <f t="shared" si="25"/>
        <v>1230</v>
      </c>
      <c r="H286" s="7">
        <f t="shared" si="26"/>
        <v>4666</v>
      </c>
      <c r="I286" s="10">
        <f t="shared" si="27"/>
        <v>5904</v>
      </c>
      <c r="J286">
        <f t="shared" si="28"/>
        <v>0</v>
      </c>
      <c r="K286">
        <f t="shared" si="29"/>
        <v>0</v>
      </c>
      <c r="M286"/>
      <c r="N286"/>
      <c r="O286"/>
    </row>
    <row r="287" spans="1:15" x14ac:dyDescent="0.3">
      <c r="A287" s="7">
        <v>914</v>
      </c>
      <c r="B287">
        <v>8</v>
      </c>
      <c r="C287">
        <v>30</v>
      </c>
      <c r="D287">
        <v>7</v>
      </c>
      <c r="E287" t="s">
        <v>15</v>
      </c>
      <c r="F287" s="10">
        <f t="shared" si="24"/>
        <v>74</v>
      </c>
      <c r="G287" s="14">
        <f t="shared" si="25"/>
        <v>274.2</v>
      </c>
      <c r="H287" s="7">
        <f t="shared" si="26"/>
        <v>666.57</v>
      </c>
      <c r="I287" s="10">
        <f t="shared" si="27"/>
        <v>1262.2</v>
      </c>
      <c r="J287">
        <f t="shared" si="28"/>
        <v>0</v>
      </c>
      <c r="K287">
        <f t="shared" si="29"/>
        <v>0</v>
      </c>
      <c r="M287"/>
      <c r="N287"/>
      <c r="O287"/>
    </row>
    <row r="288" spans="1:15" x14ac:dyDescent="0.3">
      <c r="A288" s="7">
        <v>4920</v>
      </c>
      <c r="B288">
        <v>6</v>
      </c>
      <c r="C288">
        <v>25</v>
      </c>
      <c r="D288">
        <v>1</v>
      </c>
      <c r="E288" t="s">
        <v>19</v>
      </c>
      <c r="F288" s="10">
        <f t="shared" si="24"/>
        <v>296</v>
      </c>
      <c r="G288" s="14">
        <f t="shared" si="25"/>
        <v>1230</v>
      </c>
      <c r="H288" s="7">
        <f t="shared" si="26"/>
        <v>4666</v>
      </c>
      <c r="I288" s="10">
        <f t="shared" si="27"/>
        <v>6446</v>
      </c>
      <c r="J288">
        <f t="shared" si="28"/>
        <v>0</v>
      </c>
      <c r="K288">
        <f t="shared" si="29"/>
        <v>0</v>
      </c>
      <c r="M288"/>
      <c r="N288"/>
      <c r="O288"/>
    </row>
    <row r="289" spans="1:15" x14ac:dyDescent="0.3">
      <c r="A289" s="7">
        <v>574</v>
      </c>
      <c r="B289">
        <v>5</v>
      </c>
      <c r="C289">
        <v>40</v>
      </c>
      <c r="D289">
        <v>7</v>
      </c>
      <c r="E289" t="s">
        <v>15</v>
      </c>
      <c r="F289" s="10">
        <f t="shared" si="24"/>
        <v>29</v>
      </c>
      <c r="G289" s="14">
        <f t="shared" si="25"/>
        <v>229.6</v>
      </c>
      <c r="H289" s="7">
        <f t="shared" si="26"/>
        <v>666.57</v>
      </c>
      <c r="I289" s="10">
        <f t="shared" si="27"/>
        <v>832.6</v>
      </c>
      <c r="J289">
        <f t="shared" si="28"/>
        <v>0</v>
      </c>
      <c r="K289">
        <f t="shared" si="29"/>
        <v>0</v>
      </c>
      <c r="M289"/>
      <c r="N289"/>
      <c r="O289"/>
    </row>
    <row r="290" spans="1:15" x14ac:dyDescent="0.3">
      <c r="A290" s="7">
        <v>1880</v>
      </c>
      <c r="B290">
        <v>8</v>
      </c>
      <c r="C290">
        <v>50</v>
      </c>
      <c r="D290">
        <v>3</v>
      </c>
      <c r="E290" t="s">
        <v>15</v>
      </c>
      <c r="F290" s="10">
        <f t="shared" si="24"/>
        <v>151</v>
      </c>
      <c r="G290" s="14">
        <f t="shared" si="25"/>
        <v>940</v>
      </c>
      <c r="H290" s="7">
        <f t="shared" si="26"/>
        <v>1555.33</v>
      </c>
      <c r="I290" s="10">
        <f t="shared" si="27"/>
        <v>2971</v>
      </c>
      <c r="J290">
        <f t="shared" si="28"/>
        <v>0</v>
      </c>
      <c r="K290">
        <f t="shared" si="29"/>
        <v>0</v>
      </c>
      <c r="M290"/>
      <c r="N290"/>
      <c r="O290"/>
    </row>
    <row r="291" spans="1:15" x14ac:dyDescent="0.3">
      <c r="A291" s="7">
        <v>5090</v>
      </c>
      <c r="B291">
        <v>11</v>
      </c>
      <c r="C291">
        <v>0</v>
      </c>
      <c r="D291">
        <v>1</v>
      </c>
      <c r="E291" t="s">
        <v>20</v>
      </c>
      <c r="F291" s="10">
        <f t="shared" si="24"/>
        <v>560</v>
      </c>
      <c r="G291" s="14">
        <f t="shared" si="25"/>
        <v>0</v>
      </c>
      <c r="H291" s="7">
        <f t="shared" si="26"/>
        <v>4666</v>
      </c>
      <c r="I291" s="10">
        <f t="shared" si="27"/>
        <v>5650</v>
      </c>
      <c r="J291">
        <f t="shared" si="28"/>
        <v>0</v>
      </c>
      <c r="K291">
        <f t="shared" si="29"/>
        <v>0</v>
      </c>
      <c r="M291"/>
      <c r="N291"/>
      <c r="O291"/>
    </row>
    <row r="292" spans="1:15" x14ac:dyDescent="0.3">
      <c r="A292" s="7">
        <v>2950</v>
      </c>
      <c r="B292">
        <v>10</v>
      </c>
      <c r="C292">
        <v>25</v>
      </c>
      <c r="D292">
        <v>1</v>
      </c>
      <c r="E292" t="s">
        <v>21</v>
      </c>
      <c r="F292" s="10">
        <f t="shared" si="24"/>
        <v>295</v>
      </c>
      <c r="G292" s="14">
        <f t="shared" si="25"/>
        <v>737.5</v>
      </c>
      <c r="H292" s="7">
        <f t="shared" si="26"/>
        <v>4666</v>
      </c>
      <c r="I292" s="10">
        <f t="shared" si="27"/>
        <v>3982.5</v>
      </c>
      <c r="J292">
        <f t="shared" si="28"/>
        <v>1</v>
      </c>
      <c r="K292">
        <f t="shared" si="29"/>
        <v>683.5</v>
      </c>
      <c r="M292"/>
      <c r="N292"/>
      <c r="O292"/>
    </row>
    <row r="293" spans="1:15" x14ac:dyDescent="0.3">
      <c r="A293" s="7">
        <v>409</v>
      </c>
      <c r="B293">
        <v>12</v>
      </c>
      <c r="C293">
        <v>40</v>
      </c>
      <c r="D293">
        <v>10</v>
      </c>
      <c r="E293" t="s">
        <v>21</v>
      </c>
      <c r="F293" s="10">
        <f t="shared" si="24"/>
        <v>50</v>
      </c>
      <c r="G293" s="14">
        <f t="shared" si="25"/>
        <v>163.6</v>
      </c>
      <c r="H293" s="7">
        <f t="shared" si="26"/>
        <v>466.6</v>
      </c>
      <c r="I293" s="10">
        <f t="shared" si="27"/>
        <v>622.6</v>
      </c>
      <c r="J293">
        <f t="shared" si="28"/>
        <v>0</v>
      </c>
      <c r="K293">
        <f t="shared" si="29"/>
        <v>0</v>
      </c>
      <c r="M293"/>
      <c r="N293"/>
      <c r="O293"/>
    </row>
    <row r="294" spans="1:15" x14ac:dyDescent="0.3">
      <c r="A294" s="7">
        <v>997</v>
      </c>
      <c r="B294">
        <v>2</v>
      </c>
      <c r="C294">
        <v>35</v>
      </c>
      <c r="D294">
        <v>3</v>
      </c>
      <c r="E294" t="s">
        <v>19</v>
      </c>
      <c r="F294" s="10">
        <f t="shared" si="24"/>
        <v>20</v>
      </c>
      <c r="G294" s="14">
        <f t="shared" si="25"/>
        <v>348.95</v>
      </c>
      <c r="H294" s="7">
        <f t="shared" si="26"/>
        <v>1555.33</v>
      </c>
      <c r="I294" s="10">
        <f t="shared" si="27"/>
        <v>1365.95</v>
      </c>
      <c r="J294">
        <f t="shared" si="28"/>
        <v>1</v>
      </c>
      <c r="K294">
        <f t="shared" si="29"/>
        <v>189.37999999999988</v>
      </c>
      <c r="M294"/>
      <c r="N294"/>
      <c r="O294"/>
    </row>
    <row r="295" spans="1:15" x14ac:dyDescent="0.3">
      <c r="A295" s="7">
        <v>993</v>
      </c>
      <c r="B295">
        <v>19</v>
      </c>
      <c r="C295">
        <v>10</v>
      </c>
      <c r="D295">
        <v>6</v>
      </c>
      <c r="E295" t="s">
        <v>19</v>
      </c>
      <c r="F295" s="10">
        <f t="shared" si="24"/>
        <v>189</v>
      </c>
      <c r="G295" s="14">
        <f t="shared" si="25"/>
        <v>99.3</v>
      </c>
      <c r="H295" s="7">
        <f t="shared" si="26"/>
        <v>777.67</v>
      </c>
      <c r="I295" s="10">
        <f t="shared" si="27"/>
        <v>1281.3</v>
      </c>
      <c r="J295">
        <f t="shared" si="28"/>
        <v>0</v>
      </c>
      <c r="K295">
        <f t="shared" si="29"/>
        <v>0</v>
      </c>
      <c r="M295"/>
      <c r="N295"/>
      <c r="O295"/>
    </row>
    <row r="296" spans="1:15" x14ac:dyDescent="0.3">
      <c r="A296" s="7">
        <v>1017</v>
      </c>
      <c r="B296">
        <v>4</v>
      </c>
      <c r="C296">
        <v>5</v>
      </c>
      <c r="D296">
        <v>6</v>
      </c>
      <c r="E296" t="s">
        <v>20</v>
      </c>
      <c r="F296" s="10">
        <f t="shared" si="24"/>
        <v>41</v>
      </c>
      <c r="G296" s="14">
        <f t="shared" si="25"/>
        <v>50.85</v>
      </c>
      <c r="H296" s="7">
        <f t="shared" si="26"/>
        <v>777.67</v>
      </c>
      <c r="I296" s="10">
        <f t="shared" si="27"/>
        <v>1108.8499999999999</v>
      </c>
      <c r="J296">
        <f t="shared" si="28"/>
        <v>0</v>
      </c>
      <c r="K296">
        <f t="shared" si="29"/>
        <v>0</v>
      </c>
      <c r="M296"/>
      <c r="N296"/>
      <c r="O296"/>
    </row>
    <row r="297" spans="1:15" x14ac:dyDescent="0.3">
      <c r="A297" s="7">
        <v>683</v>
      </c>
      <c r="B297">
        <v>8</v>
      </c>
      <c r="C297">
        <v>5</v>
      </c>
      <c r="D297">
        <v>10</v>
      </c>
      <c r="E297" t="s">
        <v>20</v>
      </c>
      <c r="F297" s="10">
        <f t="shared" si="24"/>
        <v>55</v>
      </c>
      <c r="G297" s="14">
        <f t="shared" si="25"/>
        <v>34.15</v>
      </c>
      <c r="H297" s="7">
        <f t="shared" si="26"/>
        <v>466.6</v>
      </c>
      <c r="I297" s="10">
        <f t="shared" si="27"/>
        <v>772.15</v>
      </c>
      <c r="J297">
        <f t="shared" si="28"/>
        <v>0</v>
      </c>
      <c r="K297">
        <f t="shared" si="29"/>
        <v>0</v>
      </c>
      <c r="M297"/>
      <c r="N297"/>
      <c r="O297"/>
    </row>
    <row r="298" spans="1:15" x14ac:dyDescent="0.3">
      <c r="A298" s="7">
        <v>880</v>
      </c>
      <c r="B298">
        <v>17</v>
      </c>
      <c r="C298">
        <v>10</v>
      </c>
      <c r="D298">
        <v>7</v>
      </c>
      <c r="E298" t="s">
        <v>20</v>
      </c>
      <c r="F298" s="10">
        <f t="shared" si="24"/>
        <v>150</v>
      </c>
      <c r="G298" s="14">
        <f t="shared" si="25"/>
        <v>88</v>
      </c>
      <c r="H298" s="7">
        <f t="shared" si="26"/>
        <v>666.57</v>
      </c>
      <c r="I298" s="10">
        <f t="shared" si="27"/>
        <v>1118</v>
      </c>
      <c r="J298">
        <f t="shared" si="28"/>
        <v>0</v>
      </c>
      <c r="K298">
        <f t="shared" si="29"/>
        <v>0</v>
      </c>
      <c r="M298"/>
      <c r="N298"/>
      <c r="O298"/>
    </row>
    <row r="299" spans="1:15" x14ac:dyDescent="0.3">
      <c r="A299" s="7">
        <v>576</v>
      </c>
      <c r="B299">
        <v>3</v>
      </c>
      <c r="C299">
        <v>20</v>
      </c>
      <c r="D299">
        <v>8</v>
      </c>
      <c r="E299" t="s">
        <v>19</v>
      </c>
      <c r="F299" s="10">
        <f t="shared" si="24"/>
        <v>18</v>
      </c>
      <c r="G299" s="14">
        <f t="shared" si="25"/>
        <v>115.2</v>
      </c>
      <c r="H299" s="7">
        <f t="shared" si="26"/>
        <v>583.25</v>
      </c>
      <c r="I299" s="10">
        <f t="shared" si="27"/>
        <v>709.2</v>
      </c>
      <c r="J299">
        <f t="shared" si="28"/>
        <v>0</v>
      </c>
      <c r="K299">
        <f t="shared" si="29"/>
        <v>0</v>
      </c>
      <c r="M299"/>
      <c r="N299"/>
      <c r="O299"/>
    </row>
    <row r="300" spans="1:15" x14ac:dyDescent="0.3">
      <c r="A300" s="7">
        <v>281</v>
      </c>
      <c r="B300">
        <v>0</v>
      </c>
      <c r="C300">
        <v>50</v>
      </c>
      <c r="D300">
        <v>10</v>
      </c>
      <c r="E300" t="s">
        <v>19</v>
      </c>
      <c r="F300" s="10">
        <f t="shared" si="24"/>
        <v>0</v>
      </c>
      <c r="G300" s="14">
        <f t="shared" si="25"/>
        <v>140.5</v>
      </c>
      <c r="H300" s="7">
        <f t="shared" si="26"/>
        <v>466.6</v>
      </c>
      <c r="I300" s="10">
        <f t="shared" si="27"/>
        <v>421.5</v>
      </c>
      <c r="J300">
        <f t="shared" si="28"/>
        <v>1</v>
      </c>
      <c r="K300">
        <f t="shared" si="29"/>
        <v>45.100000000000023</v>
      </c>
      <c r="M300"/>
      <c r="N300"/>
      <c r="O300"/>
    </row>
    <row r="301" spans="1:15" x14ac:dyDescent="0.3">
      <c r="A301" s="7">
        <v>434</v>
      </c>
      <c r="B301">
        <v>19</v>
      </c>
      <c r="C301">
        <v>15</v>
      </c>
      <c r="D301">
        <v>9</v>
      </c>
      <c r="E301" t="s">
        <v>15</v>
      </c>
      <c r="F301" s="10">
        <f t="shared" si="24"/>
        <v>83</v>
      </c>
      <c r="G301" s="14">
        <f t="shared" si="25"/>
        <v>65.099999999999994</v>
      </c>
      <c r="H301" s="7">
        <f t="shared" si="26"/>
        <v>518.44000000000005</v>
      </c>
      <c r="I301" s="10">
        <f t="shared" si="27"/>
        <v>582.1</v>
      </c>
      <c r="J301">
        <f t="shared" si="28"/>
        <v>0</v>
      </c>
      <c r="K301">
        <f t="shared" si="29"/>
        <v>0</v>
      </c>
      <c r="M301"/>
      <c r="N301"/>
      <c r="O301"/>
    </row>
    <row r="302" spans="1:15" x14ac:dyDescent="0.3">
      <c r="A302" s="7">
        <v>1473</v>
      </c>
      <c r="B302">
        <v>1</v>
      </c>
      <c r="C302">
        <v>5</v>
      </c>
      <c r="D302">
        <v>4</v>
      </c>
      <c r="E302" t="s">
        <v>21</v>
      </c>
      <c r="F302" s="10">
        <f t="shared" si="24"/>
        <v>15</v>
      </c>
      <c r="G302" s="14">
        <f t="shared" si="25"/>
        <v>73.650000000000006</v>
      </c>
      <c r="H302" s="7">
        <f t="shared" si="26"/>
        <v>1166.5</v>
      </c>
      <c r="I302" s="10">
        <f t="shared" si="27"/>
        <v>1561.65</v>
      </c>
      <c r="J302">
        <f t="shared" si="28"/>
        <v>0</v>
      </c>
      <c r="K302">
        <f t="shared" si="29"/>
        <v>0</v>
      </c>
      <c r="M302"/>
      <c r="N302"/>
      <c r="O302"/>
    </row>
    <row r="303" spans="1:15" x14ac:dyDescent="0.3">
      <c r="A303" s="7">
        <v>618</v>
      </c>
      <c r="B303">
        <v>4</v>
      </c>
      <c r="C303">
        <v>15</v>
      </c>
      <c r="D303">
        <v>9</v>
      </c>
      <c r="E303" t="s">
        <v>18</v>
      </c>
      <c r="F303" s="10">
        <f t="shared" si="24"/>
        <v>25</v>
      </c>
      <c r="G303" s="14">
        <f t="shared" si="25"/>
        <v>92.7</v>
      </c>
      <c r="H303" s="7">
        <f t="shared" si="26"/>
        <v>518.44000000000005</v>
      </c>
      <c r="I303" s="10">
        <f t="shared" si="27"/>
        <v>735.7</v>
      </c>
      <c r="J303">
        <f t="shared" si="28"/>
        <v>0</v>
      </c>
      <c r="K303">
        <f t="shared" si="29"/>
        <v>0</v>
      </c>
      <c r="M303"/>
      <c r="N303"/>
      <c r="O303"/>
    </row>
    <row r="304" spans="1:15" x14ac:dyDescent="0.3">
      <c r="A304" s="7">
        <v>401.9</v>
      </c>
      <c r="B304">
        <v>13</v>
      </c>
      <c r="C304">
        <v>5</v>
      </c>
      <c r="D304">
        <v>10</v>
      </c>
      <c r="E304" t="s">
        <v>20</v>
      </c>
      <c r="F304" s="10">
        <f t="shared" si="24"/>
        <v>53</v>
      </c>
      <c r="G304" s="14">
        <f t="shared" si="25"/>
        <v>20.100000000000001</v>
      </c>
      <c r="H304" s="7">
        <f t="shared" si="26"/>
        <v>466.6</v>
      </c>
      <c r="I304" s="10">
        <f t="shared" si="27"/>
        <v>475</v>
      </c>
      <c r="J304">
        <f t="shared" si="28"/>
        <v>0</v>
      </c>
      <c r="K304">
        <f t="shared" si="29"/>
        <v>0</v>
      </c>
      <c r="M304"/>
      <c r="N304"/>
      <c r="O304"/>
    </row>
    <row r="305" spans="1:15" x14ac:dyDescent="0.3">
      <c r="A305" s="7">
        <v>905</v>
      </c>
      <c r="B305">
        <v>2</v>
      </c>
      <c r="C305">
        <v>15</v>
      </c>
      <c r="D305">
        <v>4</v>
      </c>
      <c r="E305" t="s">
        <v>21</v>
      </c>
      <c r="F305" s="10">
        <f t="shared" si="24"/>
        <v>19</v>
      </c>
      <c r="G305" s="14">
        <f t="shared" si="25"/>
        <v>135.75</v>
      </c>
      <c r="H305" s="7">
        <f t="shared" si="26"/>
        <v>1166.5</v>
      </c>
      <c r="I305" s="10">
        <f t="shared" si="27"/>
        <v>1059.75</v>
      </c>
      <c r="J305">
        <f t="shared" si="28"/>
        <v>1</v>
      </c>
      <c r="K305">
        <f t="shared" si="29"/>
        <v>106.75</v>
      </c>
      <c r="M305"/>
      <c r="N305"/>
      <c r="O305"/>
    </row>
    <row r="306" spans="1:15" x14ac:dyDescent="0.3">
      <c r="A306" s="7">
        <v>1900</v>
      </c>
      <c r="B306">
        <v>15</v>
      </c>
      <c r="C306">
        <v>0</v>
      </c>
      <c r="D306">
        <v>2</v>
      </c>
      <c r="E306" t="s">
        <v>15</v>
      </c>
      <c r="F306" s="10">
        <f t="shared" si="24"/>
        <v>285</v>
      </c>
      <c r="G306" s="14">
        <f t="shared" si="25"/>
        <v>0</v>
      </c>
      <c r="H306" s="7">
        <f t="shared" si="26"/>
        <v>2333</v>
      </c>
      <c r="I306" s="10">
        <f t="shared" si="27"/>
        <v>2185</v>
      </c>
      <c r="J306">
        <f t="shared" si="28"/>
        <v>1</v>
      </c>
      <c r="K306">
        <f t="shared" si="29"/>
        <v>148</v>
      </c>
      <c r="M306"/>
      <c r="N306"/>
      <c r="O306"/>
    </row>
    <row r="307" spans="1:15" x14ac:dyDescent="0.3">
      <c r="A307" s="7">
        <v>2100</v>
      </c>
      <c r="B307">
        <v>17</v>
      </c>
      <c r="C307">
        <v>5</v>
      </c>
      <c r="D307">
        <v>2</v>
      </c>
      <c r="E307" t="s">
        <v>15</v>
      </c>
      <c r="F307" s="10">
        <f t="shared" si="24"/>
        <v>357</v>
      </c>
      <c r="G307" s="14">
        <f t="shared" si="25"/>
        <v>105</v>
      </c>
      <c r="H307" s="7">
        <f t="shared" si="26"/>
        <v>2333</v>
      </c>
      <c r="I307" s="10">
        <f t="shared" si="27"/>
        <v>2562</v>
      </c>
      <c r="J307">
        <f t="shared" si="28"/>
        <v>0</v>
      </c>
      <c r="K307">
        <f t="shared" si="29"/>
        <v>0</v>
      </c>
      <c r="M307"/>
      <c r="N307"/>
      <c r="O307"/>
    </row>
    <row r="308" spans="1:15" x14ac:dyDescent="0.3">
      <c r="A308" s="7">
        <v>1847</v>
      </c>
      <c r="B308">
        <v>16</v>
      </c>
      <c r="C308">
        <v>15</v>
      </c>
      <c r="D308">
        <v>3</v>
      </c>
      <c r="E308" t="s">
        <v>17</v>
      </c>
      <c r="F308" s="10">
        <f t="shared" si="24"/>
        <v>296</v>
      </c>
      <c r="G308" s="14">
        <f t="shared" si="25"/>
        <v>277.05</v>
      </c>
      <c r="H308" s="7">
        <f t="shared" si="26"/>
        <v>1555.33</v>
      </c>
      <c r="I308" s="10">
        <f t="shared" si="27"/>
        <v>2420.0500000000002</v>
      </c>
      <c r="J308">
        <f t="shared" si="28"/>
        <v>0</v>
      </c>
      <c r="K308">
        <f t="shared" si="29"/>
        <v>0</v>
      </c>
      <c r="M308"/>
      <c r="N308"/>
      <c r="O308"/>
    </row>
    <row r="309" spans="1:15" x14ac:dyDescent="0.3">
      <c r="A309" s="7">
        <v>3600</v>
      </c>
      <c r="B309">
        <v>12</v>
      </c>
      <c r="C309">
        <v>5</v>
      </c>
      <c r="D309">
        <v>1</v>
      </c>
      <c r="E309" t="s">
        <v>17</v>
      </c>
      <c r="F309" s="10">
        <f t="shared" si="24"/>
        <v>432</v>
      </c>
      <c r="G309" s="14">
        <f t="shared" si="25"/>
        <v>180</v>
      </c>
      <c r="H309" s="7">
        <f t="shared" si="26"/>
        <v>4666</v>
      </c>
      <c r="I309" s="10">
        <f t="shared" si="27"/>
        <v>4212</v>
      </c>
      <c r="J309">
        <f t="shared" si="28"/>
        <v>1</v>
      </c>
      <c r="K309">
        <f t="shared" si="29"/>
        <v>454</v>
      </c>
      <c r="M309"/>
      <c r="N309"/>
      <c r="O309"/>
    </row>
    <row r="310" spans="1:15" x14ac:dyDescent="0.3">
      <c r="A310" s="7">
        <v>5880</v>
      </c>
      <c r="B310">
        <v>13</v>
      </c>
      <c r="C310">
        <v>25</v>
      </c>
      <c r="D310">
        <v>1</v>
      </c>
      <c r="E310" t="s">
        <v>18</v>
      </c>
      <c r="F310" s="10">
        <f t="shared" si="24"/>
        <v>765</v>
      </c>
      <c r="G310" s="14">
        <f t="shared" si="25"/>
        <v>1470</v>
      </c>
      <c r="H310" s="7">
        <f t="shared" si="26"/>
        <v>4666</v>
      </c>
      <c r="I310" s="10">
        <f t="shared" si="27"/>
        <v>8115</v>
      </c>
      <c r="J310">
        <f t="shared" si="28"/>
        <v>0</v>
      </c>
      <c r="K310">
        <f t="shared" si="29"/>
        <v>0</v>
      </c>
      <c r="M310"/>
      <c r="N310"/>
      <c r="O310"/>
    </row>
    <row r="311" spans="1:15" x14ac:dyDescent="0.3">
      <c r="A311" s="7">
        <v>5140</v>
      </c>
      <c r="B311">
        <v>13</v>
      </c>
      <c r="C311">
        <v>45</v>
      </c>
      <c r="D311">
        <v>1</v>
      </c>
      <c r="E311" t="s">
        <v>16</v>
      </c>
      <c r="F311" s="10">
        <f t="shared" si="24"/>
        <v>669</v>
      </c>
      <c r="G311" s="14">
        <f t="shared" si="25"/>
        <v>2313</v>
      </c>
      <c r="H311" s="7">
        <f t="shared" si="26"/>
        <v>4666</v>
      </c>
      <c r="I311" s="10">
        <f t="shared" si="27"/>
        <v>8122</v>
      </c>
      <c r="J311">
        <f t="shared" si="28"/>
        <v>0</v>
      </c>
      <c r="K311">
        <f t="shared" si="29"/>
        <v>0</v>
      </c>
      <c r="M311"/>
      <c r="N311"/>
      <c r="O311"/>
    </row>
    <row r="312" spans="1:15" x14ac:dyDescent="0.3">
      <c r="A312" s="7">
        <v>320</v>
      </c>
      <c r="B312">
        <v>19</v>
      </c>
      <c r="C312">
        <v>25</v>
      </c>
      <c r="D312">
        <v>9</v>
      </c>
      <c r="E312" t="s">
        <v>21</v>
      </c>
      <c r="F312" s="10">
        <f t="shared" si="24"/>
        <v>61</v>
      </c>
      <c r="G312" s="14">
        <f t="shared" si="25"/>
        <v>80</v>
      </c>
      <c r="H312" s="7">
        <f t="shared" si="26"/>
        <v>518.44000000000005</v>
      </c>
      <c r="I312" s="10">
        <f t="shared" si="27"/>
        <v>461</v>
      </c>
      <c r="J312">
        <f t="shared" si="28"/>
        <v>1</v>
      </c>
      <c r="K312">
        <f t="shared" si="29"/>
        <v>57.440000000000055</v>
      </c>
      <c r="M312"/>
      <c r="N312"/>
      <c r="O312"/>
    </row>
    <row r="313" spans="1:15" x14ac:dyDescent="0.3">
      <c r="A313" s="7">
        <v>819</v>
      </c>
      <c r="B313">
        <v>12</v>
      </c>
      <c r="C313">
        <v>20</v>
      </c>
      <c r="D313">
        <v>7</v>
      </c>
      <c r="E313" t="s">
        <v>16</v>
      </c>
      <c r="F313" s="10">
        <f t="shared" si="24"/>
        <v>99</v>
      </c>
      <c r="G313" s="14">
        <f t="shared" si="25"/>
        <v>163.80000000000001</v>
      </c>
      <c r="H313" s="7">
        <f t="shared" si="26"/>
        <v>666.57</v>
      </c>
      <c r="I313" s="10">
        <f t="shared" si="27"/>
        <v>1081.8</v>
      </c>
      <c r="J313">
        <f t="shared" si="28"/>
        <v>0</v>
      </c>
      <c r="K313">
        <f t="shared" si="29"/>
        <v>0</v>
      </c>
      <c r="M313"/>
      <c r="N313"/>
      <c r="O313"/>
    </row>
    <row r="314" spans="1:15" x14ac:dyDescent="0.3">
      <c r="A314" s="7">
        <v>6370</v>
      </c>
      <c r="B314">
        <v>13</v>
      </c>
      <c r="C314">
        <v>45</v>
      </c>
      <c r="D314">
        <v>1</v>
      </c>
      <c r="E314" t="s">
        <v>20</v>
      </c>
      <c r="F314" s="10">
        <f t="shared" si="24"/>
        <v>829</v>
      </c>
      <c r="G314" s="14">
        <f t="shared" si="25"/>
        <v>2866.5</v>
      </c>
      <c r="H314" s="7">
        <f t="shared" si="26"/>
        <v>4666</v>
      </c>
      <c r="I314" s="10">
        <f t="shared" si="27"/>
        <v>10065.5</v>
      </c>
      <c r="J314">
        <f t="shared" si="28"/>
        <v>0</v>
      </c>
      <c r="K314">
        <f t="shared" si="29"/>
        <v>0</v>
      </c>
      <c r="M314"/>
      <c r="N314"/>
      <c r="O314"/>
    </row>
    <row r="315" spans="1:15" x14ac:dyDescent="0.3">
      <c r="A315" s="7">
        <v>4770</v>
      </c>
      <c r="B315">
        <v>3</v>
      </c>
      <c r="C315">
        <v>35</v>
      </c>
      <c r="D315">
        <v>1</v>
      </c>
      <c r="E315" t="s">
        <v>17</v>
      </c>
      <c r="F315" s="10">
        <f t="shared" si="24"/>
        <v>144</v>
      </c>
      <c r="G315" s="14">
        <f t="shared" si="25"/>
        <v>1669.5</v>
      </c>
      <c r="H315" s="7">
        <f t="shared" si="26"/>
        <v>4666</v>
      </c>
      <c r="I315" s="10">
        <f t="shared" si="27"/>
        <v>6583.5</v>
      </c>
      <c r="J315">
        <f t="shared" si="28"/>
        <v>0</v>
      </c>
      <c r="K315">
        <f t="shared" si="29"/>
        <v>0</v>
      </c>
      <c r="M315"/>
      <c r="N315"/>
      <c r="O315"/>
    </row>
    <row r="316" spans="1:15" x14ac:dyDescent="0.3">
      <c r="A316" s="7">
        <v>377</v>
      </c>
      <c r="B316">
        <v>20</v>
      </c>
      <c r="C316">
        <v>25</v>
      </c>
      <c r="D316">
        <v>9</v>
      </c>
      <c r="E316" t="s">
        <v>18</v>
      </c>
      <c r="F316" s="10">
        <f t="shared" si="24"/>
        <v>76</v>
      </c>
      <c r="G316" s="14">
        <f t="shared" si="25"/>
        <v>94.25</v>
      </c>
      <c r="H316" s="7">
        <f t="shared" si="26"/>
        <v>518.44000000000005</v>
      </c>
      <c r="I316" s="10">
        <f t="shared" si="27"/>
        <v>547.25</v>
      </c>
      <c r="J316">
        <f t="shared" si="28"/>
        <v>0</v>
      </c>
      <c r="K316">
        <f t="shared" si="29"/>
        <v>0</v>
      </c>
      <c r="M316"/>
      <c r="N316"/>
      <c r="O316"/>
    </row>
    <row r="317" spans="1:15" x14ac:dyDescent="0.3">
      <c r="A317" s="7">
        <v>6690</v>
      </c>
      <c r="B317">
        <v>2</v>
      </c>
      <c r="C317">
        <v>20</v>
      </c>
      <c r="D317">
        <v>1</v>
      </c>
      <c r="E317" t="s">
        <v>16</v>
      </c>
      <c r="F317" s="10">
        <f t="shared" si="24"/>
        <v>134</v>
      </c>
      <c r="G317" s="14">
        <f t="shared" si="25"/>
        <v>1338</v>
      </c>
      <c r="H317" s="7">
        <f t="shared" si="26"/>
        <v>4666</v>
      </c>
      <c r="I317" s="10">
        <f t="shared" si="27"/>
        <v>8162</v>
      </c>
      <c r="J317">
        <f t="shared" si="28"/>
        <v>0</v>
      </c>
      <c r="K317">
        <f t="shared" si="29"/>
        <v>0</v>
      </c>
      <c r="M317"/>
      <c r="N317"/>
      <c r="O317"/>
    </row>
    <row r="318" spans="1:15" x14ac:dyDescent="0.3">
      <c r="A318" s="7">
        <v>2790</v>
      </c>
      <c r="B318">
        <v>16</v>
      </c>
      <c r="C318">
        <v>40</v>
      </c>
      <c r="D318">
        <v>1</v>
      </c>
      <c r="E318" t="s">
        <v>20</v>
      </c>
      <c r="F318" s="10">
        <f t="shared" si="24"/>
        <v>447</v>
      </c>
      <c r="G318" s="14">
        <f t="shared" si="25"/>
        <v>1116</v>
      </c>
      <c r="H318" s="7">
        <f t="shared" si="26"/>
        <v>4666</v>
      </c>
      <c r="I318" s="10">
        <f t="shared" si="27"/>
        <v>4353</v>
      </c>
      <c r="J318">
        <f t="shared" si="28"/>
        <v>1</v>
      </c>
      <c r="K318">
        <f t="shared" si="29"/>
        <v>313</v>
      </c>
      <c r="M318"/>
      <c r="N318"/>
      <c r="O318"/>
    </row>
    <row r="319" spans="1:15" x14ac:dyDescent="0.3">
      <c r="A319" s="7">
        <v>6090</v>
      </c>
      <c r="B319">
        <v>17</v>
      </c>
      <c r="C319">
        <v>50</v>
      </c>
      <c r="D319">
        <v>1</v>
      </c>
      <c r="E319" t="s">
        <v>19</v>
      </c>
      <c r="F319" s="10">
        <f t="shared" si="24"/>
        <v>1036</v>
      </c>
      <c r="G319" s="14">
        <f t="shared" si="25"/>
        <v>3045</v>
      </c>
      <c r="H319" s="7">
        <f t="shared" si="26"/>
        <v>4666</v>
      </c>
      <c r="I319" s="10">
        <f t="shared" si="27"/>
        <v>10171</v>
      </c>
      <c r="J319">
        <f t="shared" si="28"/>
        <v>0</v>
      </c>
      <c r="K319">
        <f t="shared" si="29"/>
        <v>0</v>
      </c>
      <c r="M319"/>
      <c r="N319"/>
      <c r="O319"/>
    </row>
    <row r="320" spans="1:15" x14ac:dyDescent="0.3">
      <c r="A320" s="7">
        <v>1158</v>
      </c>
      <c r="B320">
        <v>14</v>
      </c>
      <c r="C320">
        <v>40</v>
      </c>
      <c r="D320">
        <v>4</v>
      </c>
      <c r="E320" t="s">
        <v>18</v>
      </c>
      <c r="F320" s="10">
        <f t="shared" si="24"/>
        <v>163</v>
      </c>
      <c r="G320" s="14">
        <f t="shared" si="25"/>
        <v>463.2</v>
      </c>
      <c r="H320" s="7">
        <f t="shared" si="26"/>
        <v>1166.5</v>
      </c>
      <c r="I320" s="10">
        <f t="shared" si="27"/>
        <v>1784.2</v>
      </c>
      <c r="J320">
        <f t="shared" si="28"/>
        <v>0</v>
      </c>
      <c r="K320">
        <f t="shared" si="29"/>
        <v>0</v>
      </c>
      <c r="M320"/>
      <c r="N320"/>
      <c r="O320"/>
    </row>
    <row r="321" spans="1:15" x14ac:dyDescent="0.3">
      <c r="A321" s="7">
        <v>5440</v>
      </c>
      <c r="B321">
        <v>6</v>
      </c>
      <c r="C321">
        <v>30</v>
      </c>
      <c r="D321">
        <v>1</v>
      </c>
      <c r="E321" t="s">
        <v>17</v>
      </c>
      <c r="F321" s="10">
        <f t="shared" si="24"/>
        <v>327</v>
      </c>
      <c r="G321" s="14">
        <f t="shared" si="25"/>
        <v>1632</v>
      </c>
      <c r="H321" s="7">
        <f t="shared" si="26"/>
        <v>4666</v>
      </c>
      <c r="I321" s="10">
        <f t="shared" si="27"/>
        <v>7399</v>
      </c>
      <c r="J321">
        <f t="shared" si="28"/>
        <v>0</v>
      </c>
      <c r="K321">
        <f t="shared" si="29"/>
        <v>0</v>
      </c>
      <c r="M321"/>
      <c r="N321"/>
      <c r="O321"/>
    </row>
    <row r="322" spans="1:15" x14ac:dyDescent="0.3">
      <c r="A322" s="7">
        <v>471</v>
      </c>
      <c r="B322">
        <v>5</v>
      </c>
      <c r="C322">
        <v>35</v>
      </c>
      <c r="D322">
        <v>10</v>
      </c>
      <c r="E322" t="s">
        <v>20</v>
      </c>
      <c r="F322" s="10">
        <f t="shared" si="24"/>
        <v>24</v>
      </c>
      <c r="G322" s="14">
        <f t="shared" si="25"/>
        <v>164.85</v>
      </c>
      <c r="H322" s="7">
        <f t="shared" si="26"/>
        <v>466.6</v>
      </c>
      <c r="I322" s="10">
        <f t="shared" si="27"/>
        <v>659.85</v>
      </c>
      <c r="J322">
        <f t="shared" si="28"/>
        <v>0</v>
      </c>
      <c r="K322">
        <f t="shared" si="29"/>
        <v>0</v>
      </c>
      <c r="M322"/>
      <c r="N322"/>
      <c r="O322"/>
    </row>
    <row r="323" spans="1:15" x14ac:dyDescent="0.3">
      <c r="A323" s="7">
        <v>340</v>
      </c>
      <c r="B323">
        <v>5</v>
      </c>
      <c r="C323">
        <v>10</v>
      </c>
      <c r="D323">
        <v>10</v>
      </c>
      <c r="E323" t="s">
        <v>15</v>
      </c>
      <c r="F323" s="10">
        <f t="shared" ref="F323:F386" si="30">ROUNDUP(0.01*B323*A323,0)</f>
        <v>17</v>
      </c>
      <c r="G323" s="14">
        <f t="shared" ref="G323:G386" si="31">ROUND(C323/100*A323,2)</f>
        <v>34</v>
      </c>
      <c r="H323" s="7">
        <f t="shared" ref="H323:H386" si="32">ROUND(4666/D323:D822,2)</f>
        <v>466.6</v>
      </c>
      <c r="I323" s="10">
        <f t="shared" ref="I323:I386" si="33">G323+A323+F323</f>
        <v>391</v>
      </c>
      <c r="J323">
        <f t="shared" ref="J323:J386" si="34">IF(H323&gt;I323,1,0)</f>
        <v>1</v>
      </c>
      <c r="K323">
        <f t="shared" ref="K323:K386" si="35">IF(J323=1,H323-I323,0)</f>
        <v>75.600000000000023</v>
      </c>
      <c r="M323"/>
      <c r="N323"/>
      <c r="O323"/>
    </row>
    <row r="324" spans="1:15" x14ac:dyDescent="0.3">
      <c r="A324" s="7">
        <v>1825</v>
      </c>
      <c r="B324">
        <v>19</v>
      </c>
      <c r="C324">
        <v>15</v>
      </c>
      <c r="D324">
        <v>2</v>
      </c>
      <c r="E324" t="s">
        <v>16</v>
      </c>
      <c r="F324" s="10">
        <f t="shared" si="30"/>
        <v>347</v>
      </c>
      <c r="G324" s="14">
        <f t="shared" si="31"/>
        <v>273.75</v>
      </c>
      <c r="H324" s="7">
        <f t="shared" si="32"/>
        <v>2333</v>
      </c>
      <c r="I324" s="10">
        <f t="shared" si="33"/>
        <v>2445.75</v>
      </c>
      <c r="J324">
        <f t="shared" si="34"/>
        <v>0</v>
      </c>
      <c r="K324">
        <f t="shared" si="35"/>
        <v>0</v>
      </c>
      <c r="M324"/>
      <c r="N324"/>
      <c r="O324"/>
    </row>
    <row r="325" spans="1:15" x14ac:dyDescent="0.3">
      <c r="A325" s="7">
        <v>1510</v>
      </c>
      <c r="B325">
        <v>10</v>
      </c>
      <c r="C325">
        <v>20</v>
      </c>
      <c r="D325">
        <v>2</v>
      </c>
      <c r="E325" t="s">
        <v>15</v>
      </c>
      <c r="F325" s="10">
        <f t="shared" si="30"/>
        <v>151</v>
      </c>
      <c r="G325" s="14">
        <f t="shared" si="31"/>
        <v>302</v>
      </c>
      <c r="H325" s="7">
        <f t="shared" si="32"/>
        <v>2333</v>
      </c>
      <c r="I325" s="10">
        <f t="shared" si="33"/>
        <v>1963</v>
      </c>
      <c r="J325">
        <f t="shared" si="34"/>
        <v>1</v>
      </c>
      <c r="K325">
        <f t="shared" si="35"/>
        <v>370</v>
      </c>
      <c r="M325"/>
      <c r="N325"/>
      <c r="O325"/>
    </row>
    <row r="326" spans="1:15" x14ac:dyDescent="0.3">
      <c r="A326" s="7">
        <v>1175</v>
      </c>
      <c r="B326">
        <v>14</v>
      </c>
      <c r="C326">
        <v>30</v>
      </c>
      <c r="D326">
        <v>4</v>
      </c>
      <c r="E326" t="s">
        <v>17</v>
      </c>
      <c r="F326" s="10">
        <f t="shared" si="30"/>
        <v>165</v>
      </c>
      <c r="G326" s="14">
        <f t="shared" si="31"/>
        <v>352.5</v>
      </c>
      <c r="H326" s="7">
        <f t="shared" si="32"/>
        <v>1166.5</v>
      </c>
      <c r="I326" s="10">
        <f t="shared" si="33"/>
        <v>1692.5</v>
      </c>
      <c r="J326">
        <f t="shared" si="34"/>
        <v>0</v>
      </c>
      <c r="K326">
        <f t="shared" si="35"/>
        <v>0</v>
      </c>
      <c r="M326"/>
      <c r="N326"/>
      <c r="O326"/>
    </row>
    <row r="327" spans="1:15" x14ac:dyDescent="0.3">
      <c r="A327" s="7">
        <v>3780</v>
      </c>
      <c r="B327">
        <v>19</v>
      </c>
      <c r="C327">
        <v>15</v>
      </c>
      <c r="D327">
        <v>1</v>
      </c>
      <c r="E327" t="s">
        <v>18</v>
      </c>
      <c r="F327" s="10">
        <f t="shared" si="30"/>
        <v>719</v>
      </c>
      <c r="G327" s="14">
        <f t="shared" si="31"/>
        <v>567</v>
      </c>
      <c r="H327" s="7">
        <f t="shared" si="32"/>
        <v>4666</v>
      </c>
      <c r="I327" s="10">
        <f t="shared" si="33"/>
        <v>5066</v>
      </c>
      <c r="J327">
        <f t="shared" si="34"/>
        <v>0</v>
      </c>
      <c r="K327">
        <f t="shared" si="35"/>
        <v>0</v>
      </c>
      <c r="M327"/>
      <c r="N327"/>
      <c r="O327"/>
    </row>
    <row r="328" spans="1:15" x14ac:dyDescent="0.3">
      <c r="A328" s="7">
        <v>2915</v>
      </c>
      <c r="B328">
        <v>15</v>
      </c>
      <c r="C328">
        <v>45</v>
      </c>
      <c r="D328">
        <v>2</v>
      </c>
      <c r="E328" t="s">
        <v>20</v>
      </c>
      <c r="F328" s="10">
        <f t="shared" si="30"/>
        <v>438</v>
      </c>
      <c r="G328" s="14">
        <f t="shared" si="31"/>
        <v>1311.75</v>
      </c>
      <c r="H328" s="7">
        <f t="shared" si="32"/>
        <v>2333</v>
      </c>
      <c r="I328" s="10">
        <f t="shared" si="33"/>
        <v>4664.75</v>
      </c>
      <c r="J328">
        <f t="shared" si="34"/>
        <v>0</v>
      </c>
      <c r="K328">
        <f t="shared" si="35"/>
        <v>0</v>
      </c>
      <c r="M328"/>
      <c r="N328"/>
      <c r="O328"/>
    </row>
    <row r="329" spans="1:15" x14ac:dyDescent="0.3">
      <c r="A329" s="7">
        <v>4220</v>
      </c>
      <c r="B329">
        <v>6</v>
      </c>
      <c r="C329">
        <v>50</v>
      </c>
      <c r="D329">
        <v>1</v>
      </c>
      <c r="E329" t="s">
        <v>17</v>
      </c>
      <c r="F329" s="10">
        <f t="shared" si="30"/>
        <v>254</v>
      </c>
      <c r="G329" s="14">
        <f t="shared" si="31"/>
        <v>2110</v>
      </c>
      <c r="H329" s="7">
        <f t="shared" si="32"/>
        <v>4666</v>
      </c>
      <c r="I329" s="10">
        <f t="shared" si="33"/>
        <v>6584</v>
      </c>
      <c r="J329">
        <f t="shared" si="34"/>
        <v>0</v>
      </c>
      <c r="K329">
        <f t="shared" si="35"/>
        <v>0</v>
      </c>
      <c r="M329"/>
      <c r="N329"/>
      <c r="O329"/>
    </row>
    <row r="330" spans="1:15" x14ac:dyDescent="0.3">
      <c r="A330" s="7">
        <v>552</v>
      </c>
      <c r="B330">
        <v>18</v>
      </c>
      <c r="C330">
        <v>25</v>
      </c>
      <c r="D330">
        <v>5</v>
      </c>
      <c r="E330" t="s">
        <v>19</v>
      </c>
      <c r="F330" s="10">
        <f t="shared" si="30"/>
        <v>100</v>
      </c>
      <c r="G330" s="14">
        <f t="shared" si="31"/>
        <v>138</v>
      </c>
      <c r="H330" s="7">
        <f t="shared" si="32"/>
        <v>933.2</v>
      </c>
      <c r="I330" s="10">
        <f t="shared" si="33"/>
        <v>790</v>
      </c>
      <c r="J330">
        <f t="shared" si="34"/>
        <v>1</v>
      </c>
      <c r="K330">
        <f t="shared" si="35"/>
        <v>143.20000000000005</v>
      </c>
      <c r="M330"/>
      <c r="N330"/>
      <c r="O330"/>
    </row>
    <row r="331" spans="1:15" x14ac:dyDescent="0.3">
      <c r="A331" s="7">
        <v>6160</v>
      </c>
      <c r="B331">
        <v>5</v>
      </c>
      <c r="C331">
        <v>20</v>
      </c>
      <c r="D331">
        <v>1</v>
      </c>
      <c r="E331" t="s">
        <v>20</v>
      </c>
      <c r="F331" s="10">
        <f t="shared" si="30"/>
        <v>308</v>
      </c>
      <c r="G331" s="14">
        <f t="shared" si="31"/>
        <v>1232</v>
      </c>
      <c r="H331" s="7">
        <f t="shared" si="32"/>
        <v>4666</v>
      </c>
      <c r="I331" s="10">
        <f t="shared" si="33"/>
        <v>7700</v>
      </c>
      <c r="J331">
        <f t="shared" si="34"/>
        <v>0</v>
      </c>
      <c r="K331">
        <f t="shared" si="35"/>
        <v>0</v>
      </c>
      <c r="M331"/>
      <c r="N331"/>
      <c r="O331"/>
    </row>
    <row r="332" spans="1:15" x14ac:dyDescent="0.3">
      <c r="A332" s="7">
        <v>1437</v>
      </c>
      <c r="B332">
        <v>9</v>
      </c>
      <c r="C332">
        <v>40</v>
      </c>
      <c r="D332">
        <v>3</v>
      </c>
      <c r="E332" t="s">
        <v>20</v>
      </c>
      <c r="F332" s="10">
        <f t="shared" si="30"/>
        <v>130</v>
      </c>
      <c r="G332" s="14">
        <f t="shared" si="31"/>
        <v>574.79999999999995</v>
      </c>
      <c r="H332" s="7">
        <f t="shared" si="32"/>
        <v>1555.33</v>
      </c>
      <c r="I332" s="10">
        <f t="shared" si="33"/>
        <v>2141.8000000000002</v>
      </c>
      <c r="J332">
        <f t="shared" si="34"/>
        <v>0</v>
      </c>
      <c r="K332">
        <f t="shared" si="35"/>
        <v>0</v>
      </c>
      <c r="M332"/>
      <c r="N332"/>
      <c r="O332"/>
    </row>
    <row r="333" spans="1:15" x14ac:dyDescent="0.3">
      <c r="A333" s="7">
        <v>952</v>
      </c>
      <c r="B333">
        <v>5</v>
      </c>
      <c r="C333">
        <v>45</v>
      </c>
      <c r="D333">
        <v>6</v>
      </c>
      <c r="E333" t="s">
        <v>19</v>
      </c>
      <c r="F333" s="10">
        <f t="shared" si="30"/>
        <v>48</v>
      </c>
      <c r="G333" s="14">
        <f t="shared" si="31"/>
        <v>428.4</v>
      </c>
      <c r="H333" s="7">
        <f t="shared" si="32"/>
        <v>777.67</v>
      </c>
      <c r="I333" s="10">
        <f t="shared" si="33"/>
        <v>1428.4</v>
      </c>
      <c r="J333">
        <f t="shared" si="34"/>
        <v>0</v>
      </c>
      <c r="K333">
        <f t="shared" si="35"/>
        <v>0</v>
      </c>
      <c r="M333"/>
      <c r="N333"/>
      <c r="O333"/>
    </row>
    <row r="334" spans="1:15" x14ac:dyDescent="0.3">
      <c r="A334" s="7">
        <v>404</v>
      </c>
      <c r="B334">
        <v>14</v>
      </c>
      <c r="C334">
        <v>20</v>
      </c>
      <c r="D334">
        <v>8</v>
      </c>
      <c r="E334" t="s">
        <v>18</v>
      </c>
      <c r="F334" s="10">
        <f t="shared" si="30"/>
        <v>57</v>
      </c>
      <c r="G334" s="14">
        <f t="shared" si="31"/>
        <v>80.8</v>
      </c>
      <c r="H334" s="7">
        <f t="shared" si="32"/>
        <v>583.25</v>
      </c>
      <c r="I334" s="10">
        <f t="shared" si="33"/>
        <v>541.79999999999995</v>
      </c>
      <c r="J334">
        <f t="shared" si="34"/>
        <v>1</v>
      </c>
      <c r="K334">
        <f t="shared" si="35"/>
        <v>41.450000000000045</v>
      </c>
      <c r="M334"/>
      <c r="N334"/>
      <c r="O334"/>
    </row>
    <row r="335" spans="1:15" x14ac:dyDescent="0.3">
      <c r="A335" s="7">
        <v>828</v>
      </c>
      <c r="B335">
        <v>11</v>
      </c>
      <c r="C335">
        <v>40</v>
      </c>
      <c r="D335">
        <v>5</v>
      </c>
      <c r="E335" t="s">
        <v>15</v>
      </c>
      <c r="F335" s="10">
        <f t="shared" si="30"/>
        <v>92</v>
      </c>
      <c r="G335" s="14">
        <f t="shared" si="31"/>
        <v>331.2</v>
      </c>
      <c r="H335" s="7">
        <f t="shared" si="32"/>
        <v>933.2</v>
      </c>
      <c r="I335" s="10">
        <f t="shared" si="33"/>
        <v>1251.2</v>
      </c>
      <c r="J335">
        <f t="shared" si="34"/>
        <v>0</v>
      </c>
      <c r="K335">
        <f t="shared" si="35"/>
        <v>0</v>
      </c>
      <c r="M335"/>
      <c r="N335"/>
      <c r="O335"/>
    </row>
    <row r="336" spans="1:15" x14ac:dyDescent="0.3">
      <c r="A336" s="7">
        <v>906</v>
      </c>
      <c r="B336">
        <v>17</v>
      </c>
      <c r="C336">
        <v>35</v>
      </c>
      <c r="D336">
        <v>7</v>
      </c>
      <c r="E336" t="s">
        <v>20</v>
      </c>
      <c r="F336" s="10">
        <f t="shared" si="30"/>
        <v>155</v>
      </c>
      <c r="G336" s="14">
        <f t="shared" si="31"/>
        <v>317.10000000000002</v>
      </c>
      <c r="H336" s="7">
        <f t="shared" si="32"/>
        <v>666.57</v>
      </c>
      <c r="I336" s="10">
        <f t="shared" si="33"/>
        <v>1378.1</v>
      </c>
      <c r="J336">
        <f t="shared" si="34"/>
        <v>0</v>
      </c>
      <c r="K336">
        <f t="shared" si="35"/>
        <v>0</v>
      </c>
      <c r="M336"/>
      <c r="N336"/>
      <c r="O336"/>
    </row>
    <row r="337" spans="1:15" x14ac:dyDescent="0.3">
      <c r="A337" s="7">
        <v>981</v>
      </c>
      <c r="B337">
        <v>11</v>
      </c>
      <c r="C337">
        <v>0</v>
      </c>
      <c r="D337">
        <v>7</v>
      </c>
      <c r="E337" t="s">
        <v>18</v>
      </c>
      <c r="F337" s="10">
        <f t="shared" si="30"/>
        <v>108</v>
      </c>
      <c r="G337" s="14">
        <f t="shared" si="31"/>
        <v>0</v>
      </c>
      <c r="H337" s="7">
        <f t="shared" si="32"/>
        <v>666.57</v>
      </c>
      <c r="I337" s="10">
        <f t="shared" si="33"/>
        <v>1089</v>
      </c>
      <c r="J337">
        <f t="shared" si="34"/>
        <v>0</v>
      </c>
      <c r="K337">
        <f t="shared" si="35"/>
        <v>0</v>
      </c>
      <c r="M337"/>
      <c r="N337"/>
      <c r="O337"/>
    </row>
    <row r="338" spans="1:15" x14ac:dyDescent="0.3">
      <c r="A338" s="7">
        <v>1510</v>
      </c>
      <c r="B338">
        <v>20</v>
      </c>
      <c r="C338">
        <v>10</v>
      </c>
      <c r="D338">
        <v>3</v>
      </c>
      <c r="E338" t="s">
        <v>20</v>
      </c>
      <c r="F338" s="10">
        <f t="shared" si="30"/>
        <v>302</v>
      </c>
      <c r="G338" s="14">
        <f t="shared" si="31"/>
        <v>151</v>
      </c>
      <c r="H338" s="7">
        <f t="shared" si="32"/>
        <v>1555.33</v>
      </c>
      <c r="I338" s="10">
        <f t="shared" si="33"/>
        <v>1963</v>
      </c>
      <c r="J338">
        <f t="shared" si="34"/>
        <v>0</v>
      </c>
      <c r="K338">
        <f t="shared" si="35"/>
        <v>0</v>
      </c>
      <c r="M338"/>
      <c r="N338"/>
      <c r="O338"/>
    </row>
    <row r="339" spans="1:15" x14ac:dyDescent="0.3">
      <c r="A339" s="7">
        <v>1563</v>
      </c>
      <c r="B339">
        <v>13</v>
      </c>
      <c r="C339">
        <v>35</v>
      </c>
      <c r="D339">
        <v>4</v>
      </c>
      <c r="E339" t="s">
        <v>19</v>
      </c>
      <c r="F339" s="10">
        <f t="shared" si="30"/>
        <v>204</v>
      </c>
      <c r="G339" s="14">
        <f t="shared" si="31"/>
        <v>547.04999999999995</v>
      </c>
      <c r="H339" s="7">
        <f t="shared" si="32"/>
        <v>1166.5</v>
      </c>
      <c r="I339" s="10">
        <f t="shared" si="33"/>
        <v>2314.0500000000002</v>
      </c>
      <c r="J339">
        <f t="shared" si="34"/>
        <v>0</v>
      </c>
      <c r="K339">
        <f t="shared" si="35"/>
        <v>0</v>
      </c>
      <c r="M339"/>
      <c r="N339"/>
      <c r="O339"/>
    </row>
    <row r="340" spans="1:15" x14ac:dyDescent="0.3">
      <c r="A340" s="7">
        <v>531</v>
      </c>
      <c r="B340">
        <v>19</v>
      </c>
      <c r="C340">
        <v>10</v>
      </c>
      <c r="D340">
        <v>7</v>
      </c>
      <c r="E340" t="s">
        <v>17</v>
      </c>
      <c r="F340" s="10">
        <f t="shared" si="30"/>
        <v>101</v>
      </c>
      <c r="G340" s="14">
        <f t="shared" si="31"/>
        <v>53.1</v>
      </c>
      <c r="H340" s="7">
        <f t="shared" si="32"/>
        <v>666.57</v>
      </c>
      <c r="I340" s="10">
        <f t="shared" si="33"/>
        <v>685.1</v>
      </c>
      <c r="J340">
        <f t="shared" si="34"/>
        <v>0</v>
      </c>
      <c r="K340">
        <f t="shared" si="35"/>
        <v>0</v>
      </c>
      <c r="M340"/>
      <c r="N340"/>
      <c r="O340"/>
    </row>
    <row r="341" spans="1:15" x14ac:dyDescent="0.3">
      <c r="A341" s="7">
        <v>839</v>
      </c>
      <c r="B341">
        <v>11</v>
      </c>
      <c r="C341">
        <v>20</v>
      </c>
      <c r="D341">
        <v>8</v>
      </c>
      <c r="E341" t="s">
        <v>16</v>
      </c>
      <c r="F341" s="10">
        <f t="shared" si="30"/>
        <v>93</v>
      </c>
      <c r="G341" s="14">
        <f t="shared" si="31"/>
        <v>167.8</v>
      </c>
      <c r="H341" s="7">
        <f t="shared" si="32"/>
        <v>583.25</v>
      </c>
      <c r="I341" s="10">
        <f t="shared" si="33"/>
        <v>1099.8</v>
      </c>
      <c r="J341">
        <f t="shared" si="34"/>
        <v>0</v>
      </c>
      <c r="K341">
        <f t="shared" si="35"/>
        <v>0</v>
      </c>
      <c r="M341"/>
      <c r="N341"/>
      <c r="O341"/>
    </row>
    <row r="342" spans="1:15" x14ac:dyDescent="0.3">
      <c r="A342" s="7">
        <v>3650</v>
      </c>
      <c r="B342">
        <v>6</v>
      </c>
      <c r="C342">
        <v>5</v>
      </c>
      <c r="D342">
        <v>1</v>
      </c>
      <c r="E342" t="s">
        <v>17</v>
      </c>
      <c r="F342" s="10">
        <f t="shared" si="30"/>
        <v>219</v>
      </c>
      <c r="G342" s="14">
        <f t="shared" si="31"/>
        <v>182.5</v>
      </c>
      <c r="H342" s="7">
        <f t="shared" si="32"/>
        <v>4666</v>
      </c>
      <c r="I342" s="10">
        <f t="shared" si="33"/>
        <v>4051.5</v>
      </c>
      <c r="J342">
        <f t="shared" si="34"/>
        <v>1</v>
      </c>
      <c r="K342">
        <f t="shared" si="35"/>
        <v>614.5</v>
      </c>
      <c r="M342"/>
      <c r="N342"/>
      <c r="O342"/>
    </row>
    <row r="343" spans="1:15" x14ac:dyDescent="0.3">
      <c r="A343" s="7">
        <v>1100</v>
      </c>
      <c r="B343">
        <v>4</v>
      </c>
      <c r="C343">
        <v>5</v>
      </c>
      <c r="D343">
        <v>4</v>
      </c>
      <c r="E343" t="s">
        <v>15</v>
      </c>
      <c r="F343" s="10">
        <f t="shared" si="30"/>
        <v>44</v>
      </c>
      <c r="G343" s="14">
        <f t="shared" si="31"/>
        <v>55</v>
      </c>
      <c r="H343" s="7">
        <f t="shared" si="32"/>
        <v>1166.5</v>
      </c>
      <c r="I343" s="10">
        <f t="shared" si="33"/>
        <v>1199</v>
      </c>
      <c r="J343">
        <f t="shared" si="34"/>
        <v>0</v>
      </c>
      <c r="K343">
        <f t="shared" si="35"/>
        <v>0</v>
      </c>
      <c r="M343"/>
      <c r="N343"/>
      <c r="O343"/>
    </row>
    <row r="344" spans="1:15" x14ac:dyDescent="0.3">
      <c r="A344" s="7">
        <v>584</v>
      </c>
      <c r="B344">
        <v>6</v>
      </c>
      <c r="C344">
        <v>10</v>
      </c>
      <c r="D344">
        <v>8</v>
      </c>
      <c r="E344" t="s">
        <v>16</v>
      </c>
      <c r="F344" s="10">
        <f t="shared" si="30"/>
        <v>36</v>
      </c>
      <c r="G344" s="14">
        <f t="shared" si="31"/>
        <v>58.4</v>
      </c>
      <c r="H344" s="7">
        <f t="shared" si="32"/>
        <v>583.25</v>
      </c>
      <c r="I344" s="10">
        <f t="shared" si="33"/>
        <v>678.4</v>
      </c>
      <c r="J344">
        <f t="shared" si="34"/>
        <v>0</v>
      </c>
      <c r="K344">
        <f t="shared" si="35"/>
        <v>0</v>
      </c>
      <c r="M344"/>
      <c r="N344"/>
      <c r="O344"/>
    </row>
    <row r="345" spans="1:15" x14ac:dyDescent="0.3">
      <c r="A345" s="7">
        <v>5250</v>
      </c>
      <c r="B345">
        <v>16</v>
      </c>
      <c r="C345">
        <v>20</v>
      </c>
      <c r="D345">
        <v>1</v>
      </c>
      <c r="E345" t="s">
        <v>21</v>
      </c>
      <c r="F345" s="10">
        <f t="shared" si="30"/>
        <v>840</v>
      </c>
      <c r="G345" s="14">
        <f t="shared" si="31"/>
        <v>1050</v>
      </c>
      <c r="H345" s="7">
        <f t="shared" si="32"/>
        <v>4666</v>
      </c>
      <c r="I345" s="10">
        <f t="shared" si="33"/>
        <v>7140</v>
      </c>
      <c r="J345">
        <f t="shared" si="34"/>
        <v>0</v>
      </c>
      <c r="K345">
        <f t="shared" si="35"/>
        <v>0</v>
      </c>
      <c r="M345"/>
      <c r="N345"/>
      <c r="O345"/>
    </row>
    <row r="346" spans="1:15" x14ac:dyDescent="0.3">
      <c r="A346" s="7">
        <v>905</v>
      </c>
      <c r="B346">
        <v>11</v>
      </c>
      <c r="C346">
        <v>15</v>
      </c>
      <c r="D346">
        <v>4</v>
      </c>
      <c r="E346" t="s">
        <v>21</v>
      </c>
      <c r="F346" s="10">
        <f t="shared" si="30"/>
        <v>100</v>
      </c>
      <c r="G346" s="14">
        <f t="shared" si="31"/>
        <v>135.75</v>
      </c>
      <c r="H346" s="7">
        <f t="shared" si="32"/>
        <v>1166.5</v>
      </c>
      <c r="I346" s="10">
        <f t="shared" si="33"/>
        <v>1140.75</v>
      </c>
      <c r="J346">
        <f t="shared" si="34"/>
        <v>1</v>
      </c>
      <c r="K346">
        <f t="shared" si="35"/>
        <v>25.75</v>
      </c>
      <c r="M346"/>
      <c r="N346"/>
      <c r="O346"/>
    </row>
    <row r="347" spans="1:15" x14ac:dyDescent="0.3">
      <c r="A347" s="7">
        <v>3800</v>
      </c>
      <c r="B347">
        <v>9</v>
      </c>
      <c r="C347">
        <v>35</v>
      </c>
      <c r="D347">
        <v>1</v>
      </c>
      <c r="E347" t="s">
        <v>19</v>
      </c>
      <c r="F347" s="10">
        <f t="shared" si="30"/>
        <v>342</v>
      </c>
      <c r="G347" s="14">
        <f t="shared" si="31"/>
        <v>1330</v>
      </c>
      <c r="H347" s="7">
        <f t="shared" si="32"/>
        <v>4666</v>
      </c>
      <c r="I347" s="10">
        <f t="shared" si="33"/>
        <v>5472</v>
      </c>
      <c r="J347">
        <f t="shared" si="34"/>
        <v>0</v>
      </c>
      <c r="K347">
        <f t="shared" si="35"/>
        <v>0</v>
      </c>
      <c r="M347"/>
      <c r="N347"/>
      <c r="O347"/>
    </row>
    <row r="348" spans="1:15" x14ac:dyDescent="0.3">
      <c r="A348" s="7">
        <v>2095</v>
      </c>
      <c r="B348">
        <v>9</v>
      </c>
      <c r="C348">
        <v>35</v>
      </c>
      <c r="D348">
        <v>2</v>
      </c>
      <c r="E348" t="s">
        <v>21</v>
      </c>
      <c r="F348" s="10">
        <f t="shared" si="30"/>
        <v>189</v>
      </c>
      <c r="G348" s="14">
        <f t="shared" si="31"/>
        <v>733.25</v>
      </c>
      <c r="H348" s="7">
        <f t="shared" si="32"/>
        <v>2333</v>
      </c>
      <c r="I348" s="10">
        <f t="shared" si="33"/>
        <v>3017.25</v>
      </c>
      <c r="J348">
        <f t="shared" si="34"/>
        <v>0</v>
      </c>
      <c r="K348">
        <f t="shared" si="35"/>
        <v>0</v>
      </c>
      <c r="M348"/>
      <c r="N348"/>
      <c r="O348"/>
    </row>
    <row r="349" spans="1:15" x14ac:dyDescent="0.3">
      <c r="A349" s="7">
        <v>6890</v>
      </c>
      <c r="B349">
        <v>19</v>
      </c>
      <c r="C349">
        <v>0</v>
      </c>
      <c r="D349">
        <v>1</v>
      </c>
      <c r="E349" t="s">
        <v>15</v>
      </c>
      <c r="F349" s="10">
        <f t="shared" si="30"/>
        <v>1310</v>
      </c>
      <c r="G349" s="14">
        <f t="shared" si="31"/>
        <v>0</v>
      </c>
      <c r="H349" s="7">
        <f t="shared" si="32"/>
        <v>4666</v>
      </c>
      <c r="I349" s="10">
        <f t="shared" si="33"/>
        <v>8200</v>
      </c>
      <c r="J349">
        <f t="shared" si="34"/>
        <v>0</v>
      </c>
      <c r="K349">
        <f t="shared" si="35"/>
        <v>0</v>
      </c>
      <c r="M349"/>
      <c r="N349"/>
      <c r="O349"/>
    </row>
    <row r="350" spans="1:15" x14ac:dyDescent="0.3">
      <c r="A350" s="7">
        <v>1117</v>
      </c>
      <c r="B350">
        <v>10</v>
      </c>
      <c r="C350">
        <v>45</v>
      </c>
      <c r="D350">
        <v>3</v>
      </c>
      <c r="E350" t="s">
        <v>19</v>
      </c>
      <c r="F350" s="10">
        <f t="shared" si="30"/>
        <v>112</v>
      </c>
      <c r="G350" s="14">
        <f t="shared" si="31"/>
        <v>502.65</v>
      </c>
      <c r="H350" s="7">
        <f t="shared" si="32"/>
        <v>1555.33</v>
      </c>
      <c r="I350" s="10">
        <f t="shared" si="33"/>
        <v>1731.65</v>
      </c>
      <c r="J350">
        <f t="shared" si="34"/>
        <v>0</v>
      </c>
      <c r="K350">
        <f t="shared" si="35"/>
        <v>0</v>
      </c>
      <c r="M350"/>
      <c r="N350"/>
      <c r="O350"/>
    </row>
    <row r="351" spans="1:15" x14ac:dyDescent="0.3">
      <c r="A351" s="7">
        <v>5900</v>
      </c>
      <c r="B351">
        <v>11</v>
      </c>
      <c r="C351">
        <v>15</v>
      </c>
      <c r="D351">
        <v>1</v>
      </c>
      <c r="E351" t="s">
        <v>17</v>
      </c>
      <c r="F351" s="10">
        <f t="shared" si="30"/>
        <v>649</v>
      </c>
      <c r="G351" s="14">
        <f t="shared" si="31"/>
        <v>885</v>
      </c>
      <c r="H351" s="7">
        <f t="shared" si="32"/>
        <v>4666</v>
      </c>
      <c r="I351" s="10">
        <f t="shared" si="33"/>
        <v>7434</v>
      </c>
      <c r="J351">
        <f t="shared" si="34"/>
        <v>0</v>
      </c>
      <c r="K351">
        <f t="shared" si="35"/>
        <v>0</v>
      </c>
      <c r="M351"/>
      <c r="N351"/>
      <c r="O351"/>
    </row>
    <row r="352" spans="1:15" x14ac:dyDescent="0.3">
      <c r="A352" s="7">
        <v>3240</v>
      </c>
      <c r="B352">
        <v>18</v>
      </c>
      <c r="C352">
        <v>15</v>
      </c>
      <c r="D352">
        <v>2</v>
      </c>
      <c r="E352" t="s">
        <v>19</v>
      </c>
      <c r="F352" s="10">
        <f t="shared" si="30"/>
        <v>584</v>
      </c>
      <c r="G352" s="14">
        <f t="shared" si="31"/>
        <v>486</v>
      </c>
      <c r="H352" s="7">
        <f t="shared" si="32"/>
        <v>2333</v>
      </c>
      <c r="I352" s="10">
        <f t="shared" si="33"/>
        <v>4310</v>
      </c>
      <c r="J352">
        <f t="shared" si="34"/>
        <v>0</v>
      </c>
      <c r="K352">
        <f t="shared" si="35"/>
        <v>0</v>
      </c>
      <c r="M352"/>
      <c r="N352"/>
      <c r="O352"/>
    </row>
    <row r="353" spans="1:15" x14ac:dyDescent="0.3">
      <c r="A353" s="7">
        <v>1530</v>
      </c>
      <c r="B353">
        <v>6</v>
      </c>
      <c r="C353">
        <v>0</v>
      </c>
      <c r="D353">
        <v>3</v>
      </c>
      <c r="E353" t="s">
        <v>15</v>
      </c>
      <c r="F353" s="10">
        <f t="shared" si="30"/>
        <v>92</v>
      </c>
      <c r="G353" s="14">
        <f t="shared" si="31"/>
        <v>0</v>
      </c>
      <c r="H353" s="7">
        <f t="shared" si="32"/>
        <v>1555.33</v>
      </c>
      <c r="I353" s="10">
        <f t="shared" si="33"/>
        <v>1622</v>
      </c>
      <c r="J353">
        <f t="shared" si="34"/>
        <v>0</v>
      </c>
      <c r="K353">
        <f t="shared" si="35"/>
        <v>0</v>
      </c>
      <c r="M353"/>
      <c r="N353"/>
      <c r="O353"/>
    </row>
    <row r="354" spans="1:15" x14ac:dyDescent="0.3">
      <c r="A354" s="7">
        <v>388</v>
      </c>
      <c r="B354">
        <v>18</v>
      </c>
      <c r="C354">
        <v>30</v>
      </c>
      <c r="D354">
        <v>8</v>
      </c>
      <c r="E354" t="s">
        <v>16</v>
      </c>
      <c r="F354" s="10">
        <f t="shared" si="30"/>
        <v>70</v>
      </c>
      <c r="G354" s="14">
        <f t="shared" si="31"/>
        <v>116.4</v>
      </c>
      <c r="H354" s="7">
        <f t="shared" si="32"/>
        <v>583.25</v>
      </c>
      <c r="I354" s="10">
        <f t="shared" si="33"/>
        <v>574.4</v>
      </c>
      <c r="J354">
        <f t="shared" si="34"/>
        <v>1</v>
      </c>
      <c r="K354">
        <f t="shared" si="35"/>
        <v>8.8500000000000227</v>
      </c>
      <c r="M354"/>
      <c r="N354"/>
      <c r="O354"/>
    </row>
    <row r="355" spans="1:15" x14ac:dyDescent="0.3">
      <c r="A355" s="7">
        <v>3360</v>
      </c>
      <c r="B355">
        <v>3</v>
      </c>
      <c r="C355">
        <v>30</v>
      </c>
      <c r="D355">
        <v>1</v>
      </c>
      <c r="E355" t="s">
        <v>19</v>
      </c>
      <c r="F355" s="10">
        <f t="shared" si="30"/>
        <v>101</v>
      </c>
      <c r="G355" s="14">
        <f t="shared" si="31"/>
        <v>1008</v>
      </c>
      <c r="H355" s="7">
        <f t="shared" si="32"/>
        <v>4666</v>
      </c>
      <c r="I355" s="10">
        <f t="shared" si="33"/>
        <v>4469</v>
      </c>
      <c r="J355">
        <f t="shared" si="34"/>
        <v>1</v>
      </c>
      <c r="K355">
        <f t="shared" si="35"/>
        <v>197</v>
      </c>
      <c r="M355"/>
      <c r="N355"/>
      <c r="O355"/>
    </row>
    <row r="356" spans="1:15" x14ac:dyDescent="0.3">
      <c r="A356" s="7">
        <v>608</v>
      </c>
      <c r="B356">
        <v>19</v>
      </c>
      <c r="C356">
        <v>10</v>
      </c>
      <c r="D356">
        <v>9</v>
      </c>
      <c r="E356" t="s">
        <v>20</v>
      </c>
      <c r="F356" s="10">
        <f t="shared" si="30"/>
        <v>116</v>
      </c>
      <c r="G356" s="14">
        <f t="shared" si="31"/>
        <v>60.8</v>
      </c>
      <c r="H356" s="7">
        <f t="shared" si="32"/>
        <v>518.44000000000005</v>
      </c>
      <c r="I356" s="10">
        <f t="shared" si="33"/>
        <v>784.8</v>
      </c>
      <c r="J356">
        <f t="shared" si="34"/>
        <v>0</v>
      </c>
      <c r="K356">
        <f t="shared" si="35"/>
        <v>0</v>
      </c>
      <c r="M356"/>
      <c r="N356"/>
      <c r="O356"/>
    </row>
    <row r="357" spans="1:15" x14ac:dyDescent="0.3">
      <c r="A357" s="7">
        <v>904</v>
      </c>
      <c r="B357">
        <v>9</v>
      </c>
      <c r="C357">
        <v>25</v>
      </c>
      <c r="D357">
        <v>7</v>
      </c>
      <c r="E357" t="s">
        <v>16</v>
      </c>
      <c r="F357" s="10">
        <f t="shared" si="30"/>
        <v>82</v>
      </c>
      <c r="G357" s="14">
        <f t="shared" si="31"/>
        <v>226</v>
      </c>
      <c r="H357" s="7">
        <f t="shared" si="32"/>
        <v>666.57</v>
      </c>
      <c r="I357" s="10">
        <f t="shared" si="33"/>
        <v>1212</v>
      </c>
      <c r="J357">
        <f t="shared" si="34"/>
        <v>0</v>
      </c>
      <c r="K357">
        <f t="shared" si="35"/>
        <v>0</v>
      </c>
      <c r="M357"/>
      <c r="N357"/>
      <c r="O357"/>
    </row>
    <row r="358" spans="1:15" x14ac:dyDescent="0.3">
      <c r="A358" s="7">
        <v>1028</v>
      </c>
      <c r="B358">
        <v>11</v>
      </c>
      <c r="C358">
        <v>5</v>
      </c>
      <c r="D358">
        <v>6</v>
      </c>
      <c r="E358" t="s">
        <v>17</v>
      </c>
      <c r="F358" s="10">
        <f t="shared" si="30"/>
        <v>114</v>
      </c>
      <c r="G358" s="14">
        <f t="shared" si="31"/>
        <v>51.4</v>
      </c>
      <c r="H358" s="7">
        <f t="shared" si="32"/>
        <v>777.67</v>
      </c>
      <c r="I358" s="10">
        <f t="shared" si="33"/>
        <v>1193.4000000000001</v>
      </c>
      <c r="J358">
        <f t="shared" si="34"/>
        <v>0</v>
      </c>
      <c r="K358">
        <f t="shared" si="35"/>
        <v>0</v>
      </c>
      <c r="M358"/>
      <c r="N358"/>
      <c r="O358"/>
    </row>
    <row r="359" spans="1:15" x14ac:dyDescent="0.3">
      <c r="A359" s="7">
        <v>6790</v>
      </c>
      <c r="B359">
        <v>5</v>
      </c>
      <c r="C359">
        <v>10</v>
      </c>
      <c r="D359">
        <v>1</v>
      </c>
      <c r="E359" t="s">
        <v>15</v>
      </c>
      <c r="F359" s="10">
        <f t="shared" si="30"/>
        <v>340</v>
      </c>
      <c r="G359" s="14">
        <f t="shared" si="31"/>
        <v>679</v>
      </c>
      <c r="H359" s="7">
        <f t="shared" si="32"/>
        <v>4666</v>
      </c>
      <c r="I359" s="10">
        <f t="shared" si="33"/>
        <v>7809</v>
      </c>
      <c r="J359">
        <f t="shared" si="34"/>
        <v>0</v>
      </c>
      <c r="K359">
        <f t="shared" si="35"/>
        <v>0</v>
      </c>
      <c r="M359"/>
      <c r="N359"/>
      <c r="O359"/>
    </row>
    <row r="360" spans="1:15" x14ac:dyDescent="0.3">
      <c r="A360" s="7">
        <v>852</v>
      </c>
      <c r="B360">
        <v>18</v>
      </c>
      <c r="C360">
        <v>45</v>
      </c>
      <c r="D360">
        <v>5</v>
      </c>
      <c r="E360" t="s">
        <v>19</v>
      </c>
      <c r="F360" s="10">
        <f t="shared" si="30"/>
        <v>154</v>
      </c>
      <c r="G360" s="14">
        <f t="shared" si="31"/>
        <v>383.4</v>
      </c>
      <c r="H360" s="7">
        <f t="shared" si="32"/>
        <v>933.2</v>
      </c>
      <c r="I360" s="10">
        <f t="shared" si="33"/>
        <v>1389.4</v>
      </c>
      <c r="J360">
        <f t="shared" si="34"/>
        <v>0</v>
      </c>
      <c r="K360">
        <f t="shared" si="35"/>
        <v>0</v>
      </c>
      <c r="M360"/>
      <c r="N360"/>
      <c r="O360"/>
    </row>
    <row r="361" spans="1:15" x14ac:dyDescent="0.3">
      <c r="A361" s="7">
        <v>918</v>
      </c>
      <c r="B361">
        <v>5</v>
      </c>
      <c r="C361">
        <v>10</v>
      </c>
      <c r="D361">
        <v>6</v>
      </c>
      <c r="E361" t="s">
        <v>21</v>
      </c>
      <c r="F361" s="10">
        <f t="shared" si="30"/>
        <v>46</v>
      </c>
      <c r="G361" s="14">
        <f t="shared" si="31"/>
        <v>91.8</v>
      </c>
      <c r="H361" s="7">
        <f t="shared" si="32"/>
        <v>777.67</v>
      </c>
      <c r="I361" s="10">
        <f t="shared" si="33"/>
        <v>1055.8</v>
      </c>
      <c r="J361">
        <f t="shared" si="34"/>
        <v>0</v>
      </c>
      <c r="K361">
        <f t="shared" si="35"/>
        <v>0</v>
      </c>
      <c r="M361"/>
      <c r="N361"/>
      <c r="O361"/>
    </row>
    <row r="362" spans="1:15" x14ac:dyDescent="0.3">
      <c r="A362" s="7">
        <v>1527</v>
      </c>
      <c r="B362">
        <v>10</v>
      </c>
      <c r="C362">
        <v>45</v>
      </c>
      <c r="D362">
        <v>3</v>
      </c>
      <c r="E362" t="s">
        <v>16</v>
      </c>
      <c r="F362" s="10">
        <f t="shared" si="30"/>
        <v>153</v>
      </c>
      <c r="G362" s="14">
        <f t="shared" si="31"/>
        <v>687.15</v>
      </c>
      <c r="H362" s="7">
        <f t="shared" si="32"/>
        <v>1555.33</v>
      </c>
      <c r="I362" s="10">
        <f t="shared" si="33"/>
        <v>2367.15</v>
      </c>
      <c r="J362">
        <f t="shared" si="34"/>
        <v>0</v>
      </c>
      <c r="K362">
        <f t="shared" si="35"/>
        <v>0</v>
      </c>
      <c r="M362"/>
      <c r="N362"/>
      <c r="O362"/>
    </row>
    <row r="363" spans="1:15" x14ac:dyDescent="0.3">
      <c r="A363" s="7">
        <v>6640</v>
      </c>
      <c r="B363">
        <v>18</v>
      </c>
      <c r="C363">
        <v>35</v>
      </c>
      <c r="D363">
        <v>1</v>
      </c>
      <c r="E363" t="s">
        <v>20</v>
      </c>
      <c r="F363" s="10">
        <f t="shared" si="30"/>
        <v>1196</v>
      </c>
      <c r="G363" s="14">
        <f t="shared" si="31"/>
        <v>2324</v>
      </c>
      <c r="H363" s="7">
        <f t="shared" si="32"/>
        <v>4666</v>
      </c>
      <c r="I363" s="10">
        <f t="shared" si="33"/>
        <v>10160</v>
      </c>
      <c r="J363">
        <f t="shared" si="34"/>
        <v>0</v>
      </c>
      <c r="K363">
        <f t="shared" si="35"/>
        <v>0</v>
      </c>
      <c r="M363"/>
      <c r="N363"/>
      <c r="O363"/>
    </row>
    <row r="364" spans="1:15" x14ac:dyDescent="0.3">
      <c r="A364" s="7">
        <v>3200</v>
      </c>
      <c r="B364">
        <v>1</v>
      </c>
      <c r="C364">
        <v>25</v>
      </c>
      <c r="D364">
        <v>1</v>
      </c>
      <c r="E364" t="s">
        <v>21</v>
      </c>
      <c r="F364" s="10">
        <f t="shared" si="30"/>
        <v>32</v>
      </c>
      <c r="G364" s="14">
        <f t="shared" si="31"/>
        <v>800</v>
      </c>
      <c r="H364" s="7">
        <f t="shared" si="32"/>
        <v>4666</v>
      </c>
      <c r="I364" s="10">
        <f t="shared" si="33"/>
        <v>4032</v>
      </c>
      <c r="J364">
        <f t="shared" si="34"/>
        <v>1</v>
      </c>
      <c r="K364">
        <f t="shared" si="35"/>
        <v>634</v>
      </c>
      <c r="M364"/>
      <c r="N364"/>
      <c r="O364"/>
    </row>
    <row r="365" spans="1:15" x14ac:dyDescent="0.3">
      <c r="A365" s="7">
        <v>6310</v>
      </c>
      <c r="B365">
        <v>6</v>
      </c>
      <c r="C365">
        <v>30</v>
      </c>
      <c r="D365">
        <v>1</v>
      </c>
      <c r="E365" t="s">
        <v>20</v>
      </c>
      <c r="F365" s="10">
        <f t="shared" si="30"/>
        <v>379</v>
      </c>
      <c r="G365" s="14">
        <f t="shared" si="31"/>
        <v>1893</v>
      </c>
      <c r="H365" s="7">
        <f t="shared" si="32"/>
        <v>4666</v>
      </c>
      <c r="I365" s="10">
        <f t="shared" si="33"/>
        <v>8582</v>
      </c>
      <c r="J365">
        <f t="shared" si="34"/>
        <v>0</v>
      </c>
      <c r="K365">
        <f t="shared" si="35"/>
        <v>0</v>
      </c>
      <c r="M365"/>
      <c r="N365"/>
      <c r="O365"/>
    </row>
    <row r="366" spans="1:15" x14ac:dyDescent="0.3">
      <c r="A366" s="7">
        <v>403</v>
      </c>
      <c r="B366">
        <v>20</v>
      </c>
      <c r="C366">
        <v>20</v>
      </c>
      <c r="D366">
        <v>8</v>
      </c>
      <c r="E366" t="s">
        <v>21</v>
      </c>
      <c r="F366" s="10">
        <f t="shared" si="30"/>
        <v>81</v>
      </c>
      <c r="G366" s="14">
        <f t="shared" si="31"/>
        <v>80.599999999999994</v>
      </c>
      <c r="H366" s="7">
        <f t="shared" si="32"/>
        <v>583.25</v>
      </c>
      <c r="I366" s="10">
        <f t="shared" si="33"/>
        <v>564.6</v>
      </c>
      <c r="J366">
        <f t="shared" si="34"/>
        <v>1</v>
      </c>
      <c r="K366">
        <f t="shared" si="35"/>
        <v>18.649999999999977</v>
      </c>
      <c r="M366"/>
      <c r="N366"/>
      <c r="O366"/>
    </row>
    <row r="367" spans="1:15" x14ac:dyDescent="0.3">
      <c r="A367" s="7">
        <v>648</v>
      </c>
      <c r="B367">
        <v>18</v>
      </c>
      <c r="C367">
        <v>30</v>
      </c>
      <c r="D367">
        <v>9</v>
      </c>
      <c r="E367" t="s">
        <v>17</v>
      </c>
      <c r="F367" s="10">
        <f t="shared" si="30"/>
        <v>117</v>
      </c>
      <c r="G367" s="14">
        <f t="shared" si="31"/>
        <v>194.4</v>
      </c>
      <c r="H367" s="7">
        <f t="shared" si="32"/>
        <v>518.44000000000005</v>
      </c>
      <c r="I367" s="10">
        <f t="shared" si="33"/>
        <v>959.4</v>
      </c>
      <c r="J367">
        <f t="shared" si="34"/>
        <v>0</v>
      </c>
      <c r="K367">
        <f t="shared" si="35"/>
        <v>0</v>
      </c>
      <c r="M367"/>
      <c r="N367"/>
      <c r="O367"/>
    </row>
    <row r="368" spans="1:15" x14ac:dyDescent="0.3">
      <c r="A368" s="7">
        <v>4930</v>
      </c>
      <c r="B368">
        <v>10</v>
      </c>
      <c r="C368">
        <v>10</v>
      </c>
      <c r="D368">
        <v>1</v>
      </c>
      <c r="E368" t="s">
        <v>18</v>
      </c>
      <c r="F368" s="10">
        <f t="shared" si="30"/>
        <v>493</v>
      </c>
      <c r="G368" s="14">
        <f t="shared" si="31"/>
        <v>493</v>
      </c>
      <c r="H368" s="7">
        <f t="shared" si="32"/>
        <v>4666</v>
      </c>
      <c r="I368" s="10">
        <f t="shared" si="33"/>
        <v>5916</v>
      </c>
      <c r="J368">
        <f t="shared" si="34"/>
        <v>0</v>
      </c>
      <c r="K368">
        <f t="shared" si="35"/>
        <v>0</v>
      </c>
      <c r="M368"/>
      <c r="N368"/>
      <c r="O368"/>
    </row>
    <row r="369" spans="1:15" x14ac:dyDescent="0.3">
      <c r="A369" s="7">
        <v>496</v>
      </c>
      <c r="B369">
        <v>17</v>
      </c>
      <c r="C369">
        <v>35</v>
      </c>
      <c r="D369">
        <v>10</v>
      </c>
      <c r="E369" t="s">
        <v>15</v>
      </c>
      <c r="F369" s="10">
        <f t="shared" si="30"/>
        <v>85</v>
      </c>
      <c r="G369" s="14">
        <f t="shared" si="31"/>
        <v>173.6</v>
      </c>
      <c r="H369" s="7">
        <f t="shared" si="32"/>
        <v>466.6</v>
      </c>
      <c r="I369" s="10">
        <f t="shared" si="33"/>
        <v>754.6</v>
      </c>
      <c r="J369">
        <f t="shared" si="34"/>
        <v>0</v>
      </c>
      <c r="K369">
        <f t="shared" si="35"/>
        <v>0</v>
      </c>
      <c r="M369"/>
      <c r="N369"/>
      <c r="O369"/>
    </row>
    <row r="370" spans="1:15" x14ac:dyDescent="0.3">
      <c r="A370" s="7">
        <v>1338</v>
      </c>
      <c r="B370">
        <v>20</v>
      </c>
      <c r="C370">
        <v>30</v>
      </c>
      <c r="D370">
        <v>4</v>
      </c>
      <c r="E370" t="s">
        <v>18</v>
      </c>
      <c r="F370" s="10">
        <f t="shared" si="30"/>
        <v>268</v>
      </c>
      <c r="G370" s="14">
        <f t="shared" si="31"/>
        <v>401.4</v>
      </c>
      <c r="H370" s="7">
        <f t="shared" si="32"/>
        <v>1166.5</v>
      </c>
      <c r="I370" s="10">
        <f t="shared" si="33"/>
        <v>2007.4</v>
      </c>
      <c r="J370">
        <f t="shared" si="34"/>
        <v>0</v>
      </c>
      <c r="K370">
        <f t="shared" si="35"/>
        <v>0</v>
      </c>
      <c r="M370"/>
      <c r="N370"/>
      <c r="O370"/>
    </row>
    <row r="371" spans="1:15" x14ac:dyDescent="0.3">
      <c r="A371" s="7">
        <v>4190</v>
      </c>
      <c r="B371">
        <v>13</v>
      </c>
      <c r="C371">
        <v>0</v>
      </c>
      <c r="D371">
        <v>1</v>
      </c>
      <c r="E371" t="s">
        <v>19</v>
      </c>
      <c r="F371" s="10">
        <f t="shared" si="30"/>
        <v>545</v>
      </c>
      <c r="G371" s="14">
        <f t="shared" si="31"/>
        <v>0</v>
      </c>
      <c r="H371" s="7">
        <f t="shared" si="32"/>
        <v>4666</v>
      </c>
      <c r="I371" s="10">
        <f t="shared" si="33"/>
        <v>4735</v>
      </c>
      <c r="J371">
        <f t="shared" si="34"/>
        <v>0</v>
      </c>
      <c r="K371">
        <f t="shared" si="35"/>
        <v>0</v>
      </c>
      <c r="M371"/>
      <c r="N371"/>
      <c r="O371"/>
    </row>
    <row r="372" spans="1:15" x14ac:dyDescent="0.3">
      <c r="A372" s="7">
        <v>610</v>
      </c>
      <c r="B372">
        <v>17</v>
      </c>
      <c r="C372">
        <v>0</v>
      </c>
      <c r="D372">
        <v>10</v>
      </c>
      <c r="E372" t="s">
        <v>15</v>
      </c>
      <c r="F372" s="10">
        <f t="shared" si="30"/>
        <v>104</v>
      </c>
      <c r="G372" s="14">
        <f t="shared" si="31"/>
        <v>0</v>
      </c>
      <c r="H372" s="7">
        <f t="shared" si="32"/>
        <v>466.6</v>
      </c>
      <c r="I372" s="10">
        <f t="shared" si="33"/>
        <v>714</v>
      </c>
      <c r="J372">
        <f t="shared" si="34"/>
        <v>0</v>
      </c>
      <c r="K372">
        <f t="shared" si="35"/>
        <v>0</v>
      </c>
      <c r="M372"/>
      <c r="N372"/>
      <c r="O372"/>
    </row>
    <row r="373" spans="1:15" x14ac:dyDescent="0.3">
      <c r="A373" s="7">
        <v>5220</v>
      </c>
      <c r="B373">
        <v>0</v>
      </c>
      <c r="C373">
        <v>15</v>
      </c>
      <c r="D373">
        <v>1</v>
      </c>
      <c r="E373" t="s">
        <v>21</v>
      </c>
      <c r="F373" s="10">
        <f t="shared" si="30"/>
        <v>0</v>
      </c>
      <c r="G373" s="14">
        <f t="shared" si="31"/>
        <v>783</v>
      </c>
      <c r="H373" s="7">
        <f t="shared" si="32"/>
        <v>4666</v>
      </c>
      <c r="I373" s="10">
        <f t="shared" si="33"/>
        <v>6003</v>
      </c>
      <c r="J373">
        <f t="shared" si="34"/>
        <v>0</v>
      </c>
      <c r="K373">
        <f t="shared" si="35"/>
        <v>0</v>
      </c>
      <c r="M373"/>
      <c r="N373"/>
      <c r="O373"/>
    </row>
    <row r="374" spans="1:15" x14ac:dyDescent="0.3">
      <c r="A374" s="7">
        <v>457</v>
      </c>
      <c r="B374">
        <v>7</v>
      </c>
      <c r="C374">
        <v>20</v>
      </c>
      <c r="D374">
        <v>9</v>
      </c>
      <c r="E374" t="s">
        <v>17</v>
      </c>
      <c r="F374" s="10">
        <f t="shared" si="30"/>
        <v>32</v>
      </c>
      <c r="G374" s="14">
        <f t="shared" si="31"/>
        <v>91.4</v>
      </c>
      <c r="H374" s="7">
        <f t="shared" si="32"/>
        <v>518.44000000000005</v>
      </c>
      <c r="I374" s="10">
        <f t="shared" si="33"/>
        <v>580.4</v>
      </c>
      <c r="J374">
        <f t="shared" si="34"/>
        <v>0</v>
      </c>
      <c r="K374">
        <f t="shared" si="35"/>
        <v>0</v>
      </c>
      <c r="M374"/>
      <c r="N374"/>
      <c r="O374"/>
    </row>
    <row r="375" spans="1:15" x14ac:dyDescent="0.3">
      <c r="A375" s="7">
        <v>991</v>
      </c>
      <c r="B375">
        <v>18</v>
      </c>
      <c r="C375">
        <v>5</v>
      </c>
      <c r="D375">
        <v>7</v>
      </c>
      <c r="E375" t="s">
        <v>21</v>
      </c>
      <c r="F375" s="10">
        <f t="shared" si="30"/>
        <v>179</v>
      </c>
      <c r="G375" s="14">
        <f t="shared" si="31"/>
        <v>49.55</v>
      </c>
      <c r="H375" s="7">
        <f t="shared" si="32"/>
        <v>666.57</v>
      </c>
      <c r="I375" s="10">
        <f t="shared" si="33"/>
        <v>1219.55</v>
      </c>
      <c r="J375">
        <f t="shared" si="34"/>
        <v>0</v>
      </c>
      <c r="K375">
        <f t="shared" si="35"/>
        <v>0</v>
      </c>
      <c r="M375"/>
      <c r="N375"/>
      <c r="O375"/>
    </row>
    <row r="376" spans="1:15" x14ac:dyDescent="0.3">
      <c r="A376" s="7">
        <v>1083</v>
      </c>
      <c r="B376">
        <v>2</v>
      </c>
      <c r="C376">
        <v>35</v>
      </c>
      <c r="D376">
        <v>3</v>
      </c>
      <c r="E376" t="s">
        <v>21</v>
      </c>
      <c r="F376" s="10">
        <f t="shared" si="30"/>
        <v>22</v>
      </c>
      <c r="G376" s="14">
        <f t="shared" si="31"/>
        <v>379.05</v>
      </c>
      <c r="H376" s="7">
        <f t="shared" si="32"/>
        <v>1555.33</v>
      </c>
      <c r="I376" s="10">
        <f t="shared" si="33"/>
        <v>1484.05</v>
      </c>
      <c r="J376">
        <f t="shared" si="34"/>
        <v>1</v>
      </c>
      <c r="K376">
        <f t="shared" si="35"/>
        <v>71.279999999999973</v>
      </c>
      <c r="M376"/>
      <c r="N376"/>
      <c r="O376"/>
    </row>
    <row r="377" spans="1:15" x14ac:dyDescent="0.3">
      <c r="A377" s="7">
        <v>380</v>
      </c>
      <c r="B377">
        <v>20</v>
      </c>
      <c r="C377">
        <v>10</v>
      </c>
      <c r="D377">
        <v>8</v>
      </c>
      <c r="E377" t="s">
        <v>16</v>
      </c>
      <c r="F377" s="10">
        <f t="shared" si="30"/>
        <v>76</v>
      </c>
      <c r="G377" s="14">
        <f t="shared" si="31"/>
        <v>38</v>
      </c>
      <c r="H377" s="7">
        <f t="shared" si="32"/>
        <v>583.25</v>
      </c>
      <c r="I377" s="10">
        <f t="shared" si="33"/>
        <v>494</v>
      </c>
      <c r="J377">
        <f t="shared" si="34"/>
        <v>1</v>
      </c>
      <c r="K377">
        <f t="shared" si="35"/>
        <v>89.25</v>
      </c>
      <c r="M377"/>
      <c r="N377"/>
      <c r="O377"/>
    </row>
    <row r="378" spans="1:15" x14ac:dyDescent="0.3">
      <c r="A378" s="7">
        <v>849</v>
      </c>
      <c r="B378">
        <v>13</v>
      </c>
      <c r="C378">
        <v>50</v>
      </c>
      <c r="D378">
        <v>8</v>
      </c>
      <c r="E378" t="s">
        <v>15</v>
      </c>
      <c r="F378" s="10">
        <f t="shared" si="30"/>
        <v>111</v>
      </c>
      <c r="G378" s="14">
        <f t="shared" si="31"/>
        <v>424.5</v>
      </c>
      <c r="H378" s="7">
        <f t="shared" si="32"/>
        <v>583.25</v>
      </c>
      <c r="I378" s="10">
        <f t="shared" si="33"/>
        <v>1384.5</v>
      </c>
      <c r="J378">
        <f t="shared" si="34"/>
        <v>0</v>
      </c>
      <c r="K378">
        <f t="shared" si="35"/>
        <v>0</v>
      </c>
      <c r="M378"/>
      <c r="N378"/>
      <c r="O378"/>
    </row>
    <row r="379" spans="1:15" x14ac:dyDescent="0.3">
      <c r="A379" s="7">
        <v>1453</v>
      </c>
      <c r="B379">
        <v>5</v>
      </c>
      <c r="C379">
        <v>50</v>
      </c>
      <c r="D379">
        <v>3</v>
      </c>
      <c r="E379" t="s">
        <v>15</v>
      </c>
      <c r="F379" s="10">
        <f t="shared" si="30"/>
        <v>73</v>
      </c>
      <c r="G379" s="14">
        <f t="shared" si="31"/>
        <v>726.5</v>
      </c>
      <c r="H379" s="7">
        <f t="shared" si="32"/>
        <v>1555.33</v>
      </c>
      <c r="I379" s="10">
        <f t="shared" si="33"/>
        <v>2252.5</v>
      </c>
      <c r="J379">
        <f t="shared" si="34"/>
        <v>0</v>
      </c>
      <c r="K379">
        <f t="shared" si="35"/>
        <v>0</v>
      </c>
      <c r="M379"/>
      <c r="N379"/>
      <c r="O379"/>
    </row>
    <row r="380" spans="1:15" x14ac:dyDescent="0.3">
      <c r="A380" s="7">
        <v>4060</v>
      </c>
      <c r="B380">
        <v>5</v>
      </c>
      <c r="C380">
        <v>30</v>
      </c>
      <c r="D380">
        <v>1</v>
      </c>
      <c r="E380" t="s">
        <v>18</v>
      </c>
      <c r="F380" s="10">
        <f t="shared" si="30"/>
        <v>203</v>
      </c>
      <c r="G380" s="14">
        <f t="shared" si="31"/>
        <v>1218</v>
      </c>
      <c r="H380" s="7">
        <f t="shared" si="32"/>
        <v>4666</v>
      </c>
      <c r="I380" s="10">
        <f t="shared" si="33"/>
        <v>5481</v>
      </c>
      <c r="J380">
        <f t="shared" si="34"/>
        <v>0</v>
      </c>
      <c r="K380">
        <f t="shared" si="35"/>
        <v>0</v>
      </c>
      <c r="M380"/>
      <c r="N380"/>
      <c r="O380"/>
    </row>
    <row r="381" spans="1:15" x14ac:dyDescent="0.3">
      <c r="A381" s="7">
        <v>997</v>
      </c>
      <c r="B381">
        <v>11</v>
      </c>
      <c r="C381">
        <v>10</v>
      </c>
      <c r="D381">
        <v>6</v>
      </c>
      <c r="E381" t="s">
        <v>16</v>
      </c>
      <c r="F381" s="10">
        <f t="shared" si="30"/>
        <v>110</v>
      </c>
      <c r="G381" s="14">
        <f t="shared" si="31"/>
        <v>99.7</v>
      </c>
      <c r="H381" s="7">
        <f t="shared" si="32"/>
        <v>777.67</v>
      </c>
      <c r="I381" s="10">
        <f t="shared" si="33"/>
        <v>1206.7</v>
      </c>
      <c r="J381">
        <f t="shared" si="34"/>
        <v>0</v>
      </c>
      <c r="K381">
        <f t="shared" si="35"/>
        <v>0</v>
      </c>
      <c r="M381"/>
      <c r="N381"/>
      <c r="O381"/>
    </row>
    <row r="382" spans="1:15" x14ac:dyDescent="0.3">
      <c r="A382" s="7">
        <v>3445</v>
      </c>
      <c r="B382">
        <v>10</v>
      </c>
      <c r="C382">
        <v>50</v>
      </c>
      <c r="D382">
        <v>2</v>
      </c>
      <c r="E382" t="s">
        <v>21</v>
      </c>
      <c r="F382" s="10">
        <f t="shared" si="30"/>
        <v>345</v>
      </c>
      <c r="G382" s="14">
        <f t="shared" si="31"/>
        <v>1722.5</v>
      </c>
      <c r="H382" s="7">
        <f t="shared" si="32"/>
        <v>2333</v>
      </c>
      <c r="I382" s="10">
        <f t="shared" si="33"/>
        <v>5512.5</v>
      </c>
      <c r="J382">
        <f t="shared" si="34"/>
        <v>0</v>
      </c>
      <c r="K382">
        <f t="shared" si="35"/>
        <v>0</v>
      </c>
      <c r="M382"/>
      <c r="N382"/>
      <c r="O382"/>
    </row>
    <row r="383" spans="1:15" x14ac:dyDescent="0.3">
      <c r="A383" s="7">
        <v>1158</v>
      </c>
      <c r="B383">
        <v>12</v>
      </c>
      <c r="C383">
        <v>25</v>
      </c>
      <c r="D383">
        <v>5</v>
      </c>
      <c r="E383" t="s">
        <v>20</v>
      </c>
      <c r="F383" s="10">
        <f t="shared" si="30"/>
        <v>139</v>
      </c>
      <c r="G383" s="14">
        <f t="shared" si="31"/>
        <v>289.5</v>
      </c>
      <c r="H383" s="7">
        <f t="shared" si="32"/>
        <v>933.2</v>
      </c>
      <c r="I383" s="10">
        <f t="shared" si="33"/>
        <v>1586.5</v>
      </c>
      <c r="J383">
        <f t="shared" si="34"/>
        <v>0</v>
      </c>
      <c r="K383">
        <f t="shared" si="35"/>
        <v>0</v>
      </c>
      <c r="M383"/>
      <c r="N383"/>
      <c r="O383"/>
    </row>
    <row r="384" spans="1:15" x14ac:dyDescent="0.3">
      <c r="A384" s="7">
        <v>3250</v>
      </c>
      <c r="B384">
        <v>10</v>
      </c>
      <c r="C384">
        <v>15</v>
      </c>
      <c r="D384">
        <v>1</v>
      </c>
      <c r="E384" t="s">
        <v>18</v>
      </c>
      <c r="F384" s="10">
        <f t="shared" si="30"/>
        <v>325</v>
      </c>
      <c r="G384" s="14">
        <f t="shared" si="31"/>
        <v>487.5</v>
      </c>
      <c r="H384" s="7">
        <f t="shared" si="32"/>
        <v>4666</v>
      </c>
      <c r="I384" s="10">
        <f t="shared" si="33"/>
        <v>4062.5</v>
      </c>
      <c r="J384">
        <f t="shared" si="34"/>
        <v>1</v>
      </c>
      <c r="K384">
        <f t="shared" si="35"/>
        <v>603.5</v>
      </c>
      <c r="M384"/>
      <c r="N384"/>
      <c r="O384"/>
    </row>
    <row r="385" spans="1:15" x14ac:dyDescent="0.3">
      <c r="A385" s="7">
        <v>6940</v>
      </c>
      <c r="B385">
        <v>18</v>
      </c>
      <c r="C385">
        <v>35</v>
      </c>
      <c r="D385">
        <v>1</v>
      </c>
      <c r="E385" t="s">
        <v>21</v>
      </c>
      <c r="F385" s="10">
        <f t="shared" si="30"/>
        <v>1250</v>
      </c>
      <c r="G385" s="14">
        <f t="shared" si="31"/>
        <v>2429</v>
      </c>
      <c r="H385" s="7">
        <f t="shared" si="32"/>
        <v>4666</v>
      </c>
      <c r="I385" s="10">
        <f t="shared" si="33"/>
        <v>10619</v>
      </c>
      <c r="J385">
        <f t="shared" si="34"/>
        <v>0</v>
      </c>
      <c r="K385">
        <f t="shared" si="35"/>
        <v>0</v>
      </c>
      <c r="M385"/>
      <c r="N385"/>
      <c r="O385"/>
    </row>
    <row r="386" spans="1:15" x14ac:dyDescent="0.3">
      <c r="A386" s="7">
        <v>2725</v>
      </c>
      <c r="B386">
        <v>11</v>
      </c>
      <c r="C386">
        <v>45</v>
      </c>
      <c r="D386">
        <v>2</v>
      </c>
      <c r="E386" t="s">
        <v>18</v>
      </c>
      <c r="F386" s="10">
        <f t="shared" si="30"/>
        <v>300</v>
      </c>
      <c r="G386" s="14">
        <f t="shared" si="31"/>
        <v>1226.25</v>
      </c>
      <c r="H386" s="7">
        <f t="shared" si="32"/>
        <v>2333</v>
      </c>
      <c r="I386" s="10">
        <f t="shared" si="33"/>
        <v>4251.25</v>
      </c>
      <c r="J386">
        <f t="shared" si="34"/>
        <v>0</v>
      </c>
      <c r="K386">
        <f t="shared" si="35"/>
        <v>0</v>
      </c>
      <c r="M386"/>
      <c r="N386"/>
      <c r="O386"/>
    </row>
    <row r="387" spans="1:15" x14ac:dyDescent="0.3">
      <c r="A387" s="7">
        <v>6000</v>
      </c>
      <c r="B387">
        <v>19</v>
      </c>
      <c r="C387">
        <v>15</v>
      </c>
      <c r="D387">
        <v>1</v>
      </c>
      <c r="E387" t="s">
        <v>20</v>
      </c>
      <c r="F387" s="10">
        <f t="shared" ref="F387:F450" si="36">ROUNDUP(0.01*B387*A387,0)</f>
        <v>1140</v>
      </c>
      <c r="G387" s="14">
        <f t="shared" ref="G387:G450" si="37">ROUND(C387/100*A387,2)</f>
        <v>900</v>
      </c>
      <c r="H387" s="7">
        <f t="shared" ref="H387:H450" si="38">ROUND(4666/D387:D886,2)</f>
        <v>4666</v>
      </c>
      <c r="I387" s="10">
        <f t="shared" ref="I387:I450" si="39">G387+A387+F387</f>
        <v>8040</v>
      </c>
      <c r="J387">
        <f t="shared" ref="J387:J450" si="40">IF(H387&gt;I387,1,0)</f>
        <v>0</v>
      </c>
      <c r="K387">
        <f t="shared" ref="K387:K450" si="41">IF(J387=1,H387-I387,0)</f>
        <v>0</v>
      </c>
      <c r="M387"/>
      <c r="N387"/>
      <c r="O387"/>
    </row>
    <row r="388" spans="1:15" x14ac:dyDescent="0.3">
      <c r="A388" s="7">
        <v>628</v>
      </c>
      <c r="B388">
        <v>12</v>
      </c>
      <c r="C388">
        <v>15</v>
      </c>
      <c r="D388">
        <v>8</v>
      </c>
      <c r="E388" t="s">
        <v>21</v>
      </c>
      <c r="F388" s="10">
        <f t="shared" si="36"/>
        <v>76</v>
      </c>
      <c r="G388" s="14">
        <f t="shared" si="37"/>
        <v>94.2</v>
      </c>
      <c r="H388" s="7">
        <f t="shared" si="38"/>
        <v>583.25</v>
      </c>
      <c r="I388" s="10">
        <f t="shared" si="39"/>
        <v>798.2</v>
      </c>
      <c r="J388">
        <f t="shared" si="40"/>
        <v>0</v>
      </c>
      <c r="K388">
        <f t="shared" si="41"/>
        <v>0</v>
      </c>
      <c r="M388"/>
      <c r="N388"/>
      <c r="O388"/>
    </row>
    <row r="389" spans="1:15" x14ac:dyDescent="0.3">
      <c r="A389" s="7">
        <v>3250</v>
      </c>
      <c r="B389">
        <v>17</v>
      </c>
      <c r="C389">
        <v>10</v>
      </c>
      <c r="D389">
        <v>2</v>
      </c>
      <c r="E389" t="s">
        <v>16</v>
      </c>
      <c r="F389" s="10">
        <f t="shared" si="36"/>
        <v>553</v>
      </c>
      <c r="G389" s="14">
        <f t="shared" si="37"/>
        <v>325</v>
      </c>
      <c r="H389" s="7">
        <f t="shared" si="38"/>
        <v>2333</v>
      </c>
      <c r="I389" s="10">
        <f t="shared" si="39"/>
        <v>4128</v>
      </c>
      <c r="J389">
        <f t="shared" si="40"/>
        <v>0</v>
      </c>
      <c r="K389">
        <f t="shared" si="41"/>
        <v>0</v>
      </c>
      <c r="M389"/>
      <c r="N389"/>
      <c r="O389"/>
    </row>
    <row r="390" spans="1:15" x14ac:dyDescent="0.3">
      <c r="A390" s="7">
        <v>469</v>
      </c>
      <c r="B390">
        <v>15</v>
      </c>
      <c r="C390">
        <v>15</v>
      </c>
      <c r="D390">
        <v>7</v>
      </c>
      <c r="E390" t="s">
        <v>15</v>
      </c>
      <c r="F390" s="10">
        <f t="shared" si="36"/>
        <v>71</v>
      </c>
      <c r="G390" s="14">
        <f t="shared" si="37"/>
        <v>70.349999999999994</v>
      </c>
      <c r="H390" s="7">
        <f t="shared" si="38"/>
        <v>666.57</v>
      </c>
      <c r="I390" s="10">
        <f t="shared" si="39"/>
        <v>610.35</v>
      </c>
      <c r="J390">
        <f t="shared" si="40"/>
        <v>1</v>
      </c>
      <c r="K390">
        <f t="shared" si="41"/>
        <v>56.220000000000027</v>
      </c>
      <c r="M390"/>
      <c r="N390"/>
      <c r="O390"/>
    </row>
    <row r="391" spans="1:15" x14ac:dyDescent="0.3">
      <c r="A391" s="7">
        <v>5590</v>
      </c>
      <c r="B391">
        <v>13</v>
      </c>
      <c r="C391">
        <v>0</v>
      </c>
      <c r="D391">
        <v>1</v>
      </c>
      <c r="E391" t="s">
        <v>16</v>
      </c>
      <c r="F391" s="10">
        <f t="shared" si="36"/>
        <v>727</v>
      </c>
      <c r="G391" s="14">
        <f t="shared" si="37"/>
        <v>0</v>
      </c>
      <c r="H391" s="7">
        <f t="shared" si="38"/>
        <v>4666</v>
      </c>
      <c r="I391" s="10">
        <f t="shared" si="39"/>
        <v>6317</v>
      </c>
      <c r="J391">
        <f t="shared" si="40"/>
        <v>0</v>
      </c>
      <c r="K391">
        <f t="shared" si="41"/>
        <v>0</v>
      </c>
      <c r="M391"/>
      <c r="N391"/>
      <c r="O391"/>
    </row>
    <row r="392" spans="1:15" x14ac:dyDescent="0.3">
      <c r="A392" s="7">
        <v>1680</v>
      </c>
      <c r="B392">
        <v>10</v>
      </c>
      <c r="C392">
        <v>35</v>
      </c>
      <c r="D392">
        <v>4</v>
      </c>
      <c r="E392" t="s">
        <v>20</v>
      </c>
      <c r="F392" s="10">
        <f t="shared" si="36"/>
        <v>168</v>
      </c>
      <c r="G392" s="14">
        <f t="shared" si="37"/>
        <v>588</v>
      </c>
      <c r="H392" s="7">
        <f t="shared" si="38"/>
        <v>1166.5</v>
      </c>
      <c r="I392" s="10">
        <f t="shared" si="39"/>
        <v>2436</v>
      </c>
      <c r="J392">
        <f t="shared" si="40"/>
        <v>0</v>
      </c>
      <c r="K392">
        <f t="shared" si="41"/>
        <v>0</v>
      </c>
      <c r="M392"/>
      <c r="N392"/>
      <c r="O392"/>
    </row>
    <row r="393" spans="1:15" x14ac:dyDescent="0.3">
      <c r="A393" s="7">
        <v>526</v>
      </c>
      <c r="B393">
        <v>16</v>
      </c>
      <c r="C393">
        <v>45</v>
      </c>
      <c r="D393">
        <v>7</v>
      </c>
      <c r="E393" t="s">
        <v>15</v>
      </c>
      <c r="F393" s="10">
        <f t="shared" si="36"/>
        <v>85</v>
      </c>
      <c r="G393" s="14">
        <f t="shared" si="37"/>
        <v>236.7</v>
      </c>
      <c r="H393" s="7">
        <f t="shared" si="38"/>
        <v>666.57</v>
      </c>
      <c r="I393" s="10">
        <f t="shared" si="39"/>
        <v>847.7</v>
      </c>
      <c r="J393">
        <f t="shared" si="40"/>
        <v>0</v>
      </c>
      <c r="K393">
        <f t="shared" si="41"/>
        <v>0</v>
      </c>
      <c r="M393"/>
      <c r="N393"/>
      <c r="O393"/>
    </row>
    <row r="394" spans="1:15" x14ac:dyDescent="0.3">
      <c r="A394" s="7">
        <v>4240</v>
      </c>
      <c r="B394">
        <v>1</v>
      </c>
      <c r="C394">
        <v>40</v>
      </c>
      <c r="D394">
        <v>1</v>
      </c>
      <c r="E394" t="s">
        <v>21</v>
      </c>
      <c r="F394" s="10">
        <f t="shared" si="36"/>
        <v>43</v>
      </c>
      <c r="G394" s="14">
        <f t="shared" si="37"/>
        <v>1696</v>
      </c>
      <c r="H394" s="7">
        <f t="shared" si="38"/>
        <v>4666</v>
      </c>
      <c r="I394" s="10">
        <f t="shared" si="39"/>
        <v>5979</v>
      </c>
      <c r="J394">
        <f t="shared" si="40"/>
        <v>0</v>
      </c>
      <c r="K394">
        <f t="shared" si="41"/>
        <v>0</v>
      </c>
      <c r="M394"/>
      <c r="N394"/>
      <c r="O394"/>
    </row>
    <row r="395" spans="1:15" x14ac:dyDescent="0.3">
      <c r="A395" s="7">
        <v>622</v>
      </c>
      <c r="B395">
        <v>10</v>
      </c>
      <c r="C395">
        <v>10</v>
      </c>
      <c r="D395">
        <v>10</v>
      </c>
      <c r="E395" t="s">
        <v>16</v>
      </c>
      <c r="F395" s="10">
        <f t="shared" si="36"/>
        <v>63</v>
      </c>
      <c r="G395" s="14">
        <f t="shared" si="37"/>
        <v>62.2</v>
      </c>
      <c r="H395" s="7">
        <f t="shared" si="38"/>
        <v>466.6</v>
      </c>
      <c r="I395" s="10">
        <f t="shared" si="39"/>
        <v>747.2</v>
      </c>
      <c r="J395">
        <f t="shared" si="40"/>
        <v>0</v>
      </c>
      <c r="K395">
        <f t="shared" si="41"/>
        <v>0</v>
      </c>
      <c r="M395"/>
      <c r="N395"/>
      <c r="O395"/>
    </row>
    <row r="396" spans="1:15" x14ac:dyDescent="0.3">
      <c r="A396" s="7">
        <v>372</v>
      </c>
      <c r="B396">
        <v>15</v>
      </c>
      <c r="C396">
        <v>40</v>
      </c>
      <c r="D396">
        <v>9</v>
      </c>
      <c r="E396" t="s">
        <v>16</v>
      </c>
      <c r="F396" s="10">
        <f t="shared" si="36"/>
        <v>56</v>
      </c>
      <c r="G396" s="14">
        <f t="shared" si="37"/>
        <v>148.80000000000001</v>
      </c>
      <c r="H396" s="7">
        <f t="shared" si="38"/>
        <v>518.44000000000005</v>
      </c>
      <c r="I396" s="10">
        <f t="shared" si="39"/>
        <v>576.79999999999995</v>
      </c>
      <c r="J396">
        <f t="shared" si="40"/>
        <v>0</v>
      </c>
      <c r="K396">
        <f t="shared" si="41"/>
        <v>0</v>
      </c>
      <c r="M396"/>
      <c r="N396"/>
      <c r="O396"/>
    </row>
    <row r="397" spans="1:15" x14ac:dyDescent="0.3">
      <c r="A397" s="7">
        <v>509</v>
      </c>
      <c r="B397">
        <v>4</v>
      </c>
      <c r="C397">
        <v>10</v>
      </c>
      <c r="D397">
        <v>10</v>
      </c>
      <c r="E397" t="s">
        <v>20</v>
      </c>
      <c r="F397" s="10">
        <f t="shared" si="36"/>
        <v>21</v>
      </c>
      <c r="G397" s="14">
        <f t="shared" si="37"/>
        <v>50.9</v>
      </c>
      <c r="H397" s="7">
        <f t="shared" si="38"/>
        <v>466.6</v>
      </c>
      <c r="I397" s="10">
        <f t="shared" si="39"/>
        <v>580.9</v>
      </c>
      <c r="J397">
        <f t="shared" si="40"/>
        <v>0</v>
      </c>
      <c r="K397">
        <f t="shared" si="41"/>
        <v>0</v>
      </c>
      <c r="M397"/>
      <c r="N397"/>
      <c r="O397"/>
    </row>
    <row r="398" spans="1:15" x14ac:dyDescent="0.3">
      <c r="A398" s="7">
        <v>1228</v>
      </c>
      <c r="B398">
        <v>0</v>
      </c>
      <c r="C398">
        <v>5</v>
      </c>
      <c r="D398">
        <v>4</v>
      </c>
      <c r="E398" t="s">
        <v>16</v>
      </c>
      <c r="F398" s="10">
        <f t="shared" si="36"/>
        <v>0</v>
      </c>
      <c r="G398" s="14">
        <f t="shared" si="37"/>
        <v>61.4</v>
      </c>
      <c r="H398" s="7">
        <f t="shared" si="38"/>
        <v>1166.5</v>
      </c>
      <c r="I398" s="10">
        <f t="shared" si="39"/>
        <v>1289.4000000000001</v>
      </c>
      <c r="J398">
        <f t="shared" si="40"/>
        <v>0</v>
      </c>
      <c r="K398">
        <f t="shared" si="41"/>
        <v>0</v>
      </c>
      <c r="M398"/>
      <c r="N398"/>
      <c r="O398"/>
    </row>
    <row r="399" spans="1:15" x14ac:dyDescent="0.3">
      <c r="A399" s="7">
        <v>1360</v>
      </c>
      <c r="B399">
        <v>12</v>
      </c>
      <c r="C399">
        <v>25</v>
      </c>
      <c r="D399">
        <v>3</v>
      </c>
      <c r="E399" t="s">
        <v>17</v>
      </c>
      <c r="F399" s="10">
        <f t="shared" si="36"/>
        <v>164</v>
      </c>
      <c r="G399" s="14">
        <f t="shared" si="37"/>
        <v>340</v>
      </c>
      <c r="H399" s="7">
        <f t="shared" si="38"/>
        <v>1555.33</v>
      </c>
      <c r="I399" s="10">
        <f t="shared" si="39"/>
        <v>1864</v>
      </c>
      <c r="J399">
        <f t="shared" si="40"/>
        <v>0</v>
      </c>
      <c r="K399">
        <f t="shared" si="41"/>
        <v>0</v>
      </c>
      <c r="M399"/>
      <c r="N399"/>
      <c r="O399"/>
    </row>
    <row r="400" spans="1:15" x14ac:dyDescent="0.3">
      <c r="A400" s="7">
        <v>4650</v>
      </c>
      <c r="B400">
        <v>2</v>
      </c>
      <c r="C400">
        <v>50</v>
      </c>
      <c r="D400">
        <v>1</v>
      </c>
      <c r="E400" t="s">
        <v>17</v>
      </c>
      <c r="F400" s="10">
        <f t="shared" si="36"/>
        <v>93</v>
      </c>
      <c r="G400" s="14">
        <f t="shared" si="37"/>
        <v>2325</v>
      </c>
      <c r="H400" s="7">
        <f t="shared" si="38"/>
        <v>4666</v>
      </c>
      <c r="I400" s="10">
        <f t="shared" si="39"/>
        <v>7068</v>
      </c>
      <c r="J400">
        <f t="shared" si="40"/>
        <v>0</v>
      </c>
      <c r="K400">
        <f t="shared" si="41"/>
        <v>0</v>
      </c>
      <c r="M400"/>
      <c r="N400"/>
      <c r="O400"/>
    </row>
    <row r="401" spans="1:15" x14ac:dyDescent="0.3">
      <c r="A401" s="7">
        <v>2860</v>
      </c>
      <c r="B401">
        <v>14</v>
      </c>
      <c r="C401">
        <v>35</v>
      </c>
      <c r="D401">
        <v>1</v>
      </c>
      <c r="E401" t="s">
        <v>15</v>
      </c>
      <c r="F401" s="10">
        <f t="shared" si="36"/>
        <v>401</v>
      </c>
      <c r="G401" s="14">
        <f t="shared" si="37"/>
        <v>1001</v>
      </c>
      <c r="H401" s="7">
        <f t="shared" si="38"/>
        <v>4666</v>
      </c>
      <c r="I401" s="10">
        <f t="shared" si="39"/>
        <v>4262</v>
      </c>
      <c r="J401">
        <f t="shared" si="40"/>
        <v>1</v>
      </c>
      <c r="K401">
        <f t="shared" si="41"/>
        <v>404</v>
      </c>
      <c r="M401"/>
      <c r="N401"/>
      <c r="O401"/>
    </row>
    <row r="402" spans="1:15" x14ac:dyDescent="0.3">
      <c r="A402" s="7">
        <v>1615</v>
      </c>
      <c r="B402">
        <v>2</v>
      </c>
      <c r="C402">
        <v>5</v>
      </c>
      <c r="D402">
        <v>4</v>
      </c>
      <c r="E402" t="s">
        <v>19</v>
      </c>
      <c r="F402" s="10">
        <f t="shared" si="36"/>
        <v>33</v>
      </c>
      <c r="G402" s="14">
        <f t="shared" si="37"/>
        <v>80.75</v>
      </c>
      <c r="H402" s="7">
        <f t="shared" si="38"/>
        <v>1166.5</v>
      </c>
      <c r="I402" s="10">
        <f t="shared" si="39"/>
        <v>1728.75</v>
      </c>
      <c r="J402">
        <f t="shared" si="40"/>
        <v>0</v>
      </c>
      <c r="K402">
        <f t="shared" si="41"/>
        <v>0</v>
      </c>
      <c r="M402"/>
      <c r="N402"/>
      <c r="O402"/>
    </row>
    <row r="403" spans="1:15" x14ac:dyDescent="0.3">
      <c r="A403" s="7">
        <v>1650</v>
      </c>
      <c r="B403">
        <v>10</v>
      </c>
      <c r="C403">
        <v>15</v>
      </c>
      <c r="D403">
        <v>2</v>
      </c>
      <c r="E403" t="s">
        <v>15</v>
      </c>
      <c r="F403" s="10">
        <f t="shared" si="36"/>
        <v>165</v>
      </c>
      <c r="G403" s="14">
        <f t="shared" si="37"/>
        <v>247.5</v>
      </c>
      <c r="H403" s="7">
        <f t="shared" si="38"/>
        <v>2333</v>
      </c>
      <c r="I403" s="10">
        <f t="shared" si="39"/>
        <v>2062.5</v>
      </c>
      <c r="J403">
        <f t="shared" si="40"/>
        <v>1</v>
      </c>
      <c r="K403">
        <f t="shared" si="41"/>
        <v>270.5</v>
      </c>
      <c r="M403"/>
      <c r="N403"/>
      <c r="O403"/>
    </row>
    <row r="404" spans="1:15" x14ac:dyDescent="0.3">
      <c r="A404" s="7">
        <v>5870</v>
      </c>
      <c r="B404">
        <v>19</v>
      </c>
      <c r="C404">
        <v>45</v>
      </c>
      <c r="D404">
        <v>1</v>
      </c>
      <c r="E404" t="s">
        <v>20</v>
      </c>
      <c r="F404" s="10">
        <f t="shared" si="36"/>
        <v>1116</v>
      </c>
      <c r="G404" s="14">
        <f t="shared" si="37"/>
        <v>2641.5</v>
      </c>
      <c r="H404" s="7">
        <f t="shared" si="38"/>
        <v>4666</v>
      </c>
      <c r="I404" s="10">
        <f t="shared" si="39"/>
        <v>9627.5</v>
      </c>
      <c r="J404">
        <f t="shared" si="40"/>
        <v>0</v>
      </c>
      <c r="K404">
        <f t="shared" si="41"/>
        <v>0</v>
      </c>
      <c r="M404"/>
      <c r="N404"/>
      <c r="O404"/>
    </row>
    <row r="405" spans="1:15" x14ac:dyDescent="0.3">
      <c r="A405" s="7">
        <v>4450</v>
      </c>
      <c r="B405">
        <v>10</v>
      </c>
      <c r="C405">
        <v>25</v>
      </c>
      <c r="D405">
        <v>1</v>
      </c>
      <c r="E405" t="s">
        <v>17</v>
      </c>
      <c r="F405" s="10">
        <f t="shared" si="36"/>
        <v>445</v>
      </c>
      <c r="G405" s="14">
        <f t="shared" si="37"/>
        <v>1112.5</v>
      </c>
      <c r="H405" s="7">
        <f t="shared" si="38"/>
        <v>4666</v>
      </c>
      <c r="I405" s="10">
        <f t="shared" si="39"/>
        <v>6007.5</v>
      </c>
      <c r="J405">
        <f t="shared" si="40"/>
        <v>0</v>
      </c>
      <c r="K405">
        <f t="shared" si="41"/>
        <v>0</v>
      </c>
      <c r="M405"/>
      <c r="N405"/>
      <c r="O405"/>
    </row>
    <row r="406" spans="1:15" x14ac:dyDescent="0.3">
      <c r="A406" s="7">
        <v>6830</v>
      </c>
      <c r="B406">
        <v>3</v>
      </c>
      <c r="C406">
        <v>25</v>
      </c>
      <c r="D406">
        <v>1</v>
      </c>
      <c r="E406" t="s">
        <v>18</v>
      </c>
      <c r="F406" s="10">
        <f t="shared" si="36"/>
        <v>205</v>
      </c>
      <c r="G406" s="14">
        <f t="shared" si="37"/>
        <v>1707.5</v>
      </c>
      <c r="H406" s="7">
        <f t="shared" si="38"/>
        <v>4666</v>
      </c>
      <c r="I406" s="10">
        <f t="shared" si="39"/>
        <v>8742.5</v>
      </c>
      <c r="J406">
        <f t="shared" si="40"/>
        <v>0</v>
      </c>
      <c r="K406">
        <f t="shared" si="41"/>
        <v>0</v>
      </c>
      <c r="M406"/>
      <c r="N406"/>
      <c r="O406"/>
    </row>
    <row r="407" spans="1:15" x14ac:dyDescent="0.3">
      <c r="A407" s="7">
        <v>3940</v>
      </c>
      <c r="B407">
        <v>9</v>
      </c>
      <c r="C407">
        <v>30</v>
      </c>
      <c r="D407">
        <v>1</v>
      </c>
      <c r="E407" t="s">
        <v>19</v>
      </c>
      <c r="F407" s="10">
        <f t="shared" si="36"/>
        <v>355</v>
      </c>
      <c r="G407" s="14">
        <f t="shared" si="37"/>
        <v>1182</v>
      </c>
      <c r="H407" s="7">
        <f t="shared" si="38"/>
        <v>4666</v>
      </c>
      <c r="I407" s="10">
        <f t="shared" si="39"/>
        <v>5477</v>
      </c>
      <c r="J407">
        <f t="shared" si="40"/>
        <v>0</v>
      </c>
      <c r="K407">
        <f t="shared" si="41"/>
        <v>0</v>
      </c>
      <c r="M407"/>
      <c r="N407"/>
      <c r="O407"/>
    </row>
    <row r="408" spans="1:15" x14ac:dyDescent="0.3">
      <c r="A408" s="7">
        <v>2480</v>
      </c>
      <c r="B408">
        <v>15</v>
      </c>
      <c r="C408">
        <v>35</v>
      </c>
      <c r="D408">
        <v>2</v>
      </c>
      <c r="E408" t="s">
        <v>17</v>
      </c>
      <c r="F408" s="10">
        <f t="shared" si="36"/>
        <v>372</v>
      </c>
      <c r="G408" s="14">
        <f t="shared" si="37"/>
        <v>868</v>
      </c>
      <c r="H408" s="7">
        <f t="shared" si="38"/>
        <v>2333</v>
      </c>
      <c r="I408" s="10">
        <f t="shared" si="39"/>
        <v>3720</v>
      </c>
      <c r="J408">
        <f t="shared" si="40"/>
        <v>0</v>
      </c>
      <c r="K408">
        <f t="shared" si="41"/>
        <v>0</v>
      </c>
      <c r="M408"/>
      <c r="N408"/>
      <c r="O408"/>
    </row>
    <row r="409" spans="1:15" x14ac:dyDescent="0.3">
      <c r="A409" s="7">
        <v>1285</v>
      </c>
      <c r="B409">
        <v>8</v>
      </c>
      <c r="C409">
        <v>40</v>
      </c>
      <c r="D409">
        <v>4</v>
      </c>
      <c r="E409" t="s">
        <v>16</v>
      </c>
      <c r="F409" s="10">
        <f t="shared" si="36"/>
        <v>103</v>
      </c>
      <c r="G409" s="14">
        <f t="shared" si="37"/>
        <v>514</v>
      </c>
      <c r="H409" s="7">
        <f t="shared" si="38"/>
        <v>1166.5</v>
      </c>
      <c r="I409" s="10">
        <f t="shared" si="39"/>
        <v>1902</v>
      </c>
      <c r="J409">
        <f t="shared" si="40"/>
        <v>0</v>
      </c>
      <c r="K409">
        <f t="shared" si="41"/>
        <v>0</v>
      </c>
      <c r="M409"/>
      <c r="N409"/>
      <c r="O409"/>
    </row>
    <row r="410" spans="1:15" x14ac:dyDescent="0.3">
      <c r="A410" s="7">
        <v>2870</v>
      </c>
      <c r="B410">
        <v>17</v>
      </c>
      <c r="C410">
        <v>50</v>
      </c>
      <c r="D410">
        <v>1</v>
      </c>
      <c r="E410" t="s">
        <v>15</v>
      </c>
      <c r="F410" s="10">
        <f t="shared" si="36"/>
        <v>488</v>
      </c>
      <c r="G410" s="14">
        <f t="shared" si="37"/>
        <v>1435</v>
      </c>
      <c r="H410" s="7">
        <f t="shared" si="38"/>
        <v>4666</v>
      </c>
      <c r="I410" s="10">
        <f t="shared" si="39"/>
        <v>4793</v>
      </c>
      <c r="J410">
        <f t="shared" si="40"/>
        <v>0</v>
      </c>
      <c r="K410">
        <f t="shared" si="41"/>
        <v>0</v>
      </c>
      <c r="M410"/>
      <c r="N410"/>
      <c r="O410"/>
    </row>
    <row r="411" spans="1:15" x14ac:dyDescent="0.3">
      <c r="A411" s="7">
        <v>1483.5</v>
      </c>
      <c r="B411">
        <v>1</v>
      </c>
      <c r="C411">
        <v>45</v>
      </c>
      <c r="D411">
        <v>3</v>
      </c>
      <c r="E411" t="s">
        <v>19</v>
      </c>
      <c r="F411" s="10">
        <f t="shared" si="36"/>
        <v>15</v>
      </c>
      <c r="G411" s="14">
        <f t="shared" si="37"/>
        <v>667.58</v>
      </c>
      <c r="H411" s="7">
        <f t="shared" si="38"/>
        <v>1555.33</v>
      </c>
      <c r="I411" s="10">
        <f t="shared" si="39"/>
        <v>2166.08</v>
      </c>
      <c r="J411">
        <f t="shared" si="40"/>
        <v>0</v>
      </c>
      <c r="K411">
        <f t="shared" si="41"/>
        <v>0</v>
      </c>
      <c r="M411"/>
      <c r="N411"/>
      <c r="O411"/>
    </row>
    <row r="412" spans="1:15" x14ac:dyDescent="0.3">
      <c r="A412" s="7">
        <v>4590</v>
      </c>
      <c r="B412">
        <v>1</v>
      </c>
      <c r="C412">
        <v>40</v>
      </c>
      <c r="D412">
        <v>1</v>
      </c>
      <c r="E412" t="s">
        <v>16</v>
      </c>
      <c r="F412" s="10">
        <f t="shared" si="36"/>
        <v>46</v>
      </c>
      <c r="G412" s="14">
        <f t="shared" si="37"/>
        <v>1836</v>
      </c>
      <c r="H412" s="7">
        <f t="shared" si="38"/>
        <v>4666</v>
      </c>
      <c r="I412" s="10">
        <f t="shared" si="39"/>
        <v>6472</v>
      </c>
      <c r="J412">
        <f t="shared" si="40"/>
        <v>0</v>
      </c>
      <c r="K412">
        <f t="shared" si="41"/>
        <v>0</v>
      </c>
      <c r="M412"/>
      <c r="N412"/>
      <c r="O412"/>
    </row>
    <row r="413" spans="1:15" x14ac:dyDescent="0.3">
      <c r="A413" s="7">
        <v>3350</v>
      </c>
      <c r="B413">
        <v>9</v>
      </c>
      <c r="C413">
        <v>45</v>
      </c>
      <c r="D413">
        <v>1</v>
      </c>
      <c r="E413" t="s">
        <v>15</v>
      </c>
      <c r="F413" s="10">
        <f t="shared" si="36"/>
        <v>302</v>
      </c>
      <c r="G413" s="14">
        <f t="shared" si="37"/>
        <v>1507.5</v>
      </c>
      <c r="H413" s="7">
        <f t="shared" si="38"/>
        <v>4666</v>
      </c>
      <c r="I413" s="10">
        <f t="shared" si="39"/>
        <v>5159.5</v>
      </c>
      <c r="J413">
        <f t="shared" si="40"/>
        <v>0</v>
      </c>
      <c r="K413">
        <f t="shared" si="41"/>
        <v>0</v>
      </c>
      <c r="M413"/>
      <c r="N413"/>
      <c r="O413"/>
    </row>
    <row r="414" spans="1:15" x14ac:dyDescent="0.3">
      <c r="A414" s="7">
        <v>5940</v>
      </c>
      <c r="B414">
        <v>8</v>
      </c>
      <c r="C414">
        <v>35</v>
      </c>
      <c r="D414">
        <v>1</v>
      </c>
      <c r="E414" t="s">
        <v>19</v>
      </c>
      <c r="F414" s="10">
        <f t="shared" si="36"/>
        <v>476</v>
      </c>
      <c r="G414" s="14">
        <f t="shared" si="37"/>
        <v>2079</v>
      </c>
      <c r="H414" s="7">
        <f t="shared" si="38"/>
        <v>4666</v>
      </c>
      <c r="I414" s="10">
        <f t="shared" si="39"/>
        <v>8495</v>
      </c>
      <c r="J414">
        <f t="shared" si="40"/>
        <v>0</v>
      </c>
      <c r="K414">
        <f t="shared" si="41"/>
        <v>0</v>
      </c>
      <c r="M414"/>
      <c r="N414"/>
      <c r="O414"/>
    </row>
    <row r="415" spans="1:15" x14ac:dyDescent="0.3">
      <c r="A415" s="7">
        <v>1137</v>
      </c>
      <c r="B415">
        <v>20</v>
      </c>
      <c r="C415">
        <v>30</v>
      </c>
      <c r="D415">
        <v>6</v>
      </c>
      <c r="E415" t="s">
        <v>18</v>
      </c>
      <c r="F415" s="10">
        <f t="shared" si="36"/>
        <v>228</v>
      </c>
      <c r="G415" s="14">
        <f t="shared" si="37"/>
        <v>341.1</v>
      </c>
      <c r="H415" s="7">
        <f t="shared" si="38"/>
        <v>777.67</v>
      </c>
      <c r="I415" s="10">
        <f t="shared" si="39"/>
        <v>1706.1</v>
      </c>
      <c r="J415">
        <f t="shared" si="40"/>
        <v>0</v>
      </c>
      <c r="K415">
        <f t="shared" si="41"/>
        <v>0</v>
      </c>
      <c r="M415"/>
      <c r="N415"/>
      <c r="O415"/>
    </row>
    <row r="416" spans="1:15" x14ac:dyDescent="0.3">
      <c r="A416" s="7">
        <v>1396</v>
      </c>
      <c r="B416">
        <v>2</v>
      </c>
      <c r="C416">
        <v>45</v>
      </c>
      <c r="D416">
        <v>5</v>
      </c>
      <c r="E416" t="s">
        <v>17</v>
      </c>
      <c r="F416" s="10">
        <f t="shared" si="36"/>
        <v>28</v>
      </c>
      <c r="G416" s="14">
        <f t="shared" si="37"/>
        <v>628.20000000000005</v>
      </c>
      <c r="H416" s="7">
        <f t="shared" si="38"/>
        <v>933.2</v>
      </c>
      <c r="I416" s="10">
        <f t="shared" si="39"/>
        <v>2052.1999999999998</v>
      </c>
      <c r="J416">
        <f t="shared" si="40"/>
        <v>0</v>
      </c>
      <c r="K416">
        <f t="shared" si="41"/>
        <v>0</v>
      </c>
      <c r="M416"/>
      <c r="N416"/>
      <c r="O416"/>
    </row>
    <row r="417" spans="1:15" x14ac:dyDescent="0.3">
      <c r="A417" s="7">
        <v>6490</v>
      </c>
      <c r="B417">
        <v>1</v>
      </c>
      <c r="C417">
        <v>50</v>
      </c>
      <c r="D417">
        <v>1</v>
      </c>
      <c r="E417" t="s">
        <v>19</v>
      </c>
      <c r="F417" s="10">
        <f t="shared" si="36"/>
        <v>65</v>
      </c>
      <c r="G417" s="14">
        <f t="shared" si="37"/>
        <v>3245</v>
      </c>
      <c r="H417" s="7">
        <f t="shared" si="38"/>
        <v>4666</v>
      </c>
      <c r="I417" s="10">
        <f t="shared" si="39"/>
        <v>9800</v>
      </c>
      <c r="J417">
        <f t="shared" si="40"/>
        <v>0</v>
      </c>
      <c r="K417">
        <f t="shared" si="41"/>
        <v>0</v>
      </c>
      <c r="M417"/>
      <c r="N417"/>
      <c r="O417"/>
    </row>
    <row r="418" spans="1:15" x14ac:dyDescent="0.3">
      <c r="A418" s="7">
        <v>326</v>
      </c>
      <c r="B418">
        <v>17</v>
      </c>
      <c r="C418">
        <v>40</v>
      </c>
      <c r="D418">
        <v>9</v>
      </c>
      <c r="E418" t="s">
        <v>15</v>
      </c>
      <c r="F418" s="10">
        <f t="shared" si="36"/>
        <v>56</v>
      </c>
      <c r="G418" s="14">
        <f t="shared" si="37"/>
        <v>130.4</v>
      </c>
      <c r="H418" s="7">
        <f t="shared" si="38"/>
        <v>518.44000000000005</v>
      </c>
      <c r="I418" s="10">
        <f t="shared" si="39"/>
        <v>512.4</v>
      </c>
      <c r="J418">
        <f t="shared" si="40"/>
        <v>1</v>
      </c>
      <c r="K418">
        <f t="shared" si="41"/>
        <v>6.0400000000000773</v>
      </c>
      <c r="M418"/>
      <c r="N418"/>
      <c r="O418"/>
    </row>
    <row r="419" spans="1:15" x14ac:dyDescent="0.3">
      <c r="A419" s="7">
        <v>5900</v>
      </c>
      <c r="B419">
        <v>6</v>
      </c>
      <c r="C419">
        <v>5</v>
      </c>
      <c r="D419">
        <v>1</v>
      </c>
      <c r="E419" t="s">
        <v>17</v>
      </c>
      <c r="F419" s="10">
        <f t="shared" si="36"/>
        <v>354</v>
      </c>
      <c r="G419" s="14">
        <f t="shared" si="37"/>
        <v>295</v>
      </c>
      <c r="H419" s="7">
        <f t="shared" si="38"/>
        <v>4666</v>
      </c>
      <c r="I419" s="10">
        <f t="shared" si="39"/>
        <v>6549</v>
      </c>
      <c r="J419">
        <f t="shared" si="40"/>
        <v>0</v>
      </c>
      <c r="K419">
        <f t="shared" si="41"/>
        <v>0</v>
      </c>
      <c r="M419"/>
      <c r="N419"/>
      <c r="O419"/>
    </row>
    <row r="420" spans="1:15" x14ac:dyDescent="0.3">
      <c r="A420" s="7">
        <v>1897</v>
      </c>
      <c r="B420">
        <v>16</v>
      </c>
      <c r="C420">
        <v>5</v>
      </c>
      <c r="D420">
        <v>3</v>
      </c>
      <c r="E420" t="s">
        <v>15</v>
      </c>
      <c r="F420" s="10">
        <f t="shared" si="36"/>
        <v>304</v>
      </c>
      <c r="G420" s="14">
        <f t="shared" si="37"/>
        <v>94.85</v>
      </c>
      <c r="H420" s="7">
        <f t="shared" si="38"/>
        <v>1555.33</v>
      </c>
      <c r="I420" s="10">
        <f t="shared" si="39"/>
        <v>2295.85</v>
      </c>
      <c r="J420">
        <f t="shared" si="40"/>
        <v>0</v>
      </c>
      <c r="K420">
        <f t="shared" si="41"/>
        <v>0</v>
      </c>
      <c r="M420"/>
      <c r="N420"/>
      <c r="O420"/>
    </row>
    <row r="421" spans="1:15" x14ac:dyDescent="0.3">
      <c r="A421" s="7">
        <v>835</v>
      </c>
      <c r="B421">
        <v>15</v>
      </c>
      <c r="C421">
        <v>5</v>
      </c>
      <c r="D421">
        <v>4</v>
      </c>
      <c r="E421" t="s">
        <v>19</v>
      </c>
      <c r="F421" s="10">
        <f t="shared" si="36"/>
        <v>126</v>
      </c>
      <c r="G421" s="14">
        <f t="shared" si="37"/>
        <v>41.75</v>
      </c>
      <c r="H421" s="7">
        <f t="shared" si="38"/>
        <v>1166.5</v>
      </c>
      <c r="I421" s="10">
        <f t="shared" si="39"/>
        <v>1002.75</v>
      </c>
      <c r="J421">
        <f t="shared" si="40"/>
        <v>1</v>
      </c>
      <c r="K421">
        <f t="shared" si="41"/>
        <v>163.75</v>
      </c>
      <c r="M421"/>
      <c r="N421"/>
      <c r="O421"/>
    </row>
    <row r="422" spans="1:15" x14ac:dyDescent="0.3">
      <c r="A422" s="7">
        <v>1022</v>
      </c>
      <c r="B422">
        <v>4</v>
      </c>
      <c r="C422">
        <v>5</v>
      </c>
      <c r="D422">
        <v>6</v>
      </c>
      <c r="E422" t="s">
        <v>18</v>
      </c>
      <c r="F422" s="10">
        <f t="shared" si="36"/>
        <v>41</v>
      </c>
      <c r="G422" s="14">
        <f t="shared" si="37"/>
        <v>51.1</v>
      </c>
      <c r="H422" s="7">
        <f t="shared" si="38"/>
        <v>777.67</v>
      </c>
      <c r="I422" s="10">
        <f t="shared" si="39"/>
        <v>1114.0999999999999</v>
      </c>
      <c r="J422">
        <f t="shared" si="40"/>
        <v>0</v>
      </c>
      <c r="K422">
        <f t="shared" si="41"/>
        <v>0</v>
      </c>
      <c r="M422"/>
      <c r="N422"/>
      <c r="O422"/>
    </row>
    <row r="423" spans="1:15" x14ac:dyDescent="0.3">
      <c r="A423" s="7">
        <v>1680</v>
      </c>
      <c r="B423">
        <v>6</v>
      </c>
      <c r="C423">
        <v>15</v>
      </c>
      <c r="D423">
        <v>3</v>
      </c>
      <c r="E423" t="s">
        <v>15</v>
      </c>
      <c r="F423" s="10">
        <f t="shared" si="36"/>
        <v>101</v>
      </c>
      <c r="G423" s="14">
        <f t="shared" si="37"/>
        <v>252</v>
      </c>
      <c r="H423" s="7">
        <f t="shared" si="38"/>
        <v>1555.33</v>
      </c>
      <c r="I423" s="10">
        <f t="shared" si="39"/>
        <v>2033</v>
      </c>
      <c r="J423">
        <f t="shared" si="40"/>
        <v>0</v>
      </c>
      <c r="K423">
        <f t="shared" si="41"/>
        <v>0</v>
      </c>
      <c r="M423"/>
      <c r="N423"/>
      <c r="O423"/>
    </row>
    <row r="424" spans="1:15" x14ac:dyDescent="0.3">
      <c r="A424" s="7">
        <v>510</v>
      </c>
      <c r="B424">
        <v>5</v>
      </c>
      <c r="C424">
        <v>0</v>
      </c>
      <c r="D424">
        <v>8</v>
      </c>
      <c r="E424" t="s">
        <v>17</v>
      </c>
      <c r="F424" s="10">
        <f t="shared" si="36"/>
        <v>26</v>
      </c>
      <c r="G424" s="14">
        <f t="shared" si="37"/>
        <v>0</v>
      </c>
      <c r="H424" s="7">
        <f t="shared" si="38"/>
        <v>583.25</v>
      </c>
      <c r="I424" s="10">
        <f t="shared" si="39"/>
        <v>536</v>
      </c>
      <c r="J424">
        <f t="shared" si="40"/>
        <v>1</v>
      </c>
      <c r="K424">
        <f t="shared" si="41"/>
        <v>47.25</v>
      </c>
      <c r="M424"/>
      <c r="N424"/>
      <c r="O424"/>
    </row>
    <row r="425" spans="1:15" x14ac:dyDescent="0.3">
      <c r="A425" s="7">
        <v>1893</v>
      </c>
      <c r="B425">
        <v>5</v>
      </c>
      <c r="C425">
        <v>40</v>
      </c>
      <c r="D425">
        <v>3</v>
      </c>
      <c r="E425" t="s">
        <v>20</v>
      </c>
      <c r="F425" s="10">
        <f t="shared" si="36"/>
        <v>95</v>
      </c>
      <c r="G425" s="14">
        <f t="shared" si="37"/>
        <v>757.2</v>
      </c>
      <c r="H425" s="7">
        <f t="shared" si="38"/>
        <v>1555.33</v>
      </c>
      <c r="I425" s="10">
        <f t="shared" si="39"/>
        <v>2745.2</v>
      </c>
      <c r="J425">
        <f t="shared" si="40"/>
        <v>0</v>
      </c>
      <c r="K425">
        <f t="shared" si="41"/>
        <v>0</v>
      </c>
      <c r="M425"/>
      <c r="N425"/>
      <c r="O425"/>
    </row>
    <row r="426" spans="1:15" x14ac:dyDescent="0.3">
      <c r="A426" s="7">
        <v>4620</v>
      </c>
      <c r="B426">
        <v>20</v>
      </c>
      <c r="C426">
        <v>20</v>
      </c>
      <c r="D426">
        <v>1</v>
      </c>
      <c r="E426" t="s">
        <v>18</v>
      </c>
      <c r="F426" s="10">
        <f t="shared" si="36"/>
        <v>924</v>
      </c>
      <c r="G426" s="14">
        <f t="shared" si="37"/>
        <v>924</v>
      </c>
      <c r="H426" s="7">
        <f t="shared" si="38"/>
        <v>4666</v>
      </c>
      <c r="I426" s="10">
        <f t="shared" si="39"/>
        <v>6468</v>
      </c>
      <c r="J426">
        <f t="shared" si="40"/>
        <v>0</v>
      </c>
      <c r="K426">
        <f t="shared" si="41"/>
        <v>0</v>
      </c>
      <c r="M426"/>
      <c r="N426"/>
      <c r="O426"/>
    </row>
    <row r="427" spans="1:15" x14ac:dyDescent="0.3">
      <c r="A427" s="7">
        <v>3500</v>
      </c>
      <c r="B427">
        <v>7</v>
      </c>
      <c r="C427">
        <v>20</v>
      </c>
      <c r="D427">
        <v>1</v>
      </c>
      <c r="E427" t="s">
        <v>15</v>
      </c>
      <c r="F427" s="10">
        <f t="shared" si="36"/>
        <v>245</v>
      </c>
      <c r="G427" s="14">
        <f t="shared" si="37"/>
        <v>700</v>
      </c>
      <c r="H427" s="7">
        <f t="shared" si="38"/>
        <v>4666</v>
      </c>
      <c r="I427" s="10">
        <f t="shared" si="39"/>
        <v>4445</v>
      </c>
      <c r="J427">
        <f t="shared" si="40"/>
        <v>1</v>
      </c>
      <c r="K427">
        <f t="shared" si="41"/>
        <v>221</v>
      </c>
      <c r="M427"/>
      <c r="N427"/>
      <c r="O427"/>
    </row>
    <row r="428" spans="1:15" x14ac:dyDescent="0.3">
      <c r="A428" s="7">
        <v>5890</v>
      </c>
      <c r="B428">
        <v>6</v>
      </c>
      <c r="C428">
        <v>45</v>
      </c>
      <c r="D428">
        <v>1</v>
      </c>
      <c r="E428" t="s">
        <v>21</v>
      </c>
      <c r="F428" s="10">
        <f t="shared" si="36"/>
        <v>354</v>
      </c>
      <c r="G428" s="14">
        <f t="shared" si="37"/>
        <v>2650.5</v>
      </c>
      <c r="H428" s="7">
        <f t="shared" si="38"/>
        <v>4666</v>
      </c>
      <c r="I428" s="10">
        <f t="shared" si="39"/>
        <v>8894.5</v>
      </c>
      <c r="J428">
        <f t="shared" si="40"/>
        <v>0</v>
      </c>
      <c r="K428">
        <f t="shared" si="41"/>
        <v>0</v>
      </c>
      <c r="M428"/>
      <c r="N428"/>
      <c r="O428"/>
    </row>
    <row r="429" spans="1:15" x14ac:dyDescent="0.3">
      <c r="A429" s="7">
        <v>636</v>
      </c>
      <c r="B429">
        <v>20</v>
      </c>
      <c r="C429">
        <v>40</v>
      </c>
      <c r="D429">
        <v>8</v>
      </c>
      <c r="E429" t="s">
        <v>20</v>
      </c>
      <c r="F429" s="10">
        <f t="shared" si="36"/>
        <v>128</v>
      </c>
      <c r="G429" s="14">
        <f t="shared" si="37"/>
        <v>254.4</v>
      </c>
      <c r="H429" s="7">
        <f t="shared" si="38"/>
        <v>583.25</v>
      </c>
      <c r="I429" s="10">
        <f t="shared" si="39"/>
        <v>1018.4</v>
      </c>
      <c r="J429">
        <f t="shared" si="40"/>
        <v>0</v>
      </c>
      <c r="K429">
        <f t="shared" si="41"/>
        <v>0</v>
      </c>
      <c r="M429"/>
      <c r="N429"/>
      <c r="O429"/>
    </row>
    <row r="430" spans="1:15" x14ac:dyDescent="0.3">
      <c r="A430" s="7">
        <v>1543</v>
      </c>
      <c r="B430">
        <v>9</v>
      </c>
      <c r="C430">
        <v>45</v>
      </c>
      <c r="D430">
        <v>4</v>
      </c>
      <c r="E430" t="s">
        <v>19</v>
      </c>
      <c r="F430" s="10">
        <f t="shared" si="36"/>
        <v>139</v>
      </c>
      <c r="G430" s="14">
        <f t="shared" si="37"/>
        <v>694.35</v>
      </c>
      <c r="H430" s="7">
        <f t="shared" si="38"/>
        <v>1166.5</v>
      </c>
      <c r="I430" s="10">
        <f t="shared" si="39"/>
        <v>2376.35</v>
      </c>
      <c r="J430">
        <f t="shared" si="40"/>
        <v>0</v>
      </c>
      <c r="K430">
        <f t="shared" si="41"/>
        <v>0</v>
      </c>
      <c r="M430"/>
      <c r="N430"/>
      <c r="O430"/>
    </row>
    <row r="431" spans="1:15" x14ac:dyDescent="0.3">
      <c r="A431" s="7">
        <v>306</v>
      </c>
      <c r="B431">
        <v>3</v>
      </c>
      <c r="C431">
        <v>45</v>
      </c>
      <c r="D431">
        <v>9</v>
      </c>
      <c r="E431" t="s">
        <v>15</v>
      </c>
      <c r="F431" s="10">
        <f t="shared" si="36"/>
        <v>10</v>
      </c>
      <c r="G431" s="14">
        <f t="shared" si="37"/>
        <v>137.69999999999999</v>
      </c>
      <c r="H431" s="7">
        <f t="shared" si="38"/>
        <v>518.44000000000005</v>
      </c>
      <c r="I431" s="10">
        <f t="shared" si="39"/>
        <v>453.7</v>
      </c>
      <c r="J431">
        <f t="shared" si="40"/>
        <v>1</v>
      </c>
      <c r="K431">
        <f t="shared" si="41"/>
        <v>64.740000000000066</v>
      </c>
      <c r="M431"/>
      <c r="N431"/>
      <c r="O431"/>
    </row>
    <row r="432" spans="1:15" x14ac:dyDescent="0.3">
      <c r="A432" s="7">
        <v>1690</v>
      </c>
      <c r="B432">
        <v>11</v>
      </c>
      <c r="C432">
        <v>40</v>
      </c>
      <c r="D432">
        <v>3</v>
      </c>
      <c r="E432" t="s">
        <v>16</v>
      </c>
      <c r="F432" s="10">
        <f t="shared" si="36"/>
        <v>186</v>
      </c>
      <c r="G432" s="14">
        <f t="shared" si="37"/>
        <v>676</v>
      </c>
      <c r="H432" s="7">
        <f t="shared" si="38"/>
        <v>1555.33</v>
      </c>
      <c r="I432" s="10">
        <f t="shared" si="39"/>
        <v>2552</v>
      </c>
      <c r="J432">
        <f t="shared" si="40"/>
        <v>0</v>
      </c>
      <c r="K432">
        <f t="shared" si="41"/>
        <v>0</v>
      </c>
      <c r="M432"/>
      <c r="N432"/>
      <c r="O432"/>
    </row>
    <row r="433" spans="1:15" x14ac:dyDescent="0.3">
      <c r="A433" s="7">
        <v>606</v>
      </c>
      <c r="B433">
        <v>16</v>
      </c>
      <c r="C433">
        <v>30</v>
      </c>
      <c r="D433">
        <v>7</v>
      </c>
      <c r="E433" t="s">
        <v>21</v>
      </c>
      <c r="F433" s="10">
        <f t="shared" si="36"/>
        <v>97</v>
      </c>
      <c r="G433" s="14">
        <f t="shared" si="37"/>
        <v>181.8</v>
      </c>
      <c r="H433" s="7">
        <f t="shared" si="38"/>
        <v>666.57</v>
      </c>
      <c r="I433" s="10">
        <f t="shared" si="39"/>
        <v>884.8</v>
      </c>
      <c r="J433">
        <f t="shared" si="40"/>
        <v>0</v>
      </c>
      <c r="K433">
        <f t="shared" si="41"/>
        <v>0</v>
      </c>
      <c r="M433"/>
      <c r="N433"/>
      <c r="O433"/>
    </row>
    <row r="434" spans="1:15" x14ac:dyDescent="0.3">
      <c r="A434" s="7">
        <v>5910</v>
      </c>
      <c r="B434">
        <v>17</v>
      </c>
      <c r="C434">
        <v>5</v>
      </c>
      <c r="D434">
        <v>1</v>
      </c>
      <c r="E434" t="s">
        <v>19</v>
      </c>
      <c r="F434" s="10">
        <f t="shared" si="36"/>
        <v>1005</v>
      </c>
      <c r="G434" s="14">
        <f t="shared" si="37"/>
        <v>295.5</v>
      </c>
      <c r="H434" s="7">
        <f t="shared" si="38"/>
        <v>4666</v>
      </c>
      <c r="I434" s="10">
        <f t="shared" si="39"/>
        <v>7210.5</v>
      </c>
      <c r="J434">
        <f t="shared" si="40"/>
        <v>0</v>
      </c>
      <c r="K434">
        <f t="shared" si="41"/>
        <v>0</v>
      </c>
      <c r="M434"/>
      <c r="N434"/>
      <c r="O434"/>
    </row>
    <row r="435" spans="1:15" x14ac:dyDescent="0.3">
      <c r="A435" s="7">
        <v>339</v>
      </c>
      <c r="B435">
        <v>18</v>
      </c>
      <c r="C435">
        <v>25</v>
      </c>
      <c r="D435">
        <v>10</v>
      </c>
      <c r="E435" t="s">
        <v>21</v>
      </c>
      <c r="F435" s="10">
        <f t="shared" si="36"/>
        <v>62</v>
      </c>
      <c r="G435" s="14">
        <f t="shared" si="37"/>
        <v>84.75</v>
      </c>
      <c r="H435" s="7">
        <f t="shared" si="38"/>
        <v>466.6</v>
      </c>
      <c r="I435" s="10">
        <f t="shared" si="39"/>
        <v>485.75</v>
      </c>
      <c r="J435">
        <f t="shared" si="40"/>
        <v>0</v>
      </c>
      <c r="K435">
        <f t="shared" si="41"/>
        <v>0</v>
      </c>
      <c r="M435"/>
      <c r="N435"/>
      <c r="O435"/>
    </row>
    <row r="436" spans="1:15" x14ac:dyDescent="0.3">
      <c r="A436" s="7">
        <v>4060</v>
      </c>
      <c r="B436">
        <v>4</v>
      </c>
      <c r="C436">
        <v>25</v>
      </c>
      <c r="D436">
        <v>1</v>
      </c>
      <c r="E436" t="s">
        <v>19</v>
      </c>
      <c r="F436" s="10">
        <f t="shared" si="36"/>
        <v>163</v>
      </c>
      <c r="G436" s="14">
        <f t="shared" si="37"/>
        <v>1015</v>
      </c>
      <c r="H436" s="7">
        <f t="shared" si="38"/>
        <v>4666</v>
      </c>
      <c r="I436" s="10">
        <f t="shared" si="39"/>
        <v>5238</v>
      </c>
      <c r="J436">
        <f t="shared" si="40"/>
        <v>0</v>
      </c>
      <c r="K436">
        <f t="shared" si="41"/>
        <v>0</v>
      </c>
      <c r="M436"/>
      <c r="N436"/>
      <c r="O436"/>
    </row>
    <row r="437" spans="1:15" x14ac:dyDescent="0.3">
      <c r="A437" s="7">
        <v>1160</v>
      </c>
      <c r="B437">
        <v>0</v>
      </c>
      <c r="C437">
        <v>25</v>
      </c>
      <c r="D437">
        <v>6</v>
      </c>
      <c r="E437" t="s">
        <v>15</v>
      </c>
      <c r="F437" s="10">
        <f t="shared" si="36"/>
        <v>0</v>
      </c>
      <c r="G437" s="14">
        <f t="shared" si="37"/>
        <v>290</v>
      </c>
      <c r="H437" s="7">
        <f t="shared" si="38"/>
        <v>777.67</v>
      </c>
      <c r="I437" s="10">
        <f t="shared" si="39"/>
        <v>1450</v>
      </c>
      <c r="J437">
        <f t="shared" si="40"/>
        <v>0</v>
      </c>
      <c r="K437">
        <f t="shared" si="41"/>
        <v>0</v>
      </c>
      <c r="M437"/>
      <c r="N437"/>
      <c r="O437"/>
    </row>
    <row r="438" spans="1:15" x14ac:dyDescent="0.3">
      <c r="A438" s="7">
        <v>394</v>
      </c>
      <c r="B438">
        <v>12</v>
      </c>
      <c r="C438">
        <v>30</v>
      </c>
      <c r="D438">
        <v>9</v>
      </c>
      <c r="E438" t="s">
        <v>17</v>
      </c>
      <c r="F438" s="10">
        <f t="shared" si="36"/>
        <v>48</v>
      </c>
      <c r="G438" s="14">
        <f t="shared" si="37"/>
        <v>118.2</v>
      </c>
      <c r="H438" s="7">
        <f t="shared" si="38"/>
        <v>518.44000000000005</v>
      </c>
      <c r="I438" s="10">
        <f t="shared" si="39"/>
        <v>560.20000000000005</v>
      </c>
      <c r="J438">
        <f t="shared" si="40"/>
        <v>0</v>
      </c>
      <c r="K438">
        <f t="shared" si="41"/>
        <v>0</v>
      </c>
      <c r="M438"/>
      <c r="N438"/>
      <c r="O438"/>
    </row>
    <row r="439" spans="1:15" x14ac:dyDescent="0.3">
      <c r="A439" s="7">
        <v>930</v>
      </c>
      <c r="B439">
        <v>7</v>
      </c>
      <c r="C439">
        <v>35</v>
      </c>
      <c r="D439">
        <v>7</v>
      </c>
      <c r="E439" t="s">
        <v>19</v>
      </c>
      <c r="F439" s="10">
        <f t="shared" si="36"/>
        <v>66</v>
      </c>
      <c r="G439" s="14">
        <f t="shared" si="37"/>
        <v>325.5</v>
      </c>
      <c r="H439" s="7">
        <f t="shared" si="38"/>
        <v>666.57</v>
      </c>
      <c r="I439" s="10">
        <f t="shared" si="39"/>
        <v>1321.5</v>
      </c>
      <c r="J439">
        <f t="shared" si="40"/>
        <v>0</v>
      </c>
      <c r="K439">
        <f t="shared" si="41"/>
        <v>0</v>
      </c>
      <c r="M439"/>
      <c r="N439"/>
      <c r="O439"/>
    </row>
    <row r="440" spans="1:15" x14ac:dyDescent="0.3">
      <c r="A440" s="7">
        <v>366</v>
      </c>
      <c r="B440">
        <v>7</v>
      </c>
      <c r="C440">
        <v>35</v>
      </c>
      <c r="D440">
        <v>10</v>
      </c>
      <c r="E440" t="s">
        <v>17</v>
      </c>
      <c r="F440" s="10">
        <f t="shared" si="36"/>
        <v>26</v>
      </c>
      <c r="G440" s="14">
        <f t="shared" si="37"/>
        <v>128.1</v>
      </c>
      <c r="H440" s="7">
        <f t="shared" si="38"/>
        <v>466.6</v>
      </c>
      <c r="I440" s="10">
        <f t="shared" si="39"/>
        <v>520.1</v>
      </c>
      <c r="J440">
        <f t="shared" si="40"/>
        <v>0</v>
      </c>
      <c r="K440">
        <f t="shared" si="41"/>
        <v>0</v>
      </c>
      <c r="M440"/>
      <c r="N440"/>
      <c r="O440"/>
    </row>
    <row r="441" spans="1:15" x14ac:dyDescent="0.3">
      <c r="A441" s="7">
        <v>413</v>
      </c>
      <c r="B441">
        <v>11</v>
      </c>
      <c r="C441">
        <v>10</v>
      </c>
      <c r="D441">
        <v>9</v>
      </c>
      <c r="E441" t="s">
        <v>18</v>
      </c>
      <c r="F441" s="10">
        <f t="shared" si="36"/>
        <v>46</v>
      </c>
      <c r="G441" s="14">
        <f t="shared" si="37"/>
        <v>41.3</v>
      </c>
      <c r="H441" s="7">
        <f t="shared" si="38"/>
        <v>518.44000000000005</v>
      </c>
      <c r="I441" s="10">
        <f t="shared" si="39"/>
        <v>500.3</v>
      </c>
      <c r="J441">
        <f t="shared" si="40"/>
        <v>1</v>
      </c>
      <c r="K441">
        <f t="shared" si="41"/>
        <v>18.140000000000043</v>
      </c>
      <c r="M441"/>
      <c r="N441"/>
      <c r="O441"/>
    </row>
    <row r="442" spans="1:15" x14ac:dyDescent="0.3">
      <c r="A442" s="7">
        <v>357.5</v>
      </c>
      <c r="B442">
        <v>10</v>
      </c>
      <c r="C442">
        <v>25</v>
      </c>
      <c r="D442">
        <v>9</v>
      </c>
      <c r="E442" t="s">
        <v>15</v>
      </c>
      <c r="F442" s="10">
        <f t="shared" si="36"/>
        <v>36</v>
      </c>
      <c r="G442" s="14">
        <f t="shared" si="37"/>
        <v>89.38</v>
      </c>
      <c r="H442" s="7">
        <f t="shared" si="38"/>
        <v>518.44000000000005</v>
      </c>
      <c r="I442" s="10">
        <f t="shared" si="39"/>
        <v>482.88</v>
      </c>
      <c r="J442">
        <f t="shared" si="40"/>
        <v>1</v>
      </c>
      <c r="K442">
        <f t="shared" si="41"/>
        <v>35.560000000000059</v>
      </c>
      <c r="M442"/>
      <c r="N442"/>
      <c r="O442"/>
    </row>
    <row r="443" spans="1:15" x14ac:dyDescent="0.3">
      <c r="A443" s="7">
        <v>2825</v>
      </c>
      <c r="B443">
        <v>2</v>
      </c>
      <c r="C443">
        <v>10</v>
      </c>
      <c r="D443">
        <v>2</v>
      </c>
      <c r="E443" t="s">
        <v>21</v>
      </c>
      <c r="F443" s="10">
        <f t="shared" si="36"/>
        <v>57</v>
      </c>
      <c r="G443" s="14">
        <f t="shared" si="37"/>
        <v>282.5</v>
      </c>
      <c r="H443" s="7">
        <f t="shared" si="38"/>
        <v>2333</v>
      </c>
      <c r="I443" s="10">
        <f t="shared" si="39"/>
        <v>3164.5</v>
      </c>
      <c r="J443">
        <f t="shared" si="40"/>
        <v>0</v>
      </c>
      <c r="K443">
        <f t="shared" si="41"/>
        <v>0</v>
      </c>
      <c r="M443"/>
      <c r="N443"/>
      <c r="O443"/>
    </row>
    <row r="444" spans="1:15" x14ac:dyDescent="0.3">
      <c r="A444" s="7">
        <v>608</v>
      </c>
      <c r="B444">
        <v>1</v>
      </c>
      <c r="C444">
        <v>15</v>
      </c>
      <c r="D444">
        <v>6</v>
      </c>
      <c r="E444" t="s">
        <v>16</v>
      </c>
      <c r="F444" s="10">
        <f t="shared" si="36"/>
        <v>7</v>
      </c>
      <c r="G444" s="14">
        <f t="shared" si="37"/>
        <v>91.2</v>
      </c>
      <c r="H444" s="7">
        <f t="shared" si="38"/>
        <v>777.67</v>
      </c>
      <c r="I444" s="10">
        <f t="shared" si="39"/>
        <v>706.2</v>
      </c>
      <c r="J444">
        <f t="shared" si="40"/>
        <v>1</v>
      </c>
      <c r="K444">
        <f t="shared" si="41"/>
        <v>71.469999999999914</v>
      </c>
      <c r="M444"/>
      <c r="N444"/>
      <c r="O444"/>
    </row>
    <row r="445" spans="1:15" x14ac:dyDescent="0.3">
      <c r="A445" s="7">
        <v>4130</v>
      </c>
      <c r="B445">
        <v>18</v>
      </c>
      <c r="C445">
        <v>0</v>
      </c>
      <c r="D445">
        <v>1</v>
      </c>
      <c r="E445" t="s">
        <v>19</v>
      </c>
      <c r="F445" s="10">
        <f t="shared" si="36"/>
        <v>744</v>
      </c>
      <c r="G445" s="14">
        <f t="shared" si="37"/>
        <v>0</v>
      </c>
      <c r="H445" s="7">
        <f t="shared" si="38"/>
        <v>4666</v>
      </c>
      <c r="I445" s="10">
        <f t="shared" si="39"/>
        <v>4874</v>
      </c>
      <c r="J445">
        <f t="shared" si="40"/>
        <v>0</v>
      </c>
      <c r="K445">
        <f t="shared" si="41"/>
        <v>0</v>
      </c>
      <c r="M445"/>
      <c r="N445"/>
      <c r="O445"/>
    </row>
    <row r="446" spans="1:15" x14ac:dyDescent="0.3">
      <c r="A446" s="7">
        <v>851</v>
      </c>
      <c r="B446">
        <v>15</v>
      </c>
      <c r="C446">
        <v>30</v>
      </c>
      <c r="D446">
        <v>8</v>
      </c>
      <c r="E446" t="s">
        <v>17</v>
      </c>
      <c r="F446" s="10">
        <f t="shared" si="36"/>
        <v>128</v>
      </c>
      <c r="G446" s="14">
        <f t="shared" si="37"/>
        <v>255.3</v>
      </c>
      <c r="H446" s="7">
        <f t="shared" si="38"/>
        <v>583.25</v>
      </c>
      <c r="I446" s="10">
        <f t="shared" si="39"/>
        <v>1234.3</v>
      </c>
      <c r="J446">
        <f t="shared" si="40"/>
        <v>0</v>
      </c>
      <c r="K446">
        <f t="shared" si="41"/>
        <v>0</v>
      </c>
      <c r="M446"/>
      <c r="N446"/>
      <c r="O446"/>
    </row>
    <row r="447" spans="1:15" x14ac:dyDescent="0.3">
      <c r="A447" s="7">
        <v>422</v>
      </c>
      <c r="B447">
        <v>20</v>
      </c>
      <c r="C447">
        <v>10</v>
      </c>
      <c r="D447">
        <v>9</v>
      </c>
      <c r="E447" t="s">
        <v>17</v>
      </c>
      <c r="F447" s="10">
        <f t="shared" si="36"/>
        <v>85</v>
      </c>
      <c r="G447" s="14">
        <f t="shared" si="37"/>
        <v>42.2</v>
      </c>
      <c r="H447" s="7">
        <f t="shared" si="38"/>
        <v>518.44000000000005</v>
      </c>
      <c r="I447" s="10">
        <f t="shared" si="39"/>
        <v>549.20000000000005</v>
      </c>
      <c r="J447">
        <f t="shared" si="40"/>
        <v>0</v>
      </c>
      <c r="K447">
        <f t="shared" si="41"/>
        <v>0</v>
      </c>
      <c r="M447"/>
      <c r="N447"/>
      <c r="O447"/>
    </row>
    <row r="448" spans="1:15" x14ac:dyDescent="0.3">
      <c r="A448" s="7">
        <v>698</v>
      </c>
      <c r="B448">
        <v>15</v>
      </c>
      <c r="C448">
        <v>0</v>
      </c>
      <c r="D448">
        <v>9</v>
      </c>
      <c r="E448" t="s">
        <v>20</v>
      </c>
      <c r="F448" s="10">
        <f t="shared" si="36"/>
        <v>105</v>
      </c>
      <c r="G448" s="14">
        <f t="shared" si="37"/>
        <v>0</v>
      </c>
      <c r="H448" s="7">
        <f t="shared" si="38"/>
        <v>518.44000000000005</v>
      </c>
      <c r="I448" s="10">
        <f t="shared" si="39"/>
        <v>803</v>
      </c>
      <c r="J448">
        <f t="shared" si="40"/>
        <v>0</v>
      </c>
      <c r="K448">
        <f t="shared" si="41"/>
        <v>0</v>
      </c>
      <c r="M448"/>
      <c r="N448"/>
      <c r="O448"/>
    </row>
    <row r="449" spans="1:15" x14ac:dyDescent="0.3">
      <c r="A449" s="7">
        <v>657</v>
      </c>
      <c r="B449">
        <v>2</v>
      </c>
      <c r="C449">
        <v>45</v>
      </c>
      <c r="D449">
        <v>7</v>
      </c>
      <c r="E449" t="s">
        <v>18</v>
      </c>
      <c r="F449" s="10">
        <f t="shared" si="36"/>
        <v>14</v>
      </c>
      <c r="G449" s="14">
        <f t="shared" si="37"/>
        <v>295.64999999999998</v>
      </c>
      <c r="H449" s="7">
        <f t="shared" si="38"/>
        <v>666.57</v>
      </c>
      <c r="I449" s="10">
        <f t="shared" si="39"/>
        <v>966.65</v>
      </c>
      <c r="J449">
        <f t="shared" si="40"/>
        <v>0</v>
      </c>
      <c r="K449">
        <f t="shared" si="41"/>
        <v>0</v>
      </c>
      <c r="M449"/>
      <c r="N449"/>
      <c r="O449"/>
    </row>
    <row r="450" spans="1:15" x14ac:dyDescent="0.3">
      <c r="A450" s="7">
        <v>957</v>
      </c>
      <c r="B450">
        <v>5</v>
      </c>
      <c r="C450">
        <v>35</v>
      </c>
      <c r="D450">
        <v>3</v>
      </c>
      <c r="E450" t="s">
        <v>18</v>
      </c>
      <c r="F450" s="10">
        <f t="shared" si="36"/>
        <v>48</v>
      </c>
      <c r="G450" s="14">
        <f t="shared" si="37"/>
        <v>334.95</v>
      </c>
      <c r="H450" s="7">
        <f t="shared" si="38"/>
        <v>1555.33</v>
      </c>
      <c r="I450" s="10">
        <f t="shared" si="39"/>
        <v>1339.95</v>
      </c>
      <c r="J450">
        <f t="shared" si="40"/>
        <v>1</v>
      </c>
      <c r="K450">
        <f t="shared" si="41"/>
        <v>215.37999999999988</v>
      </c>
      <c r="M450"/>
      <c r="N450"/>
      <c r="O450"/>
    </row>
    <row r="451" spans="1:15" x14ac:dyDescent="0.3">
      <c r="A451" s="7">
        <v>2790</v>
      </c>
      <c r="B451">
        <v>18</v>
      </c>
      <c r="C451">
        <v>30</v>
      </c>
      <c r="D451">
        <v>1</v>
      </c>
      <c r="E451" t="s">
        <v>18</v>
      </c>
      <c r="F451" s="10">
        <f t="shared" ref="F451:F501" si="42">ROUNDUP(0.01*B451*A451,0)</f>
        <v>503</v>
      </c>
      <c r="G451" s="14">
        <f t="shared" ref="G451:G501" si="43">ROUND(C451/100*A451,2)</f>
        <v>837</v>
      </c>
      <c r="H451" s="7">
        <f t="shared" ref="H451:H501" si="44">ROUND(4666/D451:D950,2)</f>
        <v>4666</v>
      </c>
      <c r="I451" s="10">
        <f t="shared" ref="I451:I501" si="45">G451+A451+F451</f>
        <v>4130</v>
      </c>
      <c r="J451">
        <f t="shared" ref="J451:J501" si="46">IF(H451&gt;I451,1,0)</f>
        <v>1</v>
      </c>
      <c r="K451">
        <f t="shared" ref="K451:K501" si="47">IF(J451=1,H451-I451,0)</f>
        <v>536</v>
      </c>
      <c r="M451"/>
      <c r="N451"/>
      <c r="O451"/>
    </row>
    <row r="452" spans="1:15" x14ac:dyDescent="0.3">
      <c r="A452" s="7">
        <v>585</v>
      </c>
      <c r="B452">
        <v>6</v>
      </c>
      <c r="C452">
        <v>5</v>
      </c>
      <c r="D452">
        <v>10</v>
      </c>
      <c r="E452" t="s">
        <v>17</v>
      </c>
      <c r="F452" s="10">
        <f t="shared" si="42"/>
        <v>36</v>
      </c>
      <c r="G452" s="14">
        <f t="shared" si="43"/>
        <v>29.25</v>
      </c>
      <c r="H452" s="7">
        <f t="shared" si="44"/>
        <v>466.6</v>
      </c>
      <c r="I452" s="10">
        <f t="shared" si="45"/>
        <v>650.25</v>
      </c>
      <c r="J452">
        <f t="shared" si="46"/>
        <v>0</v>
      </c>
      <c r="K452">
        <f t="shared" si="47"/>
        <v>0</v>
      </c>
      <c r="M452"/>
      <c r="N452"/>
      <c r="O452"/>
    </row>
    <row r="453" spans="1:15" x14ac:dyDescent="0.3">
      <c r="A453" s="7">
        <v>1323</v>
      </c>
      <c r="B453">
        <v>2</v>
      </c>
      <c r="C453">
        <v>50</v>
      </c>
      <c r="D453">
        <v>4</v>
      </c>
      <c r="E453" t="s">
        <v>19</v>
      </c>
      <c r="F453" s="10">
        <f t="shared" si="42"/>
        <v>27</v>
      </c>
      <c r="G453" s="14">
        <f t="shared" si="43"/>
        <v>661.5</v>
      </c>
      <c r="H453" s="7">
        <f t="shared" si="44"/>
        <v>1166.5</v>
      </c>
      <c r="I453" s="10">
        <f t="shared" si="45"/>
        <v>2011.5</v>
      </c>
      <c r="J453">
        <f t="shared" si="46"/>
        <v>0</v>
      </c>
      <c r="K453">
        <f t="shared" si="47"/>
        <v>0</v>
      </c>
      <c r="M453"/>
      <c r="N453"/>
      <c r="O453"/>
    </row>
    <row r="454" spans="1:15" x14ac:dyDescent="0.3">
      <c r="A454" s="7">
        <v>5490</v>
      </c>
      <c r="B454">
        <v>17</v>
      </c>
      <c r="C454">
        <v>0</v>
      </c>
      <c r="D454">
        <v>1</v>
      </c>
      <c r="E454" t="s">
        <v>18</v>
      </c>
      <c r="F454" s="10">
        <f t="shared" si="42"/>
        <v>934</v>
      </c>
      <c r="G454" s="14">
        <f t="shared" si="43"/>
        <v>0</v>
      </c>
      <c r="H454" s="7">
        <f t="shared" si="44"/>
        <v>4666</v>
      </c>
      <c r="I454" s="10">
        <f t="shared" si="45"/>
        <v>6424</v>
      </c>
      <c r="J454">
        <f t="shared" si="46"/>
        <v>0</v>
      </c>
      <c r="K454">
        <f t="shared" si="47"/>
        <v>0</v>
      </c>
      <c r="M454"/>
      <c r="N454"/>
      <c r="O454"/>
    </row>
    <row r="455" spans="1:15" x14ac:dyDescent="0.3">
      <c r="A455" s="7">
        <v>484</v>
      </c>
      <c r="B455">
        <v>8</v>
      </c>
      <c r="C455">
        <v>0</v>
      </c>
      <c r="D455">
        <v>9</v>
      </c>
      <c r="E455" t="s">
        <v>21</v>
      </c>
      <c r="F455" s="10">
        <f t="shared" si="42"/>
        <v>39</v>
      </c>
      <c r="G455" s="14">
        <f t="shared" si="43"/>
        <v>0</v>
      </c>
      <c r="H455" s="7">
        <f t="shared" si="44"/>
        <v>518.44000000000005</v>
      </c>
      <c r="I455" s="10">
        <f t="shared" si="45"/>
        <v>523</v>
      </c>
      <c r="J455">
        <f t="shared" si="46"/>
        <v>0</v>
      </c>
      <c r="K455">
        <f t="shared" si="47"/>
        <v>0</v>
      </c>
      <c r="M455"/>
      <c r="N455"/>
      <c r="O455"/>
    </row>
    <row r="456" spans="1:15" x14ac:dyDescent="0.3">
      <c r="A456" s="7">
        <v>950</v>
      </c>
      <c r="B456">
        <v>8</v>
      </c>
      <c r="C456">
        <v>30</v>
      </c>
      <c r="D456">
        <v>3</v>
      </c>
      <c r="E456" t="s">
        <v>18</v>
      </c>
      <c r="F456" s="10">
        <f t="shared" si="42"/>
        <v>76</v>
      </c>
      <c r="G456" s="14">
        <f t="shared" si="43"/>
        <v>285</v>
      </c>
      <c r="H456" s="7">
        <f t="shared" si="44"/>
        <v>1555.33</v>
      </c>
      <c r="I456" s="10">
        <f t="shared" si="45"/>
        <v>1311</v>
      </c>
      <c r="J456">
        <f t="shared" si="46"/>
        <v>1</v>
      </c>
      <c r="K456">
        <f t="shared" si="47"/>
        <v>244.32999999999993</v>
      </c>
      <c r="M456"/>
      <c r="N456"/>
      <c r="O456"/>
    </row>
    <row r="457" spans="1:15" x14ac:dyDescent="0.3">
      <c r="A457" s="7">
        <v>672</v>
      </c>
      <c r="B457">
        <v>14</v>
      </c>
      <c r="C457">
        <v>20</v>
      </c>
      <c r="D457">
        <v>5</v>
      </c>
      <c r="E457" t="s">
        <v>18</v>
      </c>
      <c r="F457" s="10">
        <f t="shared" si="42"/>
        <v>95</v>
      </c>
      <c r="G457" s="14">
        <f t="shared" si="43"/>
        <v>134.4</v>
      </c>
      <c r="H457" s="7">
        <f t="shared" si="44"/>
        <v>933.2</v>
      </c>
      <c r="I457" s="10">
        <f t="shared" si="45"/>
        <v>901.4</v>
      </c>
      <c r="J457">
        <f t="shared" si="46"/>
        <v>1</v>
      </c>
      <c r="K457">
        <f t="shared" si="47"/>
        <v>31.800000000000068</v>
      </c>
      <c r="M457"/>
      <c r="N457"/>
      <c r="O457"/>
    </row>
    <row r="458" spans="1:15" x14ac:dyDescent="0.3">
      <c r="A458" s="7">
        <v>315</v>
      </c>
      <c r="B458">
        <v>13</v>
      </c>
      <c r="C458">
        <v>15</v>
      </c>
      <c r="D458">
        <v>10</v>
      </c>
      <c r="E458" t="s">
        <v>16</v>
      </c>
      <c r="F458" s="10">
        <f t="shared" si="42"/>
        <v>41</v>
      </c>
      <c r="G458" s="14">
        <f t="shared" si="43"/>
        <v>47.25</v>
      </c>
      <c r="H458" s="7">
        <f t="shared" si="44"/>
        <v>466.6</v>
      </c>
      <c r="I458" s="10">
        <f t="shared" si="45"/>
        <v>403.25</v>
      </c>
      <c r="J458">
        <f t="shared" si="46"/>
        <v>1</v>
      </c>
      <c r="K458">
        <f t="shared" si="47"/>
        <v>63.350000000000023</v>
      </c>
      <c r="M458"/>
      <c r="N458"/>
      <c r="O458"/>
    </row>
    <row r="459" spans="1:15" x14ac:dyDescent="0.3">
      <c r="A459" s="7">
        <v>513</v>
      </c>
      <c r="B459">
        <v>2</v>
      </c>
      <c r="C459">
        <v>50</v>
      </c>
      <c r="D459">
        <v>10</v>
      </c>
      <c r="E459" t="s">
        <v>16</v>
      </c>
      <c r="F459" s="10">
        <f t="shared" si="42"/>
        <v>11</v>
      </c>
      <c r="G459" s="14">
        <f t="shared" si="43"/>
        <v>256.5</v>
      </c>
      <c r="H459" s="7">
        <f t="shared" si="44"/>
        <v>466.6</v>
      </c>
      <c r="I459" s="10">
        <f t="shared" si="45"/>
        <v>780.5</v>
      </c>
      <c r="J459">
        <f t="shared" si="46"/>
        <v>0</v>
      </c>
      <c r="K459">
        <f t="shared" si="47"/>
        <v>0</v>
      </c>
      <c r="M459"/>
      <c r="N459"/>
      <c r="O459"/>
    </row>
    <row r="460" spans="1:15" x14ac:dyDescent="0.3">
      <c r="A460" s="7">
        <v>417</v>
      </c>
      <c r="B460">
        <v>12</v>
      </c>
      <c r="C460">
        <v>0</v>
      </c>
      <c r="D460">
        <v>9</v>
      </c>
      <c r="E460" t="s">
        <v>16</v>
      </c>
      <c r="F460" s="10">
        <f t="shared" si="42"/>
        <v>51</v>
      </c>
      <c r="G460" s="14">
        <f t="shared" si="43"/>
        <v>0</v>
      </c>
      <c r="H460" s="7">
        <f t="shared" si="44"/>
        <v>518.44000000000005</v>
      </c>
      <c r="I460" s="10">
        <f t="shared" si="45"/>
        <v>468</v>
      </c>
      <c r="J460">
        <f t="shared" si="46"/>
        <v>1</v>
      </c>
      <c r="K460">
        <f t="shared" si="47"/>
        <v>50.440000000000055</v>
      </c>
      <c r="M460"/>
      <c r="N460"/>
      <c r="O460"/>
    </row>
    <row r="461" spans="1:15" x14ac:dyDescent="0.3">
      <c r="A461" s="7">
        <v>3485</v>
      </c>
      <c r="B461">
        <v>20</v>
      </c>
      <c r="C461">
        <v>25</v>
      </c>
      <c r="D461">
        <v>2</v>
      </c>
      <c r="E461" t="s">
        <v>16</v>
      </c>
      <c r="F461" s="10">
        <f t="shared" si="42"/>
        <v>697</v>
      </c>
      <c r="G461" s="14">
        <f t="shared" si="43"/>
        <v>871.25</v>
      </c>
      <c r="H461" s="7">
        <f t="shared" si="44"/>
        <v>2333</v>
      </c>
      <c r="I461" s="10">
        <f t="shared" si="45"/>
        <v>5053.25</v>
      </c>
      <c r="J461">
        <f t="shared" si="46"/>
        <v>0</v>
      </c>
      <c r="K461">
        <f t="shared" si="47"/>
        <v>0</v>
      </c>
      <c r="M461"/>
      <c r="N461"/>
      <c r="O461"/>
    </row>
    <row r="462" spans="1:15" x14ac:dyDescent="0.3">
      <c r="A462" s="7">
        <v>2165</v>
      </c>
      <c r="B462">
        <v>16</v>
      </c>
      <c r="C462">
        <v>0</v>
      </c>
      <c r="D462">
        <v>2</v>
      </c>
      <c r="E462" t="s">
        <v>20</v>
      </c>
      <c r="F462" s="10">
        <f t="shared" si="42"/>
        <v>347</v>
      </c>
      <c r="G462" s="14">
        <f t="shared" si="43"/>
        <v>0</v>
      </c>
      <c r="H462" s="7">
        <f t="shared" si="44"/>
        <v>2333</v>
      </c>
      <c r="I462" s="10">
        <f t="shared" si="45"/>
        <v>2512</v>
      </c>
      <c r="J462">
        <f t="shared" si="46"/>
        <v>0</v>
      </c>
      <c r="K462">
        <f t="shared" si="47"/>
        <v>0</v>
      </c>
      <c r="M462"/>
      <c r="N462"/>
      <c r="O462"/>
    </row>
    <row r="463" spans="1:15" x14ac:dyDescent="0.3">
      <c r="A463" s="7">
        <v>4870</v>
      </c>
      <c r="B463">
        <v>11</v>
      </c>
      <c r="C463">
        <v>0</v>
      </c>
      <c r="D463">
        <v>1</v>
      </c>
      <c r="E463" t="s">
        <v>17</v>
      </c>
      <c r="F463" s="10">
        <f t="shared" si="42"/>
        <v>536</v>
      </c>
      <c r="G463" s="14">
        <f t="shared" si="43"/>
        <v>0</v>
      </c>
      <c r="H463" s="7">
        <f t="shared" si="44"/>
        <v>4666</v>
      </c>
      <c r="I463" s="10">
        <f t="shared" si="45"/>
        <v>5406</v>
      </c>
      <c r="J463">
        <f t="shared" si="46"/>
        <v>0</v>
      </c>
      <c r="K463">
        <f t="shared" si="47"/>
        <v>0</v>
      </c>
      <c r="M463"/>
      <c r="N463"/>
      <c r="O463"/>
    </row>
    <row r="464" spans="1:15" x14ac:dyDescent="0.3">
      <c r="A464" s="7">
        <v>3820</v>
      </c>
      <c r="B464">
        <v>14</v>
      </c>
      <c r="C464">
        <v>25</v>
      </c>
      <c r="D464">
        <v>1</v>
      </c>
      <c r="E464" t="s">
        <v>15</v>
      </c>
      <c r="F464" s="10">
        <f t="shared" si="42"/>
        <v>535</v>
      </c>
      <c r="G464" s="14">
        <f t="shared" si="43"/>
        <v>955</v>
      </c>
      <c r="H464" s="7">
        <f t="shared" si="44"/>
        <v>4666</v>
      </c>
      <c r="I464" s="10">
        <f t="shared" si="45"/>
        <v>5310</v>
      </c>
      <c r="J464">
        <f t="shared" si="46"/>
        <v>0</v>
      </c>
      <c r="K464">
        <f t="shared" si="47"/>
        <v>0</v>
      </c>
      <c r="M464"/>
      <c r="N464"/>
      <c r="O464"/>
    </row>
    <row r="465" spans="1:15" x14ac:dyDescent="0.3">
      <c r="A465" s="7">
        <v>822</v>
      </c>
      <c r="B465">
        <v>7</v>
      </c>
      <c r="C465">
        <v>35</v>
      </c>
      <c r="D465">
        <v>6</v>
      </c>
      <c r="E465" t="s">
        <v>15</v>
      </c>
      <c r="F465" s="10">
        <f t="shared" si="42"/>
        <v>58</v>
      </c>
      <c r="G465" s="14">
        <f t="shared" si="43"/>
        <v>287.7</v>
      </c>
      <c r="H465" s="7">
        <f t="shared" si="44"/>
        <v>777.67</v>
      </c>
      <c r="I465" s="10">
        <f t="shared" si="45"/>
        <v>1167.7</v>
      </c>
      <c r="J465">
        <f t="shared" si="46"/>
        <v>0</v>
      </c>
      <c r="K465">
        <f t="shared" si="47"/>
        <v>0</v>
      </c>
      <c r="M465"/>
      <c r="N465"/>
      <c r="O465"/>
    </row>
    <row r="466" spans="1:15" x14ac:dyDescent="0.3">
      <c r="A466" s="7">
        <v>714</v>
      </c>
      <c r="B466">
        <v>2</v>
      </c>
      <c r="C466">
        <v>30</v>
      </c>
      <c r="D466">
        <v>7</v>
      </c>
      <c r="E466" t="s">
        <v>17</v>
      </c>
      <c r="F466" s="10">
        <f t="shared" si="42"/>
        <v>15</v>
      </c>
      <c r="G466" s="14">
        <f t="shared" si="43"/>
        <v>214.2</v>
      </c>
      <c r="H466" s="7">
        <f t="shared" si="44"/>
        <v>666.57</v>
      </c>
      <c r="I466" s="10">
        <f t="shared" si="45"/>
        <v>943.2</v>
      </c>
      <c r="J466">
        <f t="shared" si="46"/>
        <v>0</v>
      </c>
      <c r="K466">
        <f t="shared" si="47"/>
        <v>0</v>
      </c>
      <c r="M466"/>
      <c r="N466"/>
      <c r="O466"/>
    </row>
    <row r="467" spans="1:15" x14ac:dyDescent="0.3">
      <c r="A467" s="7">
        <v>3710</v>
      </c>
      <c r="B467">
        <v>2</v>
      </c>
      <c r="C467">
        <v>40</v>
      </c>
      <c r="D467">
        <v>1</v>
      </c>
      <c r="E467" t="s">
        <v>15</v>
      </c>
      <c r="F467" s="10">
        <f t="shared" si="42"/>
        <v>75</v>
      </c>
      <c r="G467" s="14">
        <f t="shared" si="43"/>
        <v>1484</v>
      </c>
      <c r="H467" s="7">
        <f t="shared" si="44"/>
        <v>4666</v>
      </c>
      <c r="I467" s="10">
        <f t="shared" si="45"/>
        <v>5269</v>
      </c>
      <c r="J467">
        <f t="shared" si="46"/>
        <v>0</v>
      </c>
      <c r="K467">
        <f t="shared" si="47"/>
        <v>0</v>
      </c>
      <c r="M467"/>
      <c r="N467"/>
      <c r="O467"/>
    </row>
    <row r="468" spans="1:15" x14ac:dyDescent="0.3">
      <c r="A468" s="7">
        <v>474</v>
      </c>
      <c r="B468">
        <v>13</v>
      </c>
      <c r="C468">
        <v>40</v>
      </c>
      <c r="D468">
        <v>7</v>
      </c>
      <c r="E468" t="s">
        <v>20</v>
      </c>
      <c r="F468" s="10">
        <f t="shared" si="42"/>
        <v>62</v>
      </c>
      <c r="G468" s="14">
        <f t="shared" si="43"/>
        <v>189.6</v>
      </c>
      <c r="H468" s="7">
        <f t="shared" si="44"/>
        <v>666.57</v>
      </c>
      <c r="I468" s="10">
        <f t="shared" si="45"/>
        <v>725.6</v>
      </c>
      <c r="J468">
        <f t="shared" si="46"/>
        <v>0</v>
      </c>
      <c r="K468">
        <f t="shared" si="47"/>
        <v>0</v>
      </c>
      <c r="M468"/>
      <c r="N468"/>
      <c r="O468"/>
    </row>
    <row r="469" spans="1:15" x14ac:dyDescent="0.3">
      <c r="A469" s="7">
        <v>3220</v>
      </c>
      <c r="B469">
        <v>12</v>
      </c>
      <c r="C469">
        <v>40</v>
      </c>
      <c r="D469">
        <v>1</v>
      </c>
      <c r="E469" t="s">
        <v>15</v>
      </c>
      <c r="F469" s="10">
        <f t="shared" si="42"/>
        <v>387</v>
      </c>
      <c r="G469" s="14">
        <f t="shared" si="43"/>
        <v>1288</v>
      </c>
      <c r="H469" s="7">
        <f t="shared" si="44"/>
        <v>4666</v>
      </c>
      <c r="I469" s="10">
        <f t="shared" si="45"/>
        <v>4895</v>
      </c>
      <c r="J469">
        <f t="shared" si="46"/>
        <v>0</v>
      </c>
      <c r="K469">
        <f t="shared" si="47"/>
        <v>0</v>
      </c>
      <c r="M469"/>
      <c r="N469"/>
      <c r="O469"/>
    </row>
    <row r="470" spans="1:15" x14ac:dyDescent="0.3">
      <c r="A470" s="7">
        <v>6270</v>
      </c>
      <c r="B470">
        <v>14</v>
      </c>
      <c r="C470">
        <v>5</v>
      </c>
      <c r="D470">
        <v>1</v>
      </c>
      <c r="E470" t="s">
        <v>21</v>
      </c>
      <c r="F470" s="10">
        <f t="shared" si="42"/>
        <v>878</v>
      </c>
      <c r="G470" s="14">
        <f t="shared" si="43"/>
        <v>313.5</v>
      </c>
      <c r="H470" s="7">
        <f t="shared" si="44"/>
        <v>4666</v>
      </c>
      <c r="I470" s="10">
        <f t="shared" si="45"/>
        <v>7461.5</v>
      </c>
      <c r="J470">
        <f t="shared" si="46"/>
        <v>0</v>
      </c>
      <c r="K470">
        <f t="shared" si="47"/>
        <v>0</v>
      </c>
      <c r="M470"/>
      <c r="N470"/>
      <c r="O470"/>
    </row>
    <row r="471" spans="1:15" x14ac:dyDescent="0.3">
      <c r="A471" s="7">
        <v>773</v>
      </c>
      <c r="B471">
        <v>12</v>
      </c>
      <c r="C471">
        <v>30</v>
      </c>
      <c r="D471">
        <v>8</v>
      </c>
      <c r="E471" t="s">
        <v>15</v>
      </c>
      <c r="F471" s="10">
        <f t="shared" si="42"/>
        <v>93</v>
      </c>
      <c r="G471" s="14">
        <f t="shared" si="43"/>
        <v>231.9</v>
      </c>
      <c r="H471" s="7">
        <f t="shared" si="44"/>
        <v>583.25</v>
      </c>
      <c r="I471" s="10">
        <f t="shared" si="45"/>
        <v>1097.9000000000001</v>
      </c>
      <c r="J471">
        <f t="shared" si="46"/>
        <v>0</v>
      </c>
      <c r="K471">
        <f t="shared" si="47"/>
        <v>0</v>
      </c>
      <c r="M471"/>
      <c r="N471"/>
      <c r="O471"/>
    </row>
    <row r="472" spans="1:15" x14ac:dyDescent="0.3">
      <c r="A472" s="7">
        <v>590</v>
      </c>
      <c r="B472">
        <v>0</v>
      </c>
      <c r="C472">
        <v>45</v>
      </c>
      <c r="D472">
        <v>10</v>
      </c>
      <c r="E472" t="s">
        <v>21</v>
      </c>
      <c r="F472" s="10">
        <f t="shared" si="42"/>
        <v>0</v>
      </c>
      <c r="G472" s="14">
        <f t="shared" si="43"/>
        <v>265.5</v>
      </c>
      <c r="H472" s="7">
        <f t="shared" si="44"/>
        <v>466.6</v>
      </c>
      <c r="I472" s="10">
        <f t="shared" si="45"/>
        <v>855.5</v>
      </c>
      <c r="J472">
        <f t="shared" si="46"/>
        <v>0</v>
      </c>
      <c r="K472">
        <f t="shared" si="47"/>
        <v>0</v>
      </c>
      <c r="M472"/>
      <c r="N472"/>
      <c r="O472"/>
    </row>
    <row r="473" spans="1:15" x14ac:dyDescent="0.3">
      <c r="A473" s="7">
        <v>569</v>
      </c>
      <c r="B473">
        <v>2</v>
      </c>
      <c r="C473">
        <v>20</v>
      </c>
      <c r="D473">
        <v>10</v>
      </c>
      <c r="E473" t="s">
        <v>17</v>
      </c>
      <c r="F473" s="10">
        <f t="shared" si="42"/>
        <v>12</v>
      </c>
      <c r="G473" s="14">
        <f t="shared" si="43"/>
        <v>113.8</v>
      </c>
      <c r="H473" s="7">
        <f t="shared" si="44"/>
        <v>466.6</v>
      </c>
      <c r="I473" s="10">
        <f t="shared" si="45"/>
        <v>694.8</v>
      </c>
      <c r="J473">
        <f t="shared" si="46"/>
        <v>0</v>
      </c>
      <c r="K473">
        <f t="shared" si="47"/>
        <v>0</v>
      </c>
      <c r="M473"/>
      <c r="N473"/>
      <c r="O473"/>
    </row>
    <row r="474" spans="1:15" x14ac:dyDescent="0.3">
      <c r="A474" s="7">
        <v>3730</v>
      </c>
      <c r="B474">
        <v>17</v>
      </c>
      <c r="C474">
        <v>40</v>
      </c>
      <c r="D474">
        <v>1</v>
      </c>
      <c r="E474" t="s">
        <v>17</v>
      </c>
      <c r="F474" s="10">
        <f t="shared" si="42"/>
        <v>635</v>
      </c>
      <c r="G474" s="14">
        <f t="shared" si="43"/>
        <v>1492</v>
      </c>
      <c r="H474" s="7">
        <f t="shared" si="44"/>
        <v>4666</v>
      </c>
      <c r="I474" s="10">
        <f t="shared" si="45"/>
        <v>5857</v>
      </c>
      <c r="J474">
        <f t="shared" si="46"/>
        <v>0</v>
      </c>
      <c r="K474">
        <f t="shared" si="47"/>
        <v>0</v>
      </c>
      <c r="M474"/>
      <c r="N474"/>
      <c r="O474"/>
    </row>
    <row r="475" spans="1:15" x14ac:dyDescent="0.3">
      <c r="A475" s="7">
        <v>3160</v>
      </c>
      <c r="B475">
        <v>11</v>
      </c>
      <c r="C475">
        <v>20</v>
      </c>
      <c r="D475">
        <v>1</v>
      </c>
      <c r="E475" t="s">
        <v>16</v>
      </c>
      <c r="F475" s="10">
        <f t="shared" si="42"/>
        <v>348</v>
      </c>
      <c r="G475" s="14">
        <f t="shared" si="43"/>
        <v>632</v>
      </c>
      <c r="H475" s="7">
        <f t="shared" si="44"/>
        <v>4666</v>
      </c>
      <c r="I475" s="10">
        <f t="shared" si="45"/>
        <v>4140</v>
      </c>
      <c r="J475">
        <f t="shared" si="46"/>
        <v>1</v>
      </c>
      <c r="K475">
        <f t="shared" si="47"/>
        <v>526</v>
      </c>
      <c r="M475"/>
      <c r="N475"/>
      <c r="O475"/>
    </row>
    <row r="476" spans="1:15" x14ac:dyDescent="0.3">
      <c r="A476" s="7">
        <v>596</v>
      </c>
      <c r="B476">
        <v>6</v>
      </c>
      <c r="C476">
        <v>25</v>
      </c>
      <c r="D476">
        <v>7</v>
      </c>
      <c r="E476" t="s">
        <v>19</v>
      </c>
      <c r="F476" s="10">
        <f t="shared" si="42"/>
        <v>36</v>
      </c>
      <c r="G476" s="14">
        <f t="shared" si="43"/>
        <v>149</v>
      </c>
      <c r="H476" s="7">
        <f t="shared" si="44"/>
        <v>666.57</v>
      </c>
      <c r="I476" s="10">
        <f t="shared" si="45"/>
        <v>781</v>
      </c>
      <c r="J476">
        <f t="shared" si="46"/>
        <v>0</v>
      </c>
      <c r="K476">
        <f t="shared" si="47"/>
        <v>0</v>
      </c>
      <c r="M476"/>
      <c r="N476"/>
      <c r="O476"/>
    </row>
    <row r="477" spans="1:15" x14ac:dyDescent="0.3">
      <c r="A477" s="7">
        <v>6170</v>
      </c>
      <c r="B477">
        <v>14</v>
      </c>
      <c r="C477">
        <v>20</v>
      </c>
      <c r="D477">
        <v>1</v>
      </c>
      <c r="E477" t="s">
        <v>18</v>
      </c>
      <c r="F477" s="10">
        <f t="shared" si="42"/>
        <v>864</v>
      </c>
      <c r="G477" s="14">
        <f t="shared" si="43"/>
        <v>1234</v>
      </c>
      <c r="H477" s="7">
        <f t="shared" si="44"/>
        <v>4666</v>
      </c>
      <c r="I477" s="10">
        <f t="shared" si="45"/>
        <v>8268</v>
      </c>
      <c r="J477">
        <f t="shared" si="46"/>
        <v>0</v>
      </c>
      <c r="K477">
        <f t="shared" si="47"/>
        <v>0</v>
      </c>
      <c r="M477"/>
      <c r="N477"/>
      <c r="O477"/>
    </row>
    <row r="478" spans="1:15" x14ac:dyDescent="0.3">
      <c r="A478" s="7">
        <v>1300</v>
      </c>
      <c r="B478">
        <v>14</v>
      </c>
      <c r="C478">
        <v>40</v>
      </c>
      <c r="D478">
        <v>4</v>
      </c>
      <c r="E478" t="s">
        <v>20</v>
      </c>
      <c r="F478" s="10">
        <f t="shared" si="42"/>
        <v>182</v>
      </c>
      <c r="G478" s="14">
        <f t="shared" si="43"/>
        <v>520</v>
      </c>
      <c r="H478" s="7">
        <f t="shared" si="44"/>
        <v>1166.5</v>
      </c>
      <c r="I478" s="10">
        <f t="shared" si="45"/>
        <v>2002</v>
      </c>
      <c r="J478">
        <f t="shared" si="46"/>
        <v>0</v>
      </c>
      <c r="K478">
        <f t="shared" si="47"/>
        <v>0</v>
      </c>
      <c r="M478"/>
      <c r="N478"/>
      <c r="O478"/>
    </row>
    <row r="479" spans="1:15" x14ac:dyDescent="0.3">
      <c r="A479" s="7">
        <v>345</v>
      </c>
      <c r="B479">
        <v>7</v>
      </c>
      <c r="C479">
        <v>10</v>
      </c>
      <c r="D479">
        <v>10</v>
      </c>
      <c r="E479" t="s">
        <v>20</v>
      </c>
      <c r="F479" s="10">
        <f t="shared" si="42"/>
        <v>25</v>
      </c>
      <c r="G479" s="14">
        <f t="shared" si="43"/>
        <v>34.5</v>
      </c>
      <c r="H479" s="7">
        <f t="shared" si="44"/>
        <v>466.6</v>
      </c>
      <c r="I479" s="10">
        <f t="shared" si="45"/>
        <v>404.5</v>
      </c>
      <c r="J479">
        <f t="shared" si="46"/>
        <v>1</v>
      </c>
      <c r="K479">
        <f t="shared" si="47"/>
        <v>62.100000000000023</v>
      </c>
      <c r="M479"/>
      <c r="N479"/>
      <c r="O479"/>
    </row>
    <row r="480" spans="1:15" x14ac:dyDescent="0.3">
      <c r="A480" s="7">
        <v>1623</v>
      </c>
      <c r="B480">
        <v>6</v>
      </c>
      <c r="C480">
        <v>35</v>
      </c>
      <c r="D480">
        <v>4</v>
      </c>
      <c r="E480" t="s">
        <v>17</v>
      </c>
      <c r="F480" s="10">
        <f t="shared" si="42"/>
        <v>98</v>
      </c>
      <c r="G480" s="14">
        <f t="shared" si="43"/>
        <v>568.04999999999995</v>
      </c>
      <c r="H480" s="7">
        <f t="shared" si="44"/>
        <v>1166.5</v>
      </c>
      <c r="I480" s="10">
        <f t="shared" si="45"/>
        <v>2289.0500000000002</v>
      </c>
      <c r="J480">
        <f t="shared" si="46"/>
        <v>0</v>
      </c>
      <c r="K480">
        <f t="shared" si="47"/>
        <v>0</v>
      </c>
      <c r="M480"/>
      <c r="N480"/>
      <c r="O480"/>
    </row>
    <row r="481" spans="1:15" x14ac:dyDescent="0.3">
      <c r="A481" s="7">
        <v>6450</v>
      </c>
      <c r="B481">
        <v>3</v>
      </c>
      <c r="C481">
        <v>25</v>
      </c>
      <c r="D481">
        <v>1</v>
      </c>
      <c r="E481" t="s">
        <v>21</v>
      </c>
      <c r="F481" s="10">
        <f t="shared" si="42"/>
        <v>194</v>
      </c>
      <c r="G481" s="14">
        <f t="shared" si="43"/>
        <v>1612.5</v>
      </c>
      <c r="H481" s="7">
        <f t="shared" si="44"/>
        <v>4666</v>
      </c>
      <c r="I481" s="10">
        <f t="shared" si="45"/>
        <v>8256.5</v>
      </c>
      <c r="J481">
        <f t="shared" si="46"/>
        <v>0</v>
      </c>
      <c r="K481">
        <f t="shared" si="47"/>
        <v>0</v>
      </c>
      <c r="M481"/>
      <c r="N481"/>
      <c r="O481"/>
    </row>
    <row r="482" spans="1:15" x14ac:dyDescent="0.3">
      <c r="A482" s="7">
        <v>6140</v>
      </c>
      <c r="B482">
        <v>19</v>
      </c>
      <c r="C482">
        <v>45</v>
      </c>
      <c r="D482">
        <v>1</v>
      </c>
      <c r="E482" t="s">
        <v>20</v>
      </c>
      <c r="F482" s="10">
        <f t="shared" si="42"/>
        <v>1167</v>
      </c>
      <c r="G482" s="14">
        <f t="shared" si="43"/>
        <v>2763</v>
      </c>
      <c r="H482" s="7">
        <f t="shared" si="44"/>
        <v>4666</v>
      </c>
      <c r="I482" s="10">
        <f t="shared" si="45"/>
        <v>10070</v>
      </c>
      <c r="J482">
        <f t="shared" si="46"/>
        <v>0</v>
      </c>
      <c r="K482">
        <f t="shared" si="47"/>
        <v>0</v>
      </c>
      <c r="M482"/>
      <c r="N482"/>
      <c r="O482"/>
    </row>
    <row r="483" spans="1:15" x14ac:dyDescent="0.3">
      <c r="A483" s="7">
        <v>1640</v>
      </c>
      <c r="B483">
        <v>5</v>
      </c>
      <c r="C483">
        <v>15</v>
      </c>
      <c r="D483">
        <v>4</v>
      </c>
      <c r="E483" t="s">
        <v>21</v>
      </c>
      <c r="F483" s="10">
        <f t="shared" si="42"/>
        <v>82</v>
      </c>
      <c r="G483" s="14">
        <f t="shared" si="43"/>
        <v>246</v>
      </c>
      <c r="H483" s="7">
        <f t="shared" si="44"/>
        <v>1166.5</v>
      </c>
      <c r="I483" s="10">
        <f t="shared" si="45"/>
        <v>1968</v>
      </c>
      <c r="J483">
        <f t="shared" si="46"/>
        <v>0</v>
      </c>
      <c r="K483">
        <f t="shared" si="47"/>
        <v>0</v>
      </c>
      <c r="M483"/>
      <c r="N483"/>
      <c r="O483"/>
    </row>
    <row r="484" spans="1:15" x14ac:dyDescent="0.3">
      <c r="A484" s="7">
        <v>610</v>
      </c>
      <c r="B484">
        <v>11</v>
      </c>
      <c r="C484">
        <v>35</v>
      </c>
      <c r="D484">
        <v>10</v>
      </c>
      <c r="E484" t="s">
        <v>19</v>
      </c>
      <c r="F484" s="10">
        <f t="shared" si="42"/>
        <v>68</v>
      </c>
      <c r="G484" s="14">
        <f t="shared" si="43"/>
        <v>213.5</v>
      </c>
      <c r="H484" s="7">
        <f t="shared" si="44"/>
        <v>466.6</v>
      </c>
      <c r="I484" s="10">
        <f t="shared" si="45"/>
        <v>891.5</v>
      </c>
      <c r="J484">
        <f t="shared" si="46"/>
        <v>0</v>
      </c>
      <c r="K484">
        <f t="shared" si="47"/>
        <v>0</v>
      </c>
      <c r="M484"/>
      <c r="N484"/>
      <c r="O484"/>
    </row>
    <row r="485" spans="1:15" x14ac:dyDescent="0.3">
      <c r="A485" s="7">
        <v>531</v>
      </c>
      <c r="B485">
        <v>18</v>
      </c>
      <c r="C485">
        <v>30</v>
      </c>
      <c r="D485">
        <v>10</v>
      </c>
      <c r="E485" t="s">
        <v>17</v>
      </c>
      <c r="F485" s="10">
        <f t="shared" si="42"/>
        <v>96</v>
      </c>
      <c r="G485" s="14">
        <f t="shared" si="43"/>
        <v>159.30000000000001</v>
      </c>
      <c r="H485" s="7">
        <f t="shared" si="44"/>
        <v>466.6</v>
      </c>
      <c r="I485" s="10">
        <f t="shared" si="45"/>
        <v>786.3</v>
      </c>
      <c r="J485">
        <f t="shared" si="46"/>
        <v>0</v>
      </c>
      <c r="K485">
        <f t="shared" si="47"/>
        <v>0</v>
      </c>
      <c r="M485"/>
      <c r="N485"/>
      <c r="O485"/>
    </row>
    <row r="486" spans="1:15" x14ac:dyDescent="0.3">
      <c r="A486" s="7">
        <v>588</v>
      </c>
      <c r="B486">
        <v>14</v>
      </c>
      <c r="C486">
        <v>20</v>
      </c>
      <c r="D486">
        <v>5</v>
      </c>
      <c r="E486" t="s">
        <v>16</v>
      </c>
      <c r="F486" s="10">
        <f t="shared" si="42"/>
        <v>83</v>
      </c>
      <c r="G486" s="14">
        <f t="shared" si="43"/>
        <v>117.6</v>
      </c>
      <c r="H486" s="7">
        <f t="shared" si="44"/>
        <v>933.2</v>
      </c>
      <c r="I486" s="10">
        <f t="shared" si="45"/>
        <v>788.6</v>
      </c>
      <c r="J486">
        <f t="shared" si="46"/>
        <v>1</v>
      </c>
      <c r="K486">
        <f t="shared" si="47"/>
        <v>144.60000000000002</v>
      </c>
      <c r="M486"/>
      <c r="N486"/>
      <c r="O486"/>
    </row>
    <row r="487" spans="1:15" x14ac:dyDescent="0.3">
      <c r="A487" s="7">
        <v>4630</v>
      </c>
      <c r="B487">
        <v>18</v>
      </c>
      <c r="C487">
        <v>25</v>
      </c>
      <c r="D487">
        <v>1</v>
      </c>
      <c r="E487" t="s">
        <v>16</v>
      </c>
      <c r="F487" s="10">
        <f t="shared" si="42"/>
        <v>834</v>
      </c>
      <c r="G487" s="14">
        <f t="shared" si="43"/>
        <v>1157.5</v>
      </c>
      <c r="H487" s="7">
        <f t="shared" si="44"/>
        <v>4666</v>
      </c>
      <c r="I487" s="10">
        <f t="shared" si="45"/>
        <v>6621.5</v>
      </c>
      <c r="J487">
        <f t="shared" si="46"/>
        <v>0</v>
      </c>
      <c r="K487">
        <f t="shared" si="47"/>
        <v>0</v>
      </c>
      <c r="M487"/>
      <c r="N487"/>
      <c r="O487"/>
    </row>
    <row r="488" spans="1:15" x14ac:dyDescent="0.3">
      <c r="A488" s="7">
        <v>669.9</v>
      </c>
      <c r="B488">
        <v>6</v>
      </c>
      <c r="C488">
        <v>0</v>
      </c>
      <c r="D488">
        <v>9</v>
      </c>
      <c r="E488" t="s">
        <v>16</v>
      </c>
      <c r="F488" s="10">
        <f t="shared" si="42"/>
        <v>41</v>
      </c>
      <c r="G488" s="14">
        <f t="shared" si="43"/>
        <v>0</v>
      </c>
      <c r="H488" s="7">
        <f t="shared" si="44"/>
        <v>518.44000000000005</v>
      </c>
      <c r="I488" s="10">
        <f t="shared" si="45"/>
        <v>710.9</v>
      </c>
      <c r="J488">
        <f t="shared" si="46"/>
        <v>0</v>
      </c>
      <c r="K488">
        <f t="shared" si="47"/>
        <v>0</v>
      </c>
      <c r="M488"/>
      <c r="N488"/>
      <c r="O488"/>
    </row>
    <row r="489" spans="1:15" x14ac:dyDescent="0.3">
      <c r="A489" s="7">
        <v>4250</v>
      </c>
      <c r="B489">
        <v>19</v>
      </c>
      <c r="C489">
        <v>35</v>
      </c>
      <c r="D489">
        <v>1</v>
      </c>
      <c r="E489" t="s">
        <v>21</v>
      </c>
      <c r="F489" s="10">
        <f t="shared" si="42"/>
        <v>808</v>
      </c>
      <c r="G489" s="14">
        <f t="shared" si="43"/>
        <v>1487.5</v>
      </c>
      <c r="H489" s="7">
        <f t="shared" si="44"/>
        <v>4666</v>
      </c>
      <c r="I489" s="10">
        <f t="shared" si="45"/>
        <v>6545.5</v>
      </c>
      <c r="J489">
        <f t="shared" si="46"/>
        <v>0</v>
      </c>
      <c r="K489">
        <f t="shared" si="47"/>
        <v>0</v>
      </c>
      <c r="M489"/>
      <c r="N489"/>
      <c r="O489"/>
    </row>
    <row r="490" spans="1:15" x14ac:dyDescent="0.3">
      <c r="A490" s="7">
        <v>5970</v>
      </c>
      <c r="B490">
        <v>5</v>
      </c>
      <c r="C490">
        <v>20</v>
      </c>
      <c r="D490">
        <v>1</v>
      </c>
      <c r="E490" t="s">
        <v>20</v>
      </c>
      <c r="F490" s="10">
        <f t="shared" si="42"/>
        <v>299</v>
      </c>
      <c r="G490" s="14">
        <f t="shared" si="43"/>
        <v>1194</v>
      </c>
      <c r="H490" s="7">
        <f t="shared" si="44"/>
        <v>4666</v>
      </c>
      <c r="I490" s="10">
        <f t="shared" si="45"/>
        <v>7463</v>
      </c>
      <c r="J490">
        <f t="shared" si="46"/>
        <v>0</v>
      </c>
      <c r="K490">
        <f t="shared" si="47"/>
        <v>0</v>
      </c>
      <c r="M490"/>
      <c r="N490"/>
      <c r="O490"/>
    </row>
    <row r="491" spans="1:15" x14ac:dyDescent="0.3">
      <c r="A491" s="7">
        <v>386</v>
      </c>
      <c r="B491">
        <v>14</v>
      </c>
      <c r="C491">
        <v>15</v>
      </c>
      <c r="D491">
        <v>10</v>
      </c>
      <c r="E491" t="s">
        <v>16</v>
      </c>
      <c r="F491" s="10">
        <f t="shared" si="42"/>
        <v>55</v>
      </c>
      <c r="G491" s="14">
        <f t="shared" si="43"/>
        <v>57.9</v>
      </c>
      <c r="H491" s="7">
        <f t="shared" si="44"/>
        <v>466.6</v>
      </c>
      <c r="I491" s="10">
        <f t="shared" si="45"/>
        <v>498.9</v>
      </c>
      <c r="J491">
        <f t="shared" si="46"/>
        <v>0</v>
      </c>
      <c r="K491">
        <f t="shared" si="47"/>
        <v>0</v>
      </c>
      <c r="M491"/>
      <c r="N491"/>
      <c r="O491"/>
    </row>
    <row r="492" spans="1:15" x14ac:dyDescent="0.3">
      <c r="A492" s="7">
        <v>510</v>
      </c>
      <c r="B492">
        <v>8</v>
      </c>
      <c r="C492">
        <v>20</v>
      </c>
      <c r="D492">
        <v>10</v>
      </c>
      <c r="E492" t="s">
        <v>17</v>
      </c>
      <c r="F492" s="10">
        <f t="shared" si="42"/>
        <v>41</v>
      </c>
      <c r="G492" s="14">
        <f t="shared" si="43"/>
        <v>102</v>
      </c>
      <c r="H492" s="7">
        <f t="shared" si="44"/>
        <v>466.6</v>
      </c>
      <c r="I492" s="10">
        <f t="shared" si="45"/>
        <v>653</v>
      </c>
      <c r="J492">
        <f t="shared" si="46"/>
        <v>0</v>
      </c>
      <c r="K492">
        <f t="shared" si="47"/>
        <v>0</v>
      </c>
      <c r="M492"/>
      <c r="N492"/>
      <c r="O492"/>
    </row>
    <row r="493" spans="1:15" x14ac:dyDescent="0.3">
      <c r="A493" s="7">
        <v>4490</v>
      </c>
      <c r="B493">
        <v>1</v>
      </c>
      <c r="C493">
        <v>5</v>
      </c>
      <c r="D493">
        <v>1</v>
      </c>
      <c r="E493" t="s">
        <v>18</v>
      </c>
      <c r="F493" s="10">
        <f t="shared" si="42"/>
        <v>45</v>
      </c>
      <c r="G493" s="14">
        <f t="shared" si="43"/>
        <v>224.5</v>
      </c>
      <c r="H493" s="7">
        <f t="shared" si="44"/>
        <v>4666</v>
      </c>
      <c r="I493" s="10">
        <f t="shared" si="45"/>
        <v>4759.5</v>
      </c>
      <c r="J493">
        <f t="shared" si="46"/>
        <v>0</v>
      </c>
      <c r="K493">
        <f t="shared" si="47"/>
        <v>0</v>
      </c>
      <c r="M493"/>
      <c r="N493"/>
      <c r="O493"/>
    </row>
    <row r="494" spans="1:15" x14ac:dyDescent="0.3">
      <c r="A494" s="7">
        <v>6880</v>
      </c>
      <c r="B494">
        <v>0</v>
      </c>
      <c r="C494">
        <v>40</v>
      </c>
      <c r="D494">
        <v>1</v>
      </c>
      <c r="E494" t="s">
        <v>19</v>
      </c>
      <c r="F494" s="10">
        <f t="shared" si="42"/>
        <v>0</v>
      </c>
      <c r="G494" s="14">
        <f t="shared" si="43"/>
        <v>2752</v>
      </c>
      <c r="H494" s="7">
        <f t="shared" si="44"/>
        <v>4666</v>
      </c>
      <c r="I494" s="10">
        <f t="shared" si="45"/>
        <v>9632</v>
      </c>
      <c r="J494">
        <f t="shared" si="46"/>
        <v>0</v>
      </c>
      <c r="K494">
        <f t="shared" si="47"/>
        <v>0</v>
      </c>
      <c r="M494"/>
      <c r="N494"/>
      <c r="O494"/>
    </row>
    <row r="495" spans="1:15" x14ac:dyDescent="0.3">
      <c r="A495" s="7">
        <v>1208</v>
      </c>
      <c r="B495">
        <v>15</v>
      </c>
      <c r="C495">
        <v>0</v>
      </c>
      <c r="D495">
        <v>4</v>
      </c>
      <c r="E495" t="s">
        <v>20</v>
      </c>
      <c r="F495" s="10">
        <f t="shared" si="42"/>
        <v>182</v>
      </c>
      <c r="G495" s="14">
        <f t="shared" si="43"/>
        <v>0</v>
      </c>
      <c r="H495" s="7">
        <f t="shared" si="44"/>
        <v>1166.5</v>
      </c>
      <c r="I495" s="10">
        <f t="shared" si="45"/>
        <v>1390</v>
      </c>
      <c r="J495">
        <f t="shared" si="46"/>
        <v>0</v>
      </c>
      <c r="K495">
        <f t="shared" si="47"/>
        <v>0</v>
      </c>
      <c r="M495"/>
      <c r="N495"/>
      <c r="O495"/>
    </row>
    <row r="496" spans="1:15" x14ac:dyDescent="0.3">
      <c r="A496" s="7">
        <v>5100</v>
      </c>
      <c r="B496">
        <v>13</v>
      </c>
      <c r="C496">
        <v>45</v>
      </c>
      <c r="D496">
        <v>1</v>
      </c>
      <c r="E496" t="s">
        <v>17</v>
      </c>
      <c r="F496" s="10">
        <f t="shared" si="42"/>
        <v>663</v>
      </c>
      <c r="G496" s="14">
        <f t="shared" si="43"/>
        <v>2295</v>
      </c>
      <c r="H496" s="7">
        <f t="shared" si="44"/>
        <v>4666</v>
      </c>
      <c r="I496" s="10">
        <f t="shared" si="45"/>
        <v>8058</v>
      </c>
      <c r="J496">
        <f t="shared" si="46"/>
        <v>0</v>
      </c>
      <c r="K496">
        <f t="shared" si="47"/>
        <v>0</v>
      </c>
      <c r="M496"/>
      <c r="N496"/>
      <c r="O496"/>
    </row>
    <row r="497" spans="1:15" x14ac:dyDescent="0.3">
      <c r="A497" s="7">
        <v>900</v>
      </c>
      <c r="B497">
        <v>0</v>
      </c>
      <c r="C497">
        <v>40</v>
      </c>
      <c r="D497">
        <v>7</v>
      </c>
      <c r="E497" t="s">
        <v>18</v>
      </c>
      <c r="F497" s="10">
        <f t="shared" si="42"/>
        <v>0</v>
      </c>
      <c r="G497" s="14">
        <f t="shared" si="43"/>
        <v>360</v>
      </c>
      <c r="H497" s="7">
        <f t="shared" si="44"/>
        <v>666.57</v>
      </c>
      <c r="I497" s="10">
        <f t="shared" si="45"/>
        <v>1260</v>
      </c>
      <c r="J497">
        <f t="shared" si="46"/>
        <v>0</v>
      </c>
      <c r="K497">
        <f t="shared" si="47"/>
        <v>0</v>
      </c>
      <c r="M497"/>
      <c r="N497"/>
      <c r="O497"/>
    </row>
    <row r="498" spans="1:15" x14ac:dyDescent="0.3">
      <c r="A498" s="7">
        <v>911</v>
      </c>
      <c r="B498">
        <v>5</v>
      </c>
      <c r="C498">
        <v>10</v>
      </c>
      <c r="D498">
        <v>7</v>
      </c>
      <c r="E498" t="s">
        <v>20</v>
      </c>
      <c r="F498" s="10">
        <f t="shared" si="42"/>
        <v>46</v>
      </c>
      <c r="G498" s="14">
        <f t="shared" si="43"/>
        <v>91.1</v>
      </c>
      <c r="H498" s="7">
        <f t="shared" si="44"/>
        <v>666.57</v>
      </c>
      <c r="I498" s="10">
        <f t="shared" si="45"/>
        <v>1048.0999999999999</v>
      </c>
      <c r="J498">
        <f t="shared" si="46"/>
        <v>0</v>
      </c>
      <c r="K498">
        <f t="shared" si="47"/>
        <v>0</v>
      </c>
      <c r="M498"/>
      <c r="N498"/>
      <c r="O498"/>
    </row>
    <row r="499" spans="1:15" x14ac:dyDescent="0.3">
      <c r="A499" s="7">
        <v>463</v>
      </c>
      <c r="B499">
        <v>8</v>
      </c>
      <c r="C499">
        <v>20</v>
      </c>
      <c r="D499">
        <v>7</v>
      </c>
      <c r="E499" t="s">
        <v>16</v>
      </c>
      <c r="F499" s="10">
        <f t="shared" si="42"/>
        <v>38</v>
      </c>
      <c r="G499" s="14">
        <f t="shared" si="43"/>
        <v>92.6</v>
      </c>
      <c r="H499" s="7">
        <f t="shared" si="44"/>
        <v>666.57</v>
      </c>
      <c r="I499" s="10">
        <f t="shared" si="45"/>
        <v>593.6</v>
      </c>
      <c r="J499">
        <f t="shared" si="46"/>
        <v>1</v>
      </c>
      <c r="K499">
        <f t="shared" si="47"/>
        <v>72.970000000000027</v>
      </c>
      <c r="M499"/>
      <c r="N499"/>
      <c r="O499"/>
    </row>
    <row r="500" spans="1:15" x14ac:dyDescent="0.3">
      <c r="A500" s="7">
        <v>641.20000000000005</v>
      </c>
      <c r="B500">
        <v>12</v>
      </c>
      <c r="C500">
        <v>14</v>
      </c>
      <c r="D500">
        <v>6</v>
      </c>
      <c r="E500" t="s">
        <v>19</v>
      </c>
      <c r="F500" s="10">
        <f t="shared" si="42"/>
        <v>77</v>
      </c>
      <c r="G500" s="14">
        <f t="shared" si="43"/>
        <v>89.77</v>
      </c>
      <c r="H500" s="7">
        <f t="shared" si="44"/>
        <v>777.67</v>
      </c>
      <c r="I500" s="10">
        <f t="shared" si="45"/>
        <v>807.97</v>
      </c>
      <c r="J500">
        <f t="shared" si="46"/>
        <v>0</v>
      </c>
      <c r="K500">
        <f t="shared" si="47"/>
        <v>0</v>
      </c>
      <c r="M500"/>
      <c r="N500"/>
      <c r="O500"/>
    </row>
    <row r="501" spans="1:15" x14ac:dyDescent="0.3">
      <c r="A501" s="7">
        <v>550</v>
      </c>
      <c r="B501">
        <v>14</v>
      </c>
      <c r="C501">
        <v>45</v>
      </c>
      <c r="D501">
        <v>7</v>
      </c>
      <c r="E501" t="s">
        <v>21</v>
      </c>
      <c r="F501" s="10">
        <f t="shared" si="42"/>
        <v>77</v>
      </c>
      <c r="G501" s="14">
        <f t="shared" si="43"/>
        <v>247.5</v>
      </c>
      <c r="H501" s="7">
        <f t="shared" si="44"/>
        <v>666.57</v>
      </c>
      <c r="I501" s="10">
        <f t="shared" si="45"/>
        <v>874.5</v>
      </c>
      <c r="J501">
        <f t="shared" si="46"/>
        <v>0</v>
      </c>
      <c r="K501">
        <f t="shared" si="47"/>
        <v>0</v>
      </c>
      <c r="M501"/>
      <c r="N501"/>
      <c r="O501"/>
    </row>
    <row r="502" spans="1:15" x14ac:dyDescent="0.3">
      <c r="M502"/>
      <c r="N502"/>
      <c r="O502"/>
    </row>
    <row r="503" spans="1:15" x14ac:dyDescent="0.3">
      <c r="M503"/>
      <c r="N503"/>
      <c r="O503"/>
    </row>
    <row r="504" spans="1:15" x14ac:dyDescent="0.3">
      <c r="M504"/>
      <c r="N504"/>
      <c r="O504"/>
    </row>
    <row r="505" spans="1:15" x14ac:dyDescent="0.3">
      <c r="M505"/>
      <c r="N505"/>
      <c r="O505"/>
    </row>
    <row r="506" spans="1:15" x14ac:dyDescent="0.3">
      <c r="M506"/>
      <c r="N506"/>
      <c r="O506"/>
    </row>
    <row r="507" spans="1:15" x14ac:dyDescent="0.3">
      <c r="M507"/>
      <c r="N507"/>
      <c r="O507"/>
    </row>
    <row r="508" spans="1:15" x14ac:dyDescent="0.3">
      <c r="M508"/>
      <c r="N508"/>
      <c r="O508"/>
    </row>
  </sheetData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1"/>
  <sheetViews>
    <sheetView workbookViewId="0">
      <selection activeCell="G14" sqref="G14"/>
    </sheetView>
  </sheetViews>
  <sheetFormatPr defaultRowHeight="14.4" x14ac:dyDescent="0.3"/>
  <cols>
    <col min="1" max="1" width="13.33203125" style="7" bestFit="1" customWidth="1"/>
    <col min="2" max="2" width="10.109375" bestFit="1" customWidth="1"/>
    <col min="3" max="3" width="12" bestFit="1" customWidth="1"/>
    <col min="4" max="4" width="4.77734375" bestFit="1" customWidth="1"/>
    <col min="5" max="5" width="6.77734375" bestFit="1" customWidth="1"/>
    <col min="6" max="6" width="11.88671875" customWidth="1"/>
    <col min="7" max="7" width="11.44140625" customWidth="1"/>
    <col min="8" max="8" width="11.109375" customWidth="1"/>
    <col min="9" max="9" width="12.5546875" customWidth="1"/>
    <col min="10" max="10" width="12" customWidth="1"/>
    <col min="11" max="11" width="11.88671875" customWidth="1"/>
    <col min="12" max="12" width="12.77734375" customWidth="1"/>
    <col min="13" max="13" width="14.44140625" bestFit="1" customWidth="1"/>
  </cols>
  <sheetData>
    <row r="1" spans="1:13" ht="57.6" x14ac:dyDescent="0.3">
      <c r="A1" s="11" t="s">
        <v>10</v>
      </c>
      <c r="B1" s="12" t="s">
        <v>29</v>
      </c>
      <c r="C1" s="12" t="s">
        <v>30</v>
      </c>
      <c r="D1" s="12" t="s">
        <v>13</v>
      </c>
      <c r="E1" s="12" t="s">
        <v>14</v>
      </c>
      <c r="F1" s="12" t="s">
        <v>28</v>
      </c>
      <c r="G1" s="12" t="s">
        <v>31</v>
      </c>
      <c r="H1" s="12" t="s">
        <v>36</v>
      </c>
      <c r="I1" s="12" t="s">
        <v>34</v>
      </c>
      <c r="J1" s="12" t="s">
        <v>35</v>
      </c>
      <c r="K1" s="12" t="s">
        <v>37</v>
      </c>
      <c r="L1" s="12" t="s">
        <v>38</v>
      </c>
      <c r="M1" s="12" t="s">
        <v>39</v>
      </c>
    </row>
    <row r="2" spans="1:13" x14ac:dyDescent="0.3">
      <c r="A2" s="7">
        <v>1445.5</v>
      </c>
      <c r="B2">
        <v>3</v>
      </c>
      <c r="C2">
        <v>27</v>
      </c>
      <c r="D2">
        <v>4</v>
      </c>
      <c r="E2" t="s">
        <v>15</v>
      </c>
      <c r="F2" s="10">
        <f>ROUNDUP(0.01*B2*A2,0)</f>
        <v>44</v>
      </c>
      <c r="G2" s="14">
        <f>ROUND(C2/100*A2,2)</f>
        <v>390.29</v>
      </c>
      <c r="H2" s="7">
        <f>ROUND(4666/D2:D501,2)</f>
        <v>1166.5</v>
      </c>
      <c r="I2" s="10">
        <f>G2+A2+F2</f>
        <v>1879.79</v>
      </c>
      <c r="J2">
        <f>IF(H2&gt;I2,1,0)</f>
        <v>0</v>
      </c>
      <c r="K2">
        <f>IF(J2=1,H2-I2,0)</f>
        <v>0</v>
      </c>
      <c r="L2" s="16">
        <f>SUM(J2:J501)</f>
        <v>94</v>
      </c>
      <c r="M2" s="15">
        <f>SUM(K2:K501)</f>
        <v>16114.74</v>
      </c>
    </row>
    <row r="3" spans="1:13" x14ac:dyDescent="0.3">
      <c r="A3" s="7">
        <v>2690</v>
      </c>
      <c r="B3">
        <v>1</v>
      </c>
      <c r="C3">
        <v>5</v>
      </c>
      <c r="D3">
        <v>2</v>
      </c>
      <c r="E3" t="s">
        <v>16</v>
      </c>
      <c r="F3" s="10">
        <f t="shared" ref="F3:F66" si="0">ROUNDUP(0.01*B3*A3,0)</f>
        <v>27</v>
      </c>
      <c r="G3" s="14">
        <f t="shared" ref="G3:G66" si="1">ROUND(C3/100*A3,2)</f>
        <v>134.5</v>
      </c>
      <c r="H3" s="7">
        <f t="shared" ref="H3:H66" si="2">ROUND(4666/D3:D502,2)</f>
        <v>2333</v>
      </c>
      <c r="I3" s="10">
        <f t="shared" ref="I3:I66" si="3">G3+A3+F3</f>
        <v>2851.5</v>
      </c>
      <c r="J3">
        <f t="shared" ref="J3:J66" si="4">IF(H3&gt;I3,1,0)</f>
        <v>0</v>
      </c>
      <c r="K3">
        <f t="shared" ref="K3:K66" si="5">IF(J3=1,H3-I3,0)</f>
        <v>0</v>
      </c>
    </row>
    <row r="4" spans="1:13" x14ac:dyDescent="0.3">
      <c r="A4" s="7">
        <v>3300</v>
      </c>
      <c r="B4">
        <v>19</v>
      </c>
      <c r="C4">
        <v>30</v>
      </c>
      <c r="D4">
        <v>1</v>
      </c>
      <c r="E4" t="s">
        <v>15</v>
      </c>
      <c r="F4" s="10">
        <f t="shared" si="0"/>
        <v>627</v>
      </c>
      <c r="G4" s="14">
        <f t="shared" si="1"/>
        <v>990</v>
      </c>
      <c r="H4" s="7">
        <f t="shared" si="2"/>
        <v>4666</v>
      </c>
      <c r="I4" s="10">
        <f t="shared" si="3"/>
        <v>4917</v>
      </c>
      <c r="J4">
        <f t="shared" si="4"/>
        <v>0</v>
      </c>
      <c r="K4">
        <f t="shared" si="5"/>
        <v>0</v>
      </c>
    </row>
    <row r="5" spans="1:13" x14ac:dyDescent="0.3">
      <c r="A5" s="7">
        <v>3900</v>
      </c>
      <c r="B5">
        <v>1</v>
      </c>
      <c r="C5">
        <v>10</v>
      </c>
      <c r="D5">
        <v>1</v>
      </c>
      <c r="E5" t="s">
        <v>16</v>
      </c>
      <c r="F5" s="10">
        <f t="shared" si="0"/>
        <v>39</v>
      </c>
      <c r="G5" s="14">
        <f t="shared" si="1"/>
        <v>390</v>
      </c>
      <c r="H5" s="7">
        <f t="shared" si="2"/>
        <v>4666</v>
      </c>
      <c r="I5" s="10">
        <f t="shared" si="3"/>
        <v>4329</v>
      </c>
      <c r="J5">
        <f t="shared" si="4"/>
        <v>1</v>
      </c>
      <c r="K5">
        <f t="shared" si="5"/>
        <v>337</v>
      </c>
    </row>
    <row r="6" spans="1:13" x14ac:dyDescent="0.3">
      <c r="A6" s="7">
        <v>3560</v>
      </c>
      <c r="B6">
        <v>17</v>
      </c>
      <c r="C6">
        <v>29</v>
      </c>
      <c r="D6">
        <v>1</v>
      </c>
      <c r="E6" t="s">
        <v>17</v>
      </c>
      <c r="F6" s="10">
        <f t="shared" si="0"/>
        <v>606</v>
      </c>
      <c r="G6" s="14">
        <f t="shared" si="1"/>
        <v>1032.4000000000001</v>
      </c>
      <c r="H6" s="7">
        <f t="shared" si="2"/>
        <v>4666</v>
      </c>
      <c r="I6" s="10">
        <f t="shared" si="3"/>
        <v>5198.3999999999996</v>
      </c>
      <c r="J6">
        <f t="shared" si="4"/>
        <v>0</v>
      </c>
      <c r="K6">
        <f t="shared" si="5"/>
        <v>0</v>
      </c>
    </row>
    <row r="7" spans="1:13" x14ac:dyDescent="0.3">
      <c r="A7" s="7">
        <v>586</v>
      </c>
      <c r="B7">
        <v>10</v>
      </c>
      <c r="C7">
        <v>1</v>
      </c>
      <c r="D7">
        <v>7</v>
      </c>
      <c r="E7" t="s">
        <v>16</v>
      </c>
      <c r="F7" s="10">
        <f t="shared" si="0"/>
        <v>59</v>
      </c>
      <c r="G7" s="14">
        <f t="shared" si="1"/>
        <v>5.86</v>
      </c>
      <c r="H7" s="7">
        <f t="shared" si="2"/>
        <v>666.57</v>
      </c>
      <c r="I7" s="10">
        <f t="shared" si="3"/>
        <v>650.86</v>
      </c>
      <c r="J7">
        <f t="shared" si="4"/>
        <v>1</v>
      </c>
      <c r="K7">
        <f t="shared" si="5"/>
        <v>15.710000000000036</v>
      </c>
    </row>
    <row r="8" spans="1:13" x14ac:dyDescent="0.3">
      <c r="A8" s="7">
        <v>520</v>
      </c>
      <c r="B8">
        <v>9</v>
      </c>
      <c r="C8">
        <v>40</v>
      </c>
      <c r="D8">
        <v>9</v>
      </c>
      <c r="E8" t="s">
        <v>18</v>
      </c>
      <c r="F8" s="10">
        <f t="shared" si="0"/>
        <v>47</v>
      </c>
      <c r="G8" s="14">
        <f t="shared" si="1"/>
        <v>208</v>
      </c>
      <c r="H8" s="7">
        <f t="shared" si="2"/>
        <v>518.44000000000005</v>
      </c>
      <c r="I8" s="10">
        <f t="shared" si="3"/>
        <v>775</v>
      </c>
      <c r="J8">
        <f t="shared" si="4"/>
        <v>0</v>
      </c>
      <c r="K8">
        <f t="shared" si="5"/>
        <v>0</v>
      </c>
    </row>
    <row r="9" spans="1:13" x14ac:dyDescent="0.3">
      <c r="A9" s="7">
        <v>3980</v>
      </c>
      <c r="B9">
        <v>3</v>
      </c>
      <c r="C9">
        <v>25</v>
      </c>
      <c r="D9">
        <v>1</v>
      </c>
      <c r="E9" t="s">
        <v>19</v>
      </c>
      <c r="F9" s="10">
        <f t="shared" si="0"/>
        <v>120</v>
      </c>
      <c r="G9" s="14">
        <f t="shared" si="1"/>
        <v>995</v>
      </c>
      <c r="H9" s="7">
        <f t="shared" si="2"/>
        <v>4666</v>
      </c>
      <c r="I9" s="10">
        <f t="shared" si="3"/>
        <v>5095</v>
      </c>
      <c r="J9">
        <f t="shared" si="4"/>
        <v>0</v>
      </c>
      <c r="K9">
        <f t="shared" si="5"/>
        <v>0</v>
      </c>
    </row>
    <row r="10" spans="1:13" x14ac:dyDescent="0.3">
      <c r="A10" s="7">
        <v>409.5</v>
      </c>
      <c r="B10">
        <v>0</v>
      </c>
      <c r="C10">
        <v>30</v>
      </c>
      <c r="D10">
        <v>9</v>
      </c>
      <c r="E10" t="s">
        <v>16</v>
      </c>
      <c r="F10" s="10">
        <f t="shared" si="0"/>
        <v>0</v>
      </c>
      <c r="G10" s="14">
        <f t="shared" si="1"/>
        <v>122.85</v>
      </c>
      <c r="H10" s="7">
        <f t="shared" si="2"/>
        <v>518.44000000000005</v>
      </c>
      <c r="I10" s="10">
        <f t="shared" si="3"/>
        <v>532.35</v>
      </c>
      <c r="J10">
        <f t="shared" si="4"/>
        <v>0</v>
      </c>
      <c r="K10">
        <f t="shared" si="5"/>
        <v>0</v>
      </c>
    </row>
    <row r="11" spans="1:13" x14ac:dyDescent="0.3">
      <c r="A11" s="7">
        <v>1475</v>
      </c>
      <c r="B11">
        <v>5</v>
      </c>
      <c r="C11">
        <v>15</v>
      </c>
      <c r="D11">
        <v>4</v>
      </c>
      <c r="E11" t="s">
        <v>20</v>
      </c>
      <c r="F11" s="10">
        <f t="shared" si="0"/>
        <v>74</v>
      </c>
      <c r="G11" s="14">
        <f t="shared" si="1"/>
        <v>221.25</v>
      </c>
      <c r="H11" s="7">
        <f t="shared" si="2"/>
        <v>1166.5</v>
      </c>
      <c r="I11" s="10">
        <f t="shared" si="3"/>
        <v>1770.25</v>
      </c>
      <c r="J11">
        <f t="shared" si="4"/>
        <v>0</v>
      </c>
      <c r="K11">
        <f t="shared" si="5"/>
        <v>0</v>
      </c>
    </row>
    <row r="12" spans="1:13" x14ac:dyDescent="0.3">
      <c r="A12" s="7">
        <v>906</v>
      </c>
      <c r="B12">
        <v>14</v>
      </c>
      <c r="C12">
        <v>5</v>
      </c>
      <c r="D12">
        <v>5</v>
      </c>
      <c r="E12" t="s">
        <v>17</v>
      </c>
      <c r="F12" s="10">
        <f t="shared" si="0"/>
        <v>127</v>
      </c>
      <c r="G12" s="14">
        <f t="shared" si="1"/>
        <v>45.3</v>
      </c>
      <c r="H12" s="7">
        <f t="shared" si="2"/>
        <v>933.2</v>
      </c>
      <c r="I12" s="10">
        <f t="shared" si="3"/>
        <v>1078.3</v>
      </c>
      <c r="J12">
        <f t="shared" si="4"/>
        <v>0</v>
      </c>
      <c r="K12">
        <f t="shared" si="5"/>
        <v>0</v>
      </c>
    </row>
    <row r="13" spans="1:13" x14ac:dyDescent="0.3">
      <c r="A13" s="7">
        <v>2825</v>
      </c>
      <c r="B13">
        <v>12</v>
      </c>
      <c r="C13">
        <v>15</v>
      </c>
      <c r="D13">
        <v>2</v>
      </c>
      <c r="E13" t="s">
        <v>20</v>
      </c>
      <c r="F13" s="10">
        <f t="shared" si="0"/>
        <v>339</v>
      </c>
      <c r="G13" s="14">
        <f t="shared" si="1"/>
        <v>423.75</v>
      </c>
      <c r="H13" s="7">
        <f t="shared" si="2"/>
        <v>2333</v>
      </c>
      <c r="I13" s="10">
        <f t="shared" si="3"/>
        <v>3587.75</v>
      </c>
      <c r="J13">
        <f t="shared" si="4"/>
        <v>0</v>
      </c>
      <c r="K13">
        <f t="shared" si="5"/>
        <v>0</v>
      </c>
    </row>
    <row r="14" spans="1:13" x14ac:dyDescent="0.3">
      <c r="A14" s="7">
        <v>5810</v>
      </c>
      <c r="B14">
        <v>2</v>
      </c>
      <c r="C14">
        <v>5</v>
      </c>
      <c r="D14">
        <v>1</v>
      </c>
      <c r="E14" t="s">
        <v>18</v>
      </c>
      <c r="F14" s="10">
        <f t="shared" si="0"/>
        <v>117</v>
      </c>
      <c r="G14" s="14">
        <f t="shared" si="1"/>
        <v>290.5</v>
      </c>
      <c r="H14" s="7">
        <f t="shared" si="2"/>
        <v>4666</v>
      </c>
      <c r="I14" s="10">
        <f t="shared" si="3"/>
        <v>6217.5</v>
      </c>
      <c r="J14">
        <f t="shared" si="4"/>
        <v>0</v>
      </c>
      <c r="K14">
        <f t="shared" si="5"/>
        <v>0</v>
      </c>
    </row>
    <row r="15" spans="1:13" x14ac:dyDescent="0.3">
      <c r="A15" s="7">
        <v>889.7</v>
      </c>
      <c r="B15">
        <v>3</v>
      </c>
      <c r="C15">
        <v>45</v>
      </c>
      <c r="D15">
        <v>7</v>
      </c>
      <c r="E15" t="s">
        <v>17</v>
      </c>
      <c r="F15" s="10">
        <f t="shared" si="0"/>
        <v>27</v>
      </c>
      <c r="G15" s="14">
        <f t="shared" si="1"/>
        <v>400.37</v>
      </c>
      <c r="H15" s="7">
        <f t="shared" si="2"/>
        <v>666.57</v>
      </c>
      <c r="I15" s="10">
        <f t="shared" si="3"/>
        <v>1317.0700000000002</v>
      </c>
      <c r="J15">
        <f t="shared" si="4"/>
        <v>0</v>
      </c>
      <c r="K15">
        <f t="shared" si="5"/>
        <v>0</v>
      </c>
    </row>
    <row r="16" spans="1:13" x14ac:dyDescent="0.3">
      <c r="A16" s="7">
        <v>5410</v>
      </c>
      <c r="B16">
        <v>7</v>
      </c>
      <c r="C16">
        <v>50</v>
      </c>
      <c r="D16">
        <v>1</v>
      </c>
      <c r="E16" t="s">
        <v>15</v>
      </c>
      <c r="F16" s="10">
        <f t="shared" si="0"/>
        <v>379</v>
      </c>
      <c r="G16" s="14">
        <f t="shared" si="1"/>
        <v>2705</v>
      </c>
      <c r="H16" s="7">
        <f t="shared" si="2"/>
        <v>4666</v>
      </c>
      <c r="I16" s="10">
        <f t="shared" si="3"/>
        <v>8494</v>
      </c>
      <c r="J16">
        <f t="shared" si="4"/>
        <v>0</v>
      </c>
      <c r="K16">
        <f t="shared" si="5"/>
        <v>0</v>
      </c>
    </row>
    <row r="17" spans="1:11" x14ac:dyDescent="0.3">
      <c r="A17" s="7">
        <v>533</v>
      </c>
      <c r="B17">
        <v>6</v>
      </c>
      <c r="C17">
        <v>5</v>
      </c>
      <c r="D17">
        <v>8</v>
      </c>
      <c r="E17" t="s">
        <v>17</v>
      </c>
      <c r="F17" s="10">
        <f t="shared" si="0"/>
        <v>32</v>
      </c>
      <c r="G17" s="14">
        <f t="shared" si="1"/>
        <v>26.65</v>
      </c>
      <c r="H17" s="7">
        <f t="shared" si="2"/>
        <v>583.25</v>
      </c>
      <c r="I17" s="10">
        <f t="shared" si="3"/>
        <v>591.65</v>
      </c>
      <c r="J17">
        <f t="shared" si="4"/>
        <v>0</v>
      </c>
      <c r="K17">
        <f t="shared" si="5"/>
        <v>0</v>
      </c>
    </row>
    <row r="18" spans="1:11" x14ac:dyDescent="0.3">
      <c r="A18" s="7">
        <v>502</v>
      </c>
      <c r="B18">
        <v>1</v>
      </c>
      <c r="C18">
        <v>35</v>
      </c>
      <c r="D18">
        <v>6</v>
      </c>
      <c r="E18" t="s">
        <v>16</v>
      </c>
      <c r="F18" s="10">
        <f t="shared" si="0"/>
        <v>6</v>
      </c>
      <c r="G18" s="14">
        <f t="shared" si="1"/>
        <v>175.7</v>
      </c>
      <c r="H18" s="7">
        <f t="shared" si="2"/>
        <v>777.67</v>
      </c>
      <c r="I18" s="10">
        <f t="shared" si="3"/>
        <v>683.7</v>
      </c>
      <c r="J18">
        <f t="shared" si="4"/>
        <v>1</v>
      </c>
      <c r="K18">
        <f t="shared" si="5"/>
        <v>93.969999999999914</v>
      </c>
    </row>
    <row r="19" spans="1:11" x14ac:dyDescent="0.3">
      <c r="A19" s="7">
        <v>628</v>
      </c>
      <c r="B19">
        <v>15</v>
      </c>
      <c r="C19">
        <v>15</v>
      </c>
      <c r="D19">
        <v>8</v>
      </c>
      <c r="E19" t="s">
        <v>17</v>
      </c>
      <c r="F19" s="10">
        <f t="shared" si="0"/>
        <v>95</v>
      </c>
      <c r="G19" s="14">
        <f t="shared" si="1"/>
        <v>94.2</v>
      </c>
      <c r="H19" s="7">
        <f t="shared" si="2"/>
        <v>583.25</v>
      </c>
      <c r="I19" s="10">
        <f t="shared" si="3"/>
        <v>817.2</v>
      </c>
      <c r="J19">
        <f t="shared" si="4"/>
        <v>0</v>
      </c>
      <c r="K19">
        <f t="shared" si="5"/>
        <v>0</v>
      </c>
    </row>
    <row r="20" spans="1:11" x14ac:dyDescent="0.3">
      <c r="A20" s="7">
        <v>5640</v>
      </c>
      <c r="B20">
        <v>12</v>
      </c>
      <c r="C20">
        <v>40</v>
      </c>
      <c r="D20">
        <v>1</v>
      </c>
      <c r="E20" t="s">
        <v>16</v>
      </c>
      <c r="F20" s="10">
        <f t="shared" si="0"/>
        <v>677</v>
      </c>
      <c r="G20" s="14">
        <f t="shared" si="1"/>
        <v>2256</v>
      </c>
      <c r="H20" s="7">
        <f t="shared" si="2"/>
        <v>4666</v>
      </c>
      <c r="I20" s="10">
        <f t="shared" si="3"/>
        <v>8573</v>
      </c>
      <c r="J20">
        <f t="shared" si="4"/>
        <v>0</v>
      </c>
      <c r="K20">
        <f t="shared" si="5"/>
        <v>0</v>
      </c>
    </row>
    <row r="21" spans="1:11" x14ac:dyDescent="0.3">
      <c r="A21" s="7">
        <v>4470</v>
      </c>
      <c r="B21">
        <v>3</v>
      </c>
      <c r="C21">
        <v>40</v>
      </c>
      <c r="D21">
        <v>1</v>
      </c>
      <c r="E21" t="s">
        <v>21</v>
      </c>
      <c r="F21" s="10">
        <f t="shared" si="0"/>
        <v>135</v>
      </c>
      <c r="G21" s="14">
        <f t="shared" si="1"/>
        <v>1788</v>
      </c>
      <c r="H21" s="7">
        <f t="shared" si="2"/>
        <v>4666</v>
      </c>
      <c r="I21" s="10">
        <f t="shared" si="3"/>
        <v>6393</v>
      </c>
      <c r="J21">
        <f t="shared" si="4"/>
        <v>0</v>
      </c>
      <c r="K21">
        <f t="shared" si="5"/>
        <v>0</v>
      </c>
    </row>
    <row r="22" spans="1:11" x14ac:dyDescent="0.3">
      <c r="A22" s="7">
        <v>7000</v>
      </c>
      <c r="B22">
        <v>3</v>
      </c>
      <c r="C22">
        <v>40</v>
      </c>
      <c r="D22">
        <v>1</v>
      </c>
      <c r="E22" t="s">
        <v>19</v>
      </c>
      <c r="F22" s="10">
        <f t="shared" si="0"/>
        <v>210</v>
      </c>
      <c r="G22" s="14">
        <f t="shared" si="1"/>
        <v>2800</v>
      </c>
      <c r="H22" s="7">
        <f t="shared" si="2"/>
        <v>4666</v>
      </c>
      <c r="I22" s="10">
        <f t="shared" si="3"/>
        <v>10010</v>
      </c>
      <c r="J22">
        <f t="shared" si="4"/>
        <v>0</v>
      </c>
      <c r="K22">
        <f t="shared" si="5"/>
        <v>0</v>
      </c>
    </row>
    <row r="23" spans="1:11" x14ac:dyDescent="0.3">
      <c r="A23" s="7">
        <v>1020</v>
      </c>
      <c r="B23">
        <v>15</v>
      </c>
      <c r="C23">
        <v>10</v>
      </c>
      <c r="D23">
        <v>5</v>
      </c>
      <c r="E23" t="s">
        <v>21</v>
      </c>
      <c r="F23" s="10">
        <f t="shared" si="0"/>
        <v>153</v>
      </c>
      <c r="G23" s="14">
        <f t="shared" si="1"/>
        <v>102</v>
      </c>
      <c r="H23" s="7">
        <f t="shared" si="2"/>
        <v>933.2</v>
      </c>
      <c r="I23" s="10">
        <f t="shared" si="3"/>
        <v>1275</v>
      </c>
      <c r="J23">
        <f t="shared" si="4"/>
        <v>0</v>
      </c>
      <c r="K23">
        <f t="shared" si="5"/>
        <v>0</v>
      </c>
    </row>
    <row r="24" spans="1:11" x14ac:dyDescent="0.3">
      <c r="A24" s="7">
        <v>534.5</v>
      </c>
      <c r="B24">
        <v>15</v>
      </c>
      <c r="C24">
        <v>35</v>
      </c>
      <c r="D24">
        <v>8</v>
      </c>
      <c r="E24" t="s">
        <v>17</v>
      </c>
      <c r="F24" s="10">
        <f t="shared" si="0"/>
        <v>81</v>
      </c>
      <c r="G24" s="14">
        <f t="shared" si="1"/>
        <v>187.08</v>
      </c>
      <c r="H24" s="7">
        <f t="shared" si="2"/>
        <v>583.25</v>
      </c>
      <c r="I24" s="10">
        <f t="shared" si="3"/>
        <v>802.58</v>
      </c>
      <c r="J24">
        <f t="shared" si="4"/>
        <v>0</v>
      </c>
      <c r="K24">
        <f t="shared" si="5"/>
        <v>0</v>
      </c>
    </row>
    <row r="25" spans="1:11" x14ac:dyDescent="0.3">
      <c r="A25" s="7">
        <v>2113</v>
      </c>
      <c r="B25">
        <v>4</v>
      </c>
      <c r="C25">
        <v>20</v>
      </c>
      <c r="D25">
        <v>3</v>
      </c>
      <c r="E25" t="s">
        <v>15</v>
      </c>
      <c r="F25" s="10">
        <f t="shared" si="0"/>
        <v>85</v>
      </c>
      <c r="G25" s="14">
        <f t="shared" si="1"/>
        <v>422.6</v>
      </c>
      <c r="H25" s="7">
        <f t="shared" si="2"/>
        <v>1555.33</v>
      </c>
      <c r="I25" s="10">
        <f t="shared" si="3"/>
        <v>2620.6</v>
      </c>
      <c r="J25">
        <f t="shared" si="4"/>
        <v>0</v>
      </c>
      <c r="K25">
        <f t="shared" si="5"/>
        <v>0</v>
      </c>
    </row>
    <row r="26" spans="1:11" x14ac:dyDescent="0.3">
      <c r="A26" s="7">
        <v>623</v>
      </c>
      <c r="B26">
        <v>5</v>
      </c>
      <c r="C26">
        <v>5</v>
      </c>
      <c r="D26">
        <v>7</v>
      </c>
      <c r="E26" t="s">
        <v>21</v>
      </c>
      <c r="F26" s="10">
        <f t="shared" si="0"/>
        <v>32</v>
      </c>
      <c r="G26" s="14">
        <f t="shared" si="1"/>
        <v>31.15</v>
      </c>
      <c r="H26" s="7">
        <f t="shared" si="2"/>
        <v>666.57</v>
      </c>
      <c r="I26" s="10">
        <f t="shared" si="3"/>
        <v>686.15</v>
      </c>
      <c r="J26">
        <f t="shared" si="4"/>
        <v>0</v>
      </c>
      <c r="K26">
        <f t="shared" si="5"/>
        <v>0</v>
      </c>
    </row>
    <row r="27" spans="1:11" x14ac:dyDescent="0.3">
      <c r="A27" s="7">
        <v>530</v>
      </c>
      <c r="B27">
        <v>8</v>
      </c>
      <c r="C27">
        <v>5</v>
      </c>
      <c r="D27">
        <v>9</v>
      </c>
      <c r="E27" t="s">
        <v>18</v>
      </c>
      <c r="F27" s="10">
        <f t="shared" si="0"/>
        <v>43</v>
      </c>
      <c r="G27" s="14">
        <f t="shared" si="1"/>
        <v>26.5</v>
      </c>
      <c r="H27" s="7">
        <f t="shared" si="2"/>
        <v>518.44000000000005</v>
      </c>
      <c r="I27" s="10">
        <f t="shared" si="3"/>
        <v>599.5</v>
      </c>
      <c r="J27">
        <f t="shared" si="4"/>
        <v>0</v>
      </c>
      <c r="K27">
        <f t="shared" si="5"/>
        <v>0</v>
      </c>
    </row>
    <row r="28" spans="1:11" x14ac:dyDescent="0.3">
      <c r="A28" s="7">
        <v>406</v>
      </c>
      <c r="B28">
        <v>15</v>
      </c>
      <c r="C28">
        <v>45</v>
      </c>
      <c r="D28">
        <v>9</v>
      </c>
      <c r="E28" t="s">
        <v>21</v>
      </c>
      <c r="F28" s="10">
        <f t="shared" si="0"/>
        <v>61</v>
      </c>
      <c r="G28" s="14">
        <f t="shared" si="1"/>
        <v>182.7</v>
      </c>
      <c r="H28" s="7">
        <f t="shared" si="2"/>
        <v>518.44000000000005</v>
      </c>
      <c r="I28" s="10">
        <f t="shared" si="3"/>
        <v>649.70000000000005</v>
      </c>
      <c r="J28">
        <f t="shared" si="4"/>
        <v>0</v>
      </c>
      <c r="K28">
        <f t="shared" si="5"/>
        <v>0</v>
      </c>
    </row>
    <row r="29" spans="1:11" x14ac:dyDescent="0.3">
      <c r="A29" s="7">
        <v>1047</v>
      </c>
      <c r="B29">
        <v>12</v>
      </c>
      <c r="C29">
        <v>30</v>
      </c>
      <c r="D29">
        <v>6</v>
      </c>
      <c r="E29" t="s">
        <v>17</v>
      </c>
      <c r="F29" s="10">
        <f t="shared" si="0"/>
        <v>126</v>
      </c>
      <c r="G29" s="14">
        <f t="shared" si="1"/>
        <v>314.10000000000002</v>
      </c>
      <c r="H29" s="7">
        <f t="shared" si="2"/>
        <v>777.67</v>
      </c>
      <c r="I29" s="10">
        <f t="shared" si="3"/>
        <v>1487.1</v>
      </c>
      <c r="J29">
        <f t="shared" si="4"/>
        <v>0</v>
      </c>
      <c r="K29">
        <f t="shared" si="5"/>
        <v>0</v>
      </c>
    </row>
    <row r="30" spans="1:11" x14ac:dyDescent="0.3">
      <c r="A30" s="7">
        <v>4450</v>
      </c>
      <c r="B30">
        <v>8</v>
      </c>
      <c r="C30">
        <v>15</v>
      </c>
      <c r="D30">
        <v>1</v>
      </c>
      <c r="E30" t="s">
        <v>18</v>
      </c>
      <c r="F30" s="10">
        <f t="shared" si="0"/>
        <v>356</v>
      </c>
      <c r="G30" s="14">
        <f t="shared" si="1"/>
        <v>667.5</v>
      </c>
      <c r="H30" s="7">
        <f t="shared" si="2"/>
        <v>4666</v>
      </c>
      <c r="I30" s="10">
        <f t="shared" si="3"/>
        <v>5473.5</v>
      </c>
      <c r="J30">
        <f t="shared" si="4"/>
        <v>0</v>
      </c>
      <c r="K30">
        <f t="shared" si="5"/>
        <v>0</v>
      </c>
    </row>
    <row r="31" spans="1:11" x14ac:dyDescent="0.3">
      <c r="A31" s="7">
        <v>3690</v>
      </c>
      <c r="B31">
        <v>16</v>
      </c>
      <c r="C31">
        <v>5</v>
      </c>
      <c r="D31">
        <v>1</v>
      </c>
      <c r="E31" t="s">
        <v>16</v>
      </c>
      <c r="F31" s="10">
        <f t="shared" si="0"/>
        <v>591</v>
      </c>
      <c r="G31" s="14">
        <f t="shared" si="1"/>
        <v>184.5</v>
      </c>
      <c r="H31" s="7">
        <f t="shared" si="2"/>
        <v>4666</v>
      </c>
      <c r="I31" s="10">
        <f t="shared" si="3"/>
        <v>4465.5</v>
      </c>
      <c r="J31">
        <f t="shared" si="4"/>
        <v>1</v>
      </c>
      <c r="K31">
        <f t="shared" si="5"/>
        <v>200.5</v>
      </c>
    </row>
    <row r="32" spans="1:11" x14ac:dyDescent="0.3">
      <c r="A32" s="7">
        <v>688</v>
      </c>
      <c r="B32">
        <v>19</v>
      </c>
      <c r="C32">
        <v>20</v>
      </c>
      <c r="D32">
        <v>9</v>
      </c>
      <c r="E32" t="s">
        <v>19</v>
      </c>
      <c r="F32" s="10">
        <f t="shared" si="0"/>
        <v>131</v>
      </c>
      <c r="G32" s="14">
        <f t="shared" si="1"/>
        <v>137.6</v>
      </c>
      <c r="H32" s="7">
        <f t="shared" si="2"/>
        <v>518.44000000000005</v>
      </c>
      <c r="I32" s="10">
        <f t="shared" si="3"/>
        <v>956.6</v>
      </c>
      <c r="J32">
        <f t="shared" si="4"/>
        <v>0</v>
      </c>
      <c r="K32">
        <f t="shared" si="5"/>
        <v>0</v>
      </c>
    </row>
    <row r="33" spans="1:11" x14ac:dyDescent="0.3">
      <c r="A33" s="7">
        <v>6870</v>
      </c>
      <c r="B33">
        <v>20</v>
      </c>
      <c r="C33">
        <v>5</v>
      </c>
      <c r="D33">
        <v>1</v>
      </c>
      <c r="E33" t="s">
        <v>20</v>
      </c>
      <c r="F33" s="10">
        <f t="shared" si="0"/>
        <v>1374</v>
      </c>
      <c r="G33" s="14">
        <f t="shared" si="1"/>
        <v>343.5</v>
      </c>
      <c r="H33" s="7">
        <f t="shared" si="2"/>
        <v>4666</v>
      </c>
      <c r="I33" s="10">
        <f t="shared" si="3"/>
        <v>8587.5</v>
      </c>
      <c r="J33">
        <f t="shared" si="4"/>
        <v>0</v>
      </c>
      <c r="K33">
        <f t="shared" si="5"/>
        <v>0</v>
      </c>
    </row>
    <row r="34" spans="1:11" x14ac:dyDescent="0.3">
      <c r="A34" s="7">
        <v>5550</v>
      </c>
      <c r="B34">
        <v>8</v>
      </c>
      <c r="C34">
        <v>40</v>
      </c>
      <c r="D34">
        <v>1</v>
      </c>
      <c r="E34" t="s">
        <v>18</v>
      </c>
      <c r="F34" s="10">
        <f t="shared" si="0"/>
        <v>444</v>
      </c>
      <c r="G34" s="14">
        <f t="shared" si="1"/>
        <v>2220</v>
      </c>
      <c r="H34" s="7">
        <f t="shared" si="2"/>
        <v>4666</v>
      </c>
      <c r="I34" s="10">
        <f t="shared" si="3"/>
        <v>8214</v>
      </c>
      <c r="J34">
        <f t="shared" si="4"/>
        <v>0</v>
      </c>
      <c r="K34">
        <f t="shared" si="5"/>
        <v>0</v>
      </c>
    </row>
    <row r="35" spans="1:11" x14ac:dyDescent="0.3">
      <c r="A35" s="7">
        <v>423</v>
      </c>
      <c r="B35">
        <v>12</v>
      </c>
      <c r="C35">
        <v>25</v>
      </c>
      <c r="D35">
        <v>7</v>
      </c>
      <c r="E35" t="s">
        <v>18</v>
      </c>
      <c r="F35" s="10">
        <f t="shared" si="0"/>
        <v>51</v>
      </c>
      <c r="G35" s="14">
        <f t="shared" si="1"/>
        <v>105.75</v>
      </c>
      <c r="H35" s="7">
        <f t="shared" si="2"/>
        <v>666.57</v>
      </c>
      <c r="I35" s="10">
        <f t="shared" si="3"/>
        <v>579.75</v>
      </c>
      <c r="J35">
        <f t="shared" si="4"/>
        <v>1</v>
      </c>
      <c r="K35">
        <f t="shared" si="5"/>
        <v>86.82000000000005</v>
      </c>
    </row>
    <row r="36" spans="1:11" x14ac:dyDescent="0.3">
      <c r="A36" s="7">
        <v>4160</v>
      </c>
      <c r="B36">
        <v>6</v>
      </c>
      <c r="C36">
        <v>15</v>
      </c>
      <c r="D36">
        <v>1</v>
      </c>
      <c r="E36" t="s">
        <v>17</v>
      </c>
      <c r="F36" s="10">
        <f t="shared" si="0"/>
        <v>250</v>
      </c>
      <c r="G36" s="14">
        <f t="shared" si="1"/>
        <v>624</v>
      </c>
      <c r="H36" s="7">
        <f t="shared" si="2"/>
        <v>4666</v>
      </c>
      <c r="I36" s="10">
        <f t="shared" si="3"/>
        <v>5034</v>
      </c>
      <c r="J36">
        <f t="shared" si="4"/>
        <v>0</v>
      </c>
      <c r="K36">
        <f t="shared" si="5"/>
        <v>0</v>
      </c>
    </row>
    <row r="37" spans="1:11" x14ac:dyDescent="0.3">
      <c r="A37" s="7">
        <v>1090</v>
      </c>
      <c r="B37">
        <v>16</v>
      </c>
      <c r="C37">
        <v>15</v>
      </c>
      <c r="D37">
        <v>3</v>
      </c>
      <c r="E37" t="s">
        <v>17</v>
      </c>
      <c r="F37" s="10">
        <f t="shared" si="0"/>
        <v>175</v>
      </c>
      <c r="G37" s="14">
        <f t="shared" si="1"/>
        <v>163.5</v>
      </c>
      <c r="H37" s="7">
        <f t="shared" si="2"/>
        <v>1555.33</v>
      </c>
      <c r="I37" s="10">
        <f t="shared" si="3"/>
        <v>1428.5</v>
      </c>
      <c r="J37">
        <f t="shared" si="4"/>
        <v>1</v>
      </c>
      <c r="K37">
        <f t="shared" si="5"/>
        <v>126.82999999999993</v>
      </c>
    </row>
    <row r="38" spans="1:11" x14ac:dyDescent="0.3">
      <c r="A38" s="7">
        <v>6460</v>
      </c>
      <c r="B38">
        <v>4</v>
      </c>
      <c r="C38">
        <v>40</v>
      </c>
      <c r="D38">
        <v>1</v>
      </c>
      <c r="E38" t="s">
        <v>15</v>
      </c>
      <c r="F38" s="10">
        <f t="shared" si="0"/>
        <v>259</v>
      </c>
      <c r="G38" s="14">
        <f t="shared" si="1"/>
        <v>2584</v>
      </c>
      <c r="H38" s="7">
        <f t="shared" si="2"/>
        <v>4666</v>
      </c>
      <c r="I38" s="10">
        <f t="shared" si="3"/>
        <v>9303</v>
      </c>
      <c r="J38">
        <f t="shared" si="4"/>
        <v>0</v>
      </c>
      <c r="K38">
        <f t="shared" si="5"/>
        <v>0</v>
      </c>
    </row>
    <row r="39" spans="1:11" x14ac:dyDescent="0.3">
      <c r="A39" s="7">
        <v>332</v>
      </c>
      <c r="B39">
        <v>12</v>
      </c>
      <c r="C39">
        <v>40</v>
      </c>
      <c r="D39">
        <v>9</v>
      </c>
      <c r="E39" t="s">
        <v>19</v>
      </c>
      <c r="F39" s="10">
        <f t="shared" si="0"/>
        <v>40</v>
      </c>
      <c r="G39" s="14">
        <f t="shared" si="1"/>
        <v>132.80000000000001</v>
      </c>
      <c r="H39" s="7">
        <f t="shared" si="2"/>
        <v>518.44000000000005</v>
      </c>
      <c r="I39" s="10">
        <f t="shared" si="3"/>
        <v>504.8</v>
      </c>
      <c r="J39">
        <f t="shared" si="4"/>
        <v>1</v>
      </c>
      <c r="K39">
        <f t="shared" si="5"/>
        <v>13.640000000000043</v>
      </c>
    </row>
    <row r="40" spans="1:11" x14ac:dyDescent="0.3">
      <c r="A40" s="7">
        <v>1950</v>
      </c>
      <c r="B40">
        <v>5</v>
      </c>
      <c r="C40">
        <v>45</v>
      </c>
      <c r="D40">
        <v>3</v>
      </c>
      <c r="E40" t="s">
        <v>18</v>
      </c>
      <c r="F40" s="10">
        <f t="shared" si="0"/>
        <v>98</v>
      </c>
      <c r="G40" s="14">
        <f t="shared" si="1"/>
        <v>877.5</v>
      </c>
      <c r="H40" s="7">
        <f t="shared" si="2"/>
        <v>1555.33</v>
      </c>
      <c r="I40" s="10">
        <f t="shared" si="3"/>
        <v>2925.5</v>
      </c>
      <c r="J40">
        <f t="shared" si="4"/>
        <v>0</v>
      </c>
      <c r="K40">
        <f t="shared" si="5"/>
        <v>0</v>
      </c>
    </row>
    <row r="41" spans="1:11" x14ac:dyDescent="0.3">
      <c r="A41" s="7">
        <v>3880</v>
      </c>
      <c r="B41">
        <v>6</v>
      </c>
      <c r="C41">
        <v>40</v>
      </c>
      <c r="D41">
        <v>1</v>
      </c>
      <c r="E41" t="s">
        <v>20</v>
      </c>
      <c r="F41" s="10">
        <f t="shared" si="0"/>
        <v>233</v>
      </c>
      <c r="G41" s="14">
        <f t="shared" si="1"/>
        <v>1552</v>
      </c>
      <c r="H41" s="7">
        <f t="shared" si="2"/>
        <v>4666</v>
      </c>
      <c r="I41" s="10">
        <f t="shared" si="3"/>
        <v>5665</v>
      </c>
      <c r="J41">
        <f t="shared" si="4"/>
        <v>0</v>
      </c>
      <c r="K41">
        <f t="shared" si="5"/>
        <v>0</v>
      </c>
    </row>
    <row r="42" spans="1:11" x14ac:dyDescent="0.3">
      <c r="A42" s="7">
        <v>1063</v>
      </c>
      <c r="B42">
        <v>4</v>
      </c>
      <c r="C42">
        <v>30</v>
      </c>
      <c r="D42">
        <v>6</v>
      </c>
      <c r="E42" t="s">
        <v>20</v>
      </c>
      <c r="F42" s="10">
        <f t="shared" si="0"/>
        <v>43</v>
      </c>
      <c r="G42" s="14">
        <f t="shared" si="1"/>
        <v>318.89999999999998</v>
      </c>
      <c r="H42" s="7">
        <f t="shared" si="2"/>
        <v>777.67</v>
      </c>
      <c r="I42" s="10">
        <f t="shared" si="3"/>
        <v>1424.9</v>
      </c>
      <c r="J42">
        <f t="shared" si="4"/>
        <v>0</v>
      </c>
      <c r="K42">
        <f t="shared" si="5"/>
        <v>0</v>
      </c>
    </row>
    <row r="43" spans="1:11" x14ac:dyDescent="0.3">
      <c r="A43" s="7">
        <v>3660</v>
      </c>
      <c r="B43">
        <v>12</v>
      </c>
      <c r="C43">
        <v>10</v>
      </c>
      <c r="D43">
        <v>1</v>
      </c>
      <c r="E43" t="s">
        <v>20</v>
      </c>
      <c r="F43" s="10">
        <f t="shared" si="0"/>
        <v>440</v>
      </c>
      <c r="G43" s="14">
        <f t="shared" si="1"/>
        <v>366</v>
      </c>
      <c r="H43" s="7">
        <f t="shared" si="2"/>
        <v>4666</v>
      </c>
      <c r="I43" s="10">
        <f t="shared" si="3"/>
        <v>4466</v>
      </c>
      <c r="J43">
        <f t="shared" si="4"/>
        <v>1</v>
      </c>
      <c r="K43">
        <f t="shared" si="5"/>
        <v>200</v>
      </c>
    </row>
    <row r="44" spans="1:11" x14ac:dyDescent="0.3">
      <c r="A44" s="7">
        <v>2165</v>
      </c>
      <c r="B44">
        <v>11</v>
      </c>
      <c r="C44">
        <v>15</v>
      </c>
      <c r="D44">
        <v>2</v>
      </c>
      <c r="E44" t="s">
        <v>15</v>
      </c>
      <c r="F44" s="10">
        <f t="shared" si="0"/>
        <v>239</v>
      </c>
      <c r="G44" s="14">
        <f t="shared" si="1"/>
        <v>324.75</v>
      </c>
      <c r="H44" s="7">
        <f t="shared" si="2"/>
        <v>2333</v>
      </c>
      <c r="I44" s="10">
        <f t="shared" si="3"/>
        <v>2728.75</v>
      </c>
      <c r="J44">
        <f t="shared" si="4"/>
        <v>0</v>
      </c>
      <c r="K44">
        <f t="shared" si="5"/>
        <v>0</v>
      </c>
    </row>
    <row r="45" spans="1:11" x14ac:dyDescent="0.3">
      <c r="A45" s="7">
        <v>2000</v>
      </c>
      <c r="B45">
        <v>19</v>
      </c>
      <c r="C45">
        <v>0</v>
      </c>
      <c r="D45">
        <v>2</v>
      </c>
      <c r="E45" t="s">
        <v>17</v>
      </c>
      <c r="F45" s="10">
        <f t="shared" si="0"/>
        <v>380</v>
      </c>
      <c r="G45" s="14">
        <f t="shared" si="1"/>
        <v>0</v>
      </c>
      <c r="H45" s="7">
        <f t="shared" si="2"/>
        <v>2333</v>
      </c>
      <c r="I45" s="10">
        <f t="shared" si="3"/>
        <v>2380</v>
      </c>
      <c r="J45">
        <f t="shared" si="4"/>
        <v>0</v>
      </c>
      <c r="K45">
        <f t="shared" si="5"/>
        <v>0</v>
      </c>
    </row>
    <row r="46" spans="1:11" x14ac:dyDescent="0.3">
      <c r="A46" s="7">
        <v>3550</v>
      </c>
      <c r="B46">
        <v>8</v>
      </c>
      <c r="C46">
        <v>10</v>
      </c>
      <c r="D46">
        <v>1</v>
      </c>
      <c r="E46" t="s">
        <v>20</v>
      </c>
      <c r="F46" s="10">
        <f t="shared" si="0"/>
        <v>284</v>
      </c>
      <c r="G46" s="14">
        <f t="shared" si="1"/>
        <v>355</v>
      </c>
      <c r="H46" s="7">
        <f t="shared" si="2"/>
        <v>4666</v>
      </c>
      <c r="I46" s="10">
        <f t="shared" si="3"/>
        <v>4189</v>
      </c>
      <c r="J46">
        <f t="shared" si="4"/>
        <v>1</v>
      </c>
      <c r="K46">
        <f t="shared" si="5"/>
        <v>477</v>
      </c>
    </row>
    <row r="47" spans="1:11" x14ac:dyDescent="0.3">
      <c r="A47" s="7">
        <v>5530</v>
      </c>
      <c r="B47">
        <v>7</v>
      </c>
      <c r="C47">
        <v>35</v>
      </c>
      <c r="D47">
        <v>1</v>
      </c>
      <c r="E47" t="s">
        <v>18</v>
      </c>
      <c r="F47" s="10">
        <f t="shared" si="0"/>
        <v>388</v>
      </c>
      <c r="G47" s="14">
        <f t="shared" si="1"/>
        <v>1935.5</v>
      </c>
      <c r="H47" s="7">
        <f t="shared" si="2"/>
        <v>4666</v>
      </c>
      <c r="I47" s="10">
        <f t="shared" si="3"/>
        <v>7853.5</v>
      </c>
      <c r="J47">
        <f t="shared" si="4"/>
        <v>0</v>
      </c>
      <c r="K47">
        <f t="shared" si="5"/>
        <v>0</v>
      </c>
    </row>
    <row r="48" spans="1:11" x14ac:dyDescent="0.3">
      <c r="A48" s="7">
        <v>1168</v>
      </c>
      <c r="B48">
        <v>5</v>
      </c>
      <c r="C48">
        <v>0</v>
      </c>
      <c r="D48">
        <v>5</v>
      </c>
      <c r="E48" t="s">
        <v>15</v>
      </c>
      <c r="F48" s="10">
        <f t="shared" si="0"/>
        <v>59</v>
      </c>
      <c r="G48" s="14">
        <f t="shared" si="1"/>
        <v>0</v>
      </c>
      <c r="H48" s="7">
        <f t="shared" si="2"/>
        <v>933.2</v>
      </c>
      <c r="I48" s="10">
        <f t="shared" si="3"/>
        <v>1227</v>
      </c>
      <c r="J48">
        <f t="shared" si="4"/>
        <v>0</v>
      </c>
      <c r="K48">
        <f t="shared" si="5"/>
        <v>0</v>
      </c>
    </row>
    <row r="49" spans="1:11" x14ac:dyDescent="0.3">
      <c r="A49" s="7">
        <v>740</v>
      </c>
      <c r="B49">
        <v>0</v>
      </c>
      <c r="C49">
        <v>40</v>
      </c>
      <c r="D49">
        <v>4</v>
      </c>
      <c r="E49" t="s">
        <v>17</v>
      </c>
      <c r="F49" s="10">
        <f t="shared" si="0"/>
        <v>0</v>
      </c>
      <c r="G49" s="14">
        <f t="shared" si="1"/>
        <v>296</v>
      </c>
      <c r="H49" s="7">
        <f t="shared" si="2"/>
        <v>1166.5</v>
      </c>
      <c r="I49" s="10">
        <f t="shared" si="3"/>
        <v>1036</v>
      </c>
      <c r="J49">
        <f t="shared" si="4"/>
        <v>1</v>
      </c>
      <c r="K49">
        <f t="shared" si="5"/>
        <v>130.5</v>
      </c>
    </row>
    <row r="50" spans="1:11" x14ac:dyDescent="0.3">
      <c r="A50" s="7">
        <v>651</v>
      </c>
      <c r="B50">
        <v>7</v>
      </c>
      <c r="C50">
        <v>20</v>
      </c>
      <c r="D50">
        <v>10</v>
      </c>
      <c r="E50" t="s">
        <v>15</v>
      </c>
      <c r="F50" s="10">
        <f t="shared" si="0"/>
        <v>46</v>
      </c>
      <c r="G50" s="14">
        <f t="shared" si="1"/>
        <v>130.19999999999999</v>
      </c>
      <c r="H50" s="7">
        <f t="shared" si="2"/>
        <v>466.6</v>
      </c>
      <c r="I50" s="10">
        <f t="shared" si="3"/>
        <v>827.2</v>
      </c>
      <c r="J50">
        <f t="shared" si="4"/>
        <v>0</v>
      </c>
      <c r="K50">
        <f t="shared" si="5"/>
        <v>0</v>
      </c>
    </row>
    <row r="51" spans="1:11" x14ac:dyDescent="0.3">
      <c r="A51" s="7">
        <v>1055</v>
      </c>
      <c r="B51">
        <v>19</v>
      </c>
      <c r="C51">
        <v>45</v>
      </c>
      <c r="D51">
        <v>4</v>
      </c>
      <c r="E51" t="s">
        <v>20</v>
      </c>
      <c r="F51" s="10">
        <f t="shared" si="0"/>
        <v>201</v>
      </c>
      <c r="G51" s="14">
        <f t="shared" si="1"/>
        <v>474.75</v>
      </c>
      <c r="H51" s="7">
        <f t="shared" si="2"/>
        <v>1166.5</v>
      </c>
      <c r="I51" s="10">
        <f t="shared" si="3"/>
        <v>1730.75</v>
      </c>
      <c r="J51">
        <f t="shared" si="4"/>
        <v>0</v>
      </c>
      <c r="K51">
        <f t="shared" si="5"/>
        <v>0</v>
      </c>
    </row>
    <row r="52" spans="1:11" x14ac:dyDescent="0.3">
      <c r="A52" s="7">
        <v>900</v>
      </c>
      <c r="B52">
        <v>6</v>
      </c>
      <c r="C52">
        <v>20</v>
      </c>
      <c r="D52">
        <v>4</v>
      </c>
      <c r="E52" t="s">
        <v>15</v>
      </c>
      <c r="F52" s="10">
        <f t="shared" si="0"/>
        <v>54</v>
      </c>
      <c r="G52" s="14">
        <f t="shared" si="1"/>
        <v>180</v>
      </c>
      <c r="H52" s="7">
        <f t="shared" si="2"/>
        <v>1166.5</v>
      </c>
      <c r="I52" s="10">
        <f t="shared" si="3"/>
        <v>1134</v>
      </c>
      <c r="J52">
        <f t="shared" si="4"/>
        <v>1</v>
      </c>
      <c r="K52">
        <f t="shared" si="5"/>
        <v>32.5</v>
      </c>
    </row>
    <row r="53" spans="1:11" x14ac:dyDescent="0.3">
      <c r="A53" s="7">
        <v>2177</v>
      </c>
      <c r="B53">
        <v>6</v>
      </c>
      <c r="C53">
        <v>25</v>
      </c>
      <c r="D53">
        <v>3</v>
      </c>
      <c r="E53" t="s">
        <v>21</v>
      </c>
      <c r="F53" s="10">
        <f t="shared" si="0"/>
        <v>131</v>
      </c>
      <c r="G53" s="14">
        <f t="shared" si="1"/>
        <v>544.25</v>
      </c>
      <c r="H53" s="7">
        <f t="shared" si="2"/>
        <v>1555.33</v>
      </c>
      <c r="I53" s="10">
        <f t="shared" si="3"/>
        <v>2852.25</v>
      </c>
      <c r="J53">
        <f t="shared" si="4"/>
        <v>0</v>
      </c>
      <c r="K53">
        <f t="shared" si="5"/>
        <v>0</v>
      </c>
    </row>
    <row r="54" spans="1:11" x14ac:dyDescent="0.3">
      <c r="A54" s="7">
        <v>450</v>
      </c>
      <c r="B54">
        <v>20</v>
      </c>
      <c r="C54">
        <v>30</v>
      </c>
      <c r="D54">
        <v>10</v>
      </c>
      <c r="E54" t="s">
        <v>16</v>
      </c>
      <c r="F54" s="10">
        <f t="shared" si="0"/>
        <v>90</v>
      </c>
      <c r="G54" s="14">
        <f t="shared" si="1"/>
        <v>135</v>
      </c>
      <c r="H54" s="7">
        <f t="shared" si="2"/>
        <v>466.6</v>
      </c>
      <c r="I54" s="10">
        <f t="shared" si="3"/>
        <v>675</v>
      </c>
      <c r="J54">
        <f t="shared" si="4"/>
        <v>0</v>
      </c>
      <c r="K54">
        <f t="shared" si="5"/>
        <v>0</v>
      </c>
    </row>
    <row r="55" spans="1:11" x14ac:dyDescent="0.3">
      <c r="A55" s="7">
        <v>689</v>
      </c>
      <c r="B55">
        <v>7</v>
      </c>
      <c r="C55">
        <v>10</v>
      </c>
      <c r="D55">
        <v>9</v>
      </c>
      <c r="E55" t="s">
        <v>18</v>
      </c>
      <c r="F55" s="10">
        <f t="shared" si="0"/>
        <v>49</v>
      </c>
      <c r="G55" s="14">
        <f t="shared" si="1"/>
        <v>68.900000000000006</v>
      </c>
      <c r="H55" s="7">
        <f t="shared" si="2"/>
        <v>518.44000000000005</v>
      </c>
      <c r="I55" s="10">
        <f t="shared" si="3"/>
        <v>806.9</v>
      </c>
      <c r="J55">
        <f t="shared" si="4"/>
        <v>0</v>
      </c>
      <c r="K55">
        <f t="shared" si="5"/>
        <v>0</v>
      </c>
    </row>
    <row r="56" spans="1:11" x14ac:dyDescent="0.3">
      <c r="A56" s="7">
        <v>478</v>
      </c>
      <c r="B56">
        <v>9</v>
      </c>
      <c r="C56">
        <v>10</v>
      </c>
      <c r="D56">
        <v>8</v>
      </c>
      <c r="E56" t="s">
        <v>16</v>
      </c>
      <c r="F56" s="10">
        <f t="shared" si="0"/>
        <v>44</v>
      </c>
      <c r="G56" s="14">
        <f t="shared" si="1"/>
        <v>47.8</v>
      </c>
      <c r="H56" s="7">
        <f t="shared" si="2"/>
        <v>583.25</v>
      </c>
      <c r="I56" s="10">
        <f t="shared" si="3"/>
        <v>569.79999999999995</v>
      </c>
      <c r="J56">
        <f t="shared" si="4"/>
        <v>1</v>
      </c>
      <c r="K56">
        <f t="shared" si="5"/>
        <v>13.450000000000045</v>
      </c>
    </row>
    <row r="57" spans="1:11" x14ac:dyDescent="0.3">
      <c r="A57" s="7">
        <v>788</v>
      </c>
      <c r="B57">
        <v>9</v>
      </c>
      <c r="C57">
        <v>10</v>
      </c>
      <c r="D57">
        <v>5</v>
      </c>
      <c r="E57" t="s">
        <v>16</v>
      </c>
      <c r="F57" s="10">
        <f t="shared" si="0"/>
        <v>71</v>
      </c>
      <c r="G57" s="14">
        <f t="shared" si="1"/>
        <v>78.8</v>
      </c>
      <c r="H57" s="7">
        <f t="shared" si="2"/>
        <v>933.2</v>
      </c>
      <c r="I57" s="10">
        <f t="shared" si="3"/>
        <v>937.8</v>
      </c>
      <c r="J57">
        <f t="shared" si="4"/>
        <v>0</v>
      </c>
      <c r="K57">
        <f t="shared" si="5"/>
        <v>0</v>
      </c>
    </row>
    <row r="58" spans="1:11" x14ac:dyDescent="0.3">
      <c r="A58" s="7">
        <v>500</v>
      </c>
      <c r="B58">
        <v>7</v>
      </c>
      <c r="C58">
        <v>25</v>
      </c>
      <c r="D58">
        <v>9</v>
      </c>
      <c r="E58" t="s">
        <v>17</v>
      </c>
      <c r="F58" s="10">
        <f t="shared" si="0"/>
        <v>35</v>
      </c>
      <c r="G58" s="14">
        <f t="shared" si="1"/>
        <v>125</v>
      </c>
      <c r="H58" s="7">
        <f t="shared" si="2"/>
        <v>518.44000000000005</v>
      </c>
      <c r="I58" s="10">
        <f t="shared" si="3"/>
        <v>660</v>
      </c>
      <c r="J58">
        <f t="shared" si="4"/>
        <v>0</v>
      </c>
      <c r="K58">
        <f t="shared" si="5"/>
        <v>0</v>
      </c>
    </row>
    <row r="59" spans="1:11" x14ac:dyDescent="0.3">
      <c r="A59" s="7">
        <v>1347</v>
      </c>
      <c r="B59">
        <v>20</v>
      </c>
      <c r="C59">
        <v>45</v>
      </c>
      <c r="D59">
        <v>3</v>
      </c>
      <c r="E59" t="s">
        <v>16</v>
      </c>
      <c r="F59" s="10">
        <f t="shared" si="0"/>
        <v>270</v>
      </c>
      <c r="G59" s="14">
        <f t="shared" si="1"/>
        <v>606.15</v>
      </c>
      <c r="H59" s="7">
        <f t="shared" si="2"/>
        <v>1555.33</v>
      </c>
      <c r="I59" s="10">
        <f t="shared" si="3"/>
        <v>2223.15</v>
      </c>
      <c r="J59">
        <f t="shared" si="4"/>
        <v>0</v>
      </c>
      <c r="K59">
        <f t="shared" si="5"/>
        <v>0</v>
      </c>
    </row>
    <row r="60" spans="1:11" x14ac:dyDescent="0.3">
      <c r="A60" s="7">
        <v>4460</v>
      </c>
      <c r="B60">
        <v>18</v>
      </c>
      <c r="C60">
        <v>35</v>
      </c>
      <c r="D60">
        <v>1</v>
      </c>
      <c r="E60" t="s">
        <v>18</v>
      </c>
      <c r="F60" s="10">
        <f t="shared" si="0"/>
        <v>803</v>
      </c>
      <c r="G60" s="14">
        <f t="shared" si="1"/>
        <v>1561</v>
      </c>
      <c r="H60" s="7">
        <f t="shared" si="2"/>
        <v>4666</v>
      </c>
      <c r="I60" s="10">
        <f t="shared" si="3"/>
        <v>6824</v>
      </c>
      <c r="J60">
        <f t="shared" si="4"/>
        <v>0</v>
      </c>
      <c r="K60">
        <f t="shared" si="5"/>
        <v>0</v>
      </c>
    </row>
    <row r="61" spans="1:11" x14ac:dyDescent="0.3">
      <c r="A61" s="7">
        <v>796.5</v>
      </c>
      <c r="B61">
        <v>9</v>
      </c>
      <c r="C61">
        <v>7</v>
      </c>
      <c r="D61">
        <v>7</v>
      </c>
      <c r="E61" t="s">
        <v>15</v>
      </c>
      <c r="F61" s="10">
        <f t="shared" si="0"/>
        <v>72</v>
      </c>
      <c r="G61" s="14">
        <f t="shared" si="1"/>
        <v>55.76</v>
      </c>
      <c r="H61" s="7">
        <f t="shared" si="2"/>
        <v>666.57</v>
      </c>
      <c r="I61" s="10">
        <f t="shared" si="3"/>
        <v>924.26</v>
      </c>
      <c r="J61">
        <f t="shared" si="4"/>
        <v>0</v>
      </c>
      <c r="K61">
        <f t="shared" si="5"/>
        <v>0</v>
      </c>
    </row>
    <row r="62" spans="1:11" x14ac:dyDescent="0.3">
      <c r="A62" s="7">
        <v>4210</v>
      </c>
      <c r="B62">
        <v>19</v>
      </c>
      <c r="C62">
        <v>20</v>
      </c>
      <c r="D62">
        <v>1</v>
      </c>
      <c r="E62" t="s">
        <v>15</v>
      </c>
      <c r="F62" s="10">
        <f t="shared" si="0"/>
        <v>800</v>
      </c>
      <c r="G62" s="14">
        <f t="shared" si="1"/>
        <v>842</v>
      </c>
      <c r="H62" s="7">
        <f t="shared" si="2"/>
        <v>4666</v>
      </c>
      <c r="I62" s="10">
        <f t="shared" si="3"/>
        <v>5852</v>
      </c>
      <c r="J62">
        <f t="shared" si="4"/>
        <v>0</v>
      </c>
      <c r="K62">
        <f t="shared" si="5"/>
        <v>0</v>
      </c>
    </row>
    <row r="63" spans="1:11" x14ac:dyDescent="0.3">
      <c r="A63" s="7">
        <v>460</v>
      </c>
      <c r="B63">
        <v>11</v>
      </c>
      <c r="C63">
        <v>40</v>
      </c>
      <c r="D63">
        <v>7</v>
      </c>
      <c r="E63" t="s">
        <v>20</v>
      </c>
      <c r="F63" s="10">
        <f t="shared" si="0"/>
        <v>51</v>
      </c>
      <c r="G63" s="14">
        <f t="shared" si="1"/>
        <v>184</v>
      </c>
      <c r="H63" s="7">
        <f t="shared" si="2"/>
        <v>666.57</v>
      </c>
      <c r="I63" s="10">
        <f t="shared" si="3"/>
        <v>695</v>
      </c>
      <c r="J63">
        <f t="shared" si="4"/>
        <v>0</v>
      </c>
      <c r="K63">
        <f t="shared" si="5"/>
        <v>0</v>
      </c>
    </row>
    <row r="64" spans="1:11" x14ac:dyDescent="0.3">
      <c r="A64" s="7">
        <v>1548</v>
      </c>
      <c r="B64">
        <v>17</v>
      </c>
      <c r="C64">
        <v>50</v>
      </c>
      <c r="D64">
        <v>4</v>
      </c>
      <c r="E64" t="s">
        <v>17</v>
      </c>
      <c r="F64" s="10">
        <f t="shared" si="0"/>
        <v>264</v>
      </c>
      <c r="G64" s="14">
        <f t="shared" si="1"/>
        <v>774</v>
      </c>
      <c r="H64" s="7">
        <f t="shared" si="2"/>
        <v>1166.5</v>
      </c>
      <c r="I64" s="10">
        <f t="shared" si="3"/>
        <v>2586</v>
      </c>
      <c r="J64">
        <f t="shared" si="4"/>
        <v>0</v>
      </c>
      <c r="K64">
        <f t="shared" si="5"/>
        <v>0</v>
      </c>
    </row>
    <row r="65" spans="1:11" x14ac:dyDescent="0.3">
      <c r="A65" s="7">
        <v>870</v>
      </c>
      <c r="B65">
        <v>18</v>
      </c>
      <c r="C65">
        <v>40</v>
      </c>
      <c r="D65">
        <v>6</v>
      </c>
      <c r="E65" t="s">
        <v>19</v>
      </c>
      <c r="F65" s="10">
        <f t="shared" si="0"/>
        <v>157</v>
      </c>
      <c r="G65" s="14">
        <f t="shared" si="1"/>
        <v>348</v>
      </c>
      <c r="H65" s="7">
        <f t="shared" si="2"/>
        <v>777.67</v>
      </c>
      <c r="I65" s="10">
        <f t="shared" si="3"/>
        <v>1375</v>
      </c>
      <c r="J65">
        <f t="shared" si="4"/>
        <v>0</v>
      </c>
      <c r="K65">
        <f t="shared" si="5"/>
        <v>0</v>
      </c>
    </row>
    <row r="66" spans="1:11" x14ac:dyDescent="0.3">
      <c r="A66" s="7">
        <v>2950</v>
      </c>
      <c r="B66">
        <v>5</v>
      </c>
      <c r="C66">
        <v>50</v>
      </c>
      <c r="D66">
        <v>1</v>
      </c>
      <c r="E66" t="s">
        <v>15</v>
      </c>
      <c r="F66" s="10">
        <f t="shared" si="0"/>
        <v>148</v>
      </c>
      <c r="G66" s="14">
        <f t="shared" si="1"/>
        <v>1475</v>
      </c>
      <c r="H66" s="7">
        <f t="shared" si="2"/>
        <v>4666</v>
      </c>
      <c r="I66" s="10">
        <f t="shared" si="3"/>
        <v>4573</v>
      </c>
      <c r="J66">
        <f t="shared" si="4"/>
        <v>1</v>
      </c>
      <c r="K66">
        <f t="shared" si="5"/>
        <v>93</v>
      </c>
    </row>
    <row r="67" spans="1:11" x14ac:dyDescent="0.3">
      <c r="A67" s="7">
        <v>6490</v>
      </c>
      <c r="B67">
        <v>9</v>
      </c>
      <c r="C67">
        <v>25</v>
      </c>
      <c r="D67">
        <v>1</v>
      </c>
      <c r="E67" t="s">
        <v>21</v>
      </c>
      <c r="F67" s="10">
        <f t="shared" ref="F67:F130" si="6">ROUNDUP(0.01*B67*A67,0)</f>
        <v>585</v>
      </c>
      <c r="G67" s="14">
        <f t="shared" ref="G67:G130" si="7">ROUND(C67/100*A67,2)</f>
        <v>1622.5</v>
      </c>
      <c r="H67" s="7">
        <f t="shared" ref="H67:H130" si="8">ROUND(4666/D67:D566,2)</f>
        <v>4666</v>
      </c>
      <c r="I67" s="10">
        <f t="shared" ref="I67:I130" si="9">G67+A67+F67</f>
        <v>8697.5</v>
      </c>
      <c r="J67">
        <f t="shared" ref="J67:J130" si="10">IF(H67&gt;I67,1,0)</f>
        <v>0</v>
      </c>
      <c r="K67">
        <f t="shared" ref="K67:K130" si="11">IF(J67=1,H67-I67,0)</f>
        <v>0</v>
      </c>
    </row>
    <row r="68" spans="1:11" x14ac:dyDescent="0.3">
      <c r="A68" s="7">
        <v>4480</v>
      </c>
      <c r="B68">
        <v>4</v>
      </c>
      <c r="C68">
        <v>40</v>
      </c>
      <c r="D68">
        <v>1</v>
      </c>
      <c r="E68" t="s">
        <v>15</v>
      </c>
      <c r="F68" s="10">
        <f t="shared" si="6"/>
        <v>180</v>
      </c>
      <c r="G68" s="14">
        <f t="shared" si="7"/>
        <v>1792</v>
      </c>
      <c r="H68" s="7">
        <f t="shared" si="8"/>
        <v>4666</v>
      </c>
      <c r="I68" s="10">
        <f t="shared" si="9"/>
        <v>6452</v>
      </c>
      <c r="J68">
        <f t="shared" si="10"/>
        <v>0</v>
      </c>
      <c r="K68">
        <f t="shared" si="11"/>
        <v>0</v>
      </c>
    </row>
    <row r="69" spans="1:11" x14ac:dyDescent="0.3">
      <c r="A69" s="7">
        <v>6590</v>
      </c>
      <c r="B69">
        <v>19</v>
      </c>
      <c r="C69">
        <v>5</v>
      </c>
      <c r="D69">
        <v>1</v>
      </c>
      <c r="E69" t="s">
        <v>20</v>
      </c>
      <c r="F69" s="10">
        <f t="shared" si="6"/>
        <v>1253</v>
      </c>
      <c r="G69" s="14">
        <f t="shared" si="7"/>
        <v>329.5</v>
      </c>
      <c r="H69" s="7">
        <f t="shared" si="8"/>
        <v>4666</v>
      </c>
      <c r="I69" s="10">
        <f t="shared" si="9"/>
        <v>8172.5</v>
      </c>
      <c r="J69">
        <f t="shared" si="10"/>
        <v>0</v>
      </c>
      <c r="K69">
        <f t="shared" si="11"/>
        <v>0</v>
      </c>
    </row>
    <row r="70" spans="1:11" x14ac:dyDescent="0.3">
      <c r="A70" s="7">
        <v>3380</v>
      </c>
      <c r="B70">
        <v>15</v>
      </c>
      <c r="C70">
        <v>50</v>
      </c>
      <c r="D70">
        <v>1</v>
      </c>
      <c r="E70" t="s">
        <v>21</v>
      </c>
      <c r="F70" s="10">
        <f t="shared" si="6"/>
        <v>507</v>
      </c>
      <c r="G70" s="14">
        <f t="shared" si="7"/>
        <v>1690</v>
      </c>
      <c r="H70" s="7">
        <f t="shared" si="8"/>
        <v>4666</v>
      </c>
      <c r="I70" s="10">
        <f t="shared" si="9"/>
        <v>5577</v>
      </c>
      <c r="J70">
        <f t="shared" si="10"/>
        <v>0</v>
      </c>
      <c r="K70">
        <f t="shared" si="11"/>
        <v>0</v>
      </c>
    </row>
    <row r="71" spans="1:11" x14ac:dyDescent="0.3">
      <c r="A71" s="7">
        <v>1085</v>
      </c>
      <c r="B71">
        <v>6</v>
      </c>
      <c r="C71">
        <v>35</v>
      </c>
      <c r="D71">
        <v>6</v>
      </c>
      <c r="E71" t="s">
        <v>15</v>
      </c>
      <c r="F71" s="10">
        <f t="shared" si="6"/>
        <v>66</v>
      </c>
      <c r="G71" s="14">
        <f t="shared" si="7"/>
        <v>379.75</v>
      </c>
      <c r="H71" s="7">
        <f t="shared" si="8"/>
        <v>777.67</v>
      </c>
      <c r="I71" s="10">
        <f t="shared" si="9"/>
        <v>1530.75</v>
      </c>
      <c r="J71">
        <f t="shared" si="10"/>
        <v>0</v>
      </c>
      <c r="K71">
        <f t="shared" si="11"/>
        <v>0</v>
      </c>
    </row>
    <row r="72" spans="1:11" x14ac:dyDescent="0.3">
      <c r="A72" s="7">
        <v>546</v>
      </c>
      <c r="B72">
        <v>19</v>
      </c>
      <c r="C72">
        <v>45</v>
      </c>
      <c r="D72">
        <v>9</v>
      </c>
      <c r="E72" t="s">
        <v>20</v>
      </c>
      <c r="F72" s="10">
        <f t="shared" si="6"/>
        <v>104</v>
      </c>
      <c r="G72" s="14">
        <f t="shared" si="7"/>
        <v>245.7</v>
      </c>
      <c r="H72" s="7">
        <f t="shared" si="8"/>
        <v>518.44000000000005</v>
      </c>
      <c r="I72" s="10">
        <f t="shared" si="9"/>
        <v>895.7</v>
      </c>
      <c r="J72">
        <f t="shared" si="10"/>
        <v>0</v>
      </c>
      <c r="K72">
        <f t="shared" si="11"/>
        <v>0</v>
      </c>
    </row>
    <row r="73" spans="1:11" x14ac:dyDescent="0.3">
      <c r="A73" s="7">
        <v>5900</v>
      </c>
      <c r="B73">
        <v>14</v>
      </c>
      <c r="C73">
        <v>45</v>
      </c>
      <c r="D73">
        <v>1</v>
      </c>
      <c r="E73" t="s">
        <v>20</v>
      </c>
      <c r="F73" s="10">
        <f t="shared" si="6"/>
        <v>826</v>
      </c>
      <c r="G73" s="14">
        <f t="shared" si="7"/>
        <v>2655</v>
      </c>
      <c r="H73" s="7">
        <f t="shared" si="8"/>
        <v>4666</v>
      </c>
      <c r="I73" s="10">
        <f t="shared" si="9"/>
        <v>9381</v>
      </c>
      <c r="J73">
        <f t="shared" si="10"/>
        <v>0</v>
      </c>
      <c r="K73">
        <f t="shared" si="11"/>
        <v>0</v>
      </c>
    </row>
    <row r="74" spans="1:11" x14ac:dyDescent="0.3">
      <c r="A74" s="7">
        <v>5000</v>
      </c>
      <c r="B74">
        <v>14</v>
      </c>
      <c r="C74">
        <v>40</v>
      </c>
      <c r="D74">
        <v>1</v>
      </c>
      <c r="E74" t="s">
        <v>17</v>
      </c>
      <c r="F74" s="10">
        <f t="shared" si="6"/>
        <v>700</v>
      </c>
      <c r="G74" s="14">
        <f t="shared" si="7"/>
        <v>2000</v>
      </c>
      <c r="H74" s="7">
        <f t="shared" si="8"/>
        <v>4666</v>
      </c>
      <c r="I74" s="10">
        <f t="shared" si="9"/>
        <v>7700</v>
      </c>
      <c r="J74">
        <f t="shared" si="10"/>
        <v>0</v>
      </c>
      <c r="K74">
        <f t="shared" si="11"/>
        <v>0</v>
      </c>
    </row>
    <row r="75" spans="1:11" x14ac:dyDescent="0.3">
      <c r="A75" s="7">
        <v>6980</v>
      </c>
      <c r="B75">
        <v>20</v>
      </c>
      <c r="C75">
        <v>15</v>
      </c>
      <c r="D75">
        <v>1</v>
      </c>
      <c r="E75" t="s">
        <v>16</v>
      </c>
      <c r="F75" s="10">
        <f t="shared" si="6"/>
        <v>1396</v>
      </c>
      <c r="G75" s="14">
        <f t="shared" si="7"/>
        <v>1047</v>
      </c>
      <c r="H75" s="7">
        <f t="shared" si="8"/>
        <v>4666</v>
      </c>
      <c r="I75" s="10">
        <f t="shared" si="9"/>
        <v>9423</v>
      </c>
      <c r="J75">
        <f t="shared" si="10"/>
        <v>0</v>
      </c>
      <c r="K75">
        <f t="shared" si="11"/>
        <v>0</v>
      </c>
    </row>
    <row r="76" spans="1:11" x14ac:dyDescent="0.3">
      <c r="A76" s="7">
        <v>1120</v>
      </c>
      <c r="B76">
        <v>7</v>
      </c>
      <c r="C76">
        <v>0</v>
      </c>
      <c r="D76">
        <v>6</v>
      </c>
      <c r="E76" t="s">
        <v>18</v>
      </c>
      <c r="F76" s="10">
        <f t="shared" si="6"/>
        <v>79</v>
      </c>
      <c r="G76" s="14">
        <f t="shared" si="7"/>
        <v>0</v>
      </c>
      <c r="H76" s="7">
        <f t="shared" si="8"/>
        <v>777.67</v>
      </c>
      <c r="I76" s="10">
        <f t="shared" si="9"/>
        <v>1199</v>
      </c>
      <c r="J76">
        <f t="shared" si="10"/>
        <v>0</v>
      </c>
      <c r="K76">
        <f t="shared" si="11"/>
        <v>0</v>
      </c>
    </row>
    <row r="77" spans="1:11" x14ac:dyDescent="0.3">
      <c r="A77" s="7">
        <v>410</v>
      </c>
      <c r="B77">
        <v>7</v>
      </c>
      <c r="C77">
        <v>30</v>
      </c>
      <c r="D77">
        <v>10</v>
      </c>
      <c r="E77" t="s">
        <v>20</v>
      </c>
      <c r="F77" s="10">
        <f t="shared" si="6"/>
        <v>29</v>
      </c>
      <c r="G77" s="14">
        <f t="shared" si="7"/>
        <v>123</v>
      </c>
      <c r="H77" s="7">
        <f t="shared" si="8"/>
        <v>466.6</v>
      </c>
      <c r="I77" s="10">
        <f t="shared" si="9"/>
        <v>562</v>
      </c>
      <c r="J77">
        <f t="shared" si="10"/>
        <v>0</v>
      </c>
      <c r="K77">
        <f t="shared" si="11"/>
        <v>0</v>
      </c>
    </row>
    <row r="78" spans="1:11" x14ac:dyDescent="0.3">
      <c r="A78" s="7">
        <v>1098</v>
      </c>
      <c r="B78">
        <v>0</v>
      </c>
      <c r="C78">
        <v>15</v>
      </c>
      <c r="D78">
        <v>5</v>
      </c>
      <c r="E78" t="s">
        <v>15</v>
      </c>
      <c r="F78" s="10">
        <f t="shared" si="6"/>
        <v>0</v>
      </c>
      <c r="G78" s="14">
        <f t="shared" si="7"/>
        <v>164.7</v>
      </c>
      <c r="H78" s="7">
        <f t="shared" si="8"/>
        <v>933.2</v>
      </c>
      <c r="I78" s="10">
        <f t="shared" si="9"/>
        <v>1262.7</v>
      </c>
      <c r="J78">
        <f t="shared" si="10"/>
        <v>0</v>
      </c>
      <c r="K78">
        <f t="shared" si="11"/>
        <v>0</v>
      </c>
    </row>
    <row r="79" spans="1:11" x14ac:dyDescent="0.3">
      <c r="A79" s="7">
        <v>696</v>
      </c>
      <c r="B79">
        <v>4</v>
      </c>
      <c r="C79">
        <v>40</v>
      </c>
      <c r="D79">
        <v>10</v>
      </c>
      <c r="E79" t="s">
        <v>21</v>
      </c>
      <c r="F79" s="10">
        <f t="shared" si="6"/>
        <v>28</v>
      </c>
      <c r="G79" s="14">
        <f t="shared" si="7"/>
        <v>278.39999999999998</v>
      </c>
      <c r="H79" s="7">
        <f t="shared" si="8"/>
        <v>466.6</v>
      </c>
      <c r="I79" s="10">
        <f t="shared" si="9"/>
        <v>1002.4</v>
      </c>
      <c r="J79">
        <f t="shared" si="10"/>
        <v>0</v>
      </c>
      <c r="K79">
        <f t="shared" si="11"/>
        <v>0</v>
      </c>
    </row>
    <row r="80" spans="1:11" x14ac:dyDescent="0.3">
      <c r="A80" s="7">
        <v>860</v>
      </c>
      <c r="B80">
        <v>5</v>
      </c>
      <c r="C80">
        <v>15</v>
      </c>
      <c r="D80">
        <v>6</v>
      </c>
      <c r="E80" t="s">
        <v>19</v>
      </c>
      <c r="F80" s="10">
        <f t="shared" si="6"/>
        <v>43</v>
      </c>
      <c r="G80" s="14">
        <f t="shared" si="7"/>
        <v>129</v>
      </c>
      <c r="H80" s="7">
        <f t="shared" si="8"/>
        <v>777.67</v>
      </c>
      <c r="I80" s="10">
        <f t="shared" si="9"/>
        <v>1032</v>
      </c>
      <c r="J80">
        <f t="shared" si="10"/>
        <v>0</v>
      </c>
      <c r="K80">
        <f t="shared" si="11"/>
        <v>0</v>
      </c>
    </row>
    <row r="81" spans="1:11" x14ac:dyDescent="0.3">
      <c r="A81" s="7">
        <v>6400</v>
      </c>
      <c r="B81">
        <v>3</v>
      </c>
      <c r="C81">
        <v>5</v>
      </c>
      <c r="D81">
        <v>1</v>
      </c>
      <c r="E81" t="s">
        <v>15</v>
      </c>
      <c r="F81" s="10">
        <f t="shared" si="6"/>
        <v>192</v>
      </c>
      <c r="G81" s="14">
        <f t="shared" si="7"/>
        <v>320</v>
      </c>
      <c r="H81" s="7">
        <f t="shared" si="8"/>
        <v>4666</v>
      </c>
      <c r="I81" s="10">
        <f t="shared" si="9"/>
        <v>6912</v>
      </c>
      <c r="J81">
        <f t="shared" si="10"/>
        <v>0</v>
      </c>
      <c r="K81">
        <f t="shared" si="11"/>
        <v>0</v>
      </c>
    </row>
    <row r="82" spans="1:11" x14ac:dyDescent="0.3">
      <c r="A82" s="7">
        <v>4590</v>
      </c>
      <c r="B82">
        <v>18</v>
      </c>
      <c r="C82">
        <v>5</v>
      </c>
      <c r="D82">
        <v>1</v>
      </c>
      <c r="E82" t="s">
        <v>15</v>
      </c>
      <c r="F82" s="10">
        <f t="shared" si="6"/>
        <v>827</v>
      </c>
      <c r="G82" s="14">
        <f t="shared" si="7"/>
        <v>229.5</v>
      </c>
      <c r="H82" s="7">
        <f t="shared" si="8"/>
        <v>4666</v>
      </c>
      <c r="I82" s="10">
        <f t="shared" si="9"/>
        <v>5646.5</v>
      </c>
      <c r="J82">
        <f t="shared" si="10"/>
        <v>0</v>
      </c>
      <c r="K82">
        <f t="shared" si="11"/>
        <v>0</v>
      </c>
    </row>
    <row r="83" spans="1:11" x14ac:dyDescent="0.3">
      <c r="A83" s="7">
        <v>505</v>
      </c>
      <c r="B83">
        <v>1</v>
      </c>
      <c r="C83">
        <v>50</v>
      </c>
      <c r="D83">
        <v>6</v>
      </c>
      <c r="E83" t="s">
        <v>19</v>
      </c>
      <c r="F83" s="10">
        <f t="shared" si="6"/>
        <v>6</v>
      </c>
      <c r="G83" s="14">
        <f t="shared" si="7"/>
        <v>252.5</v>
      </c>
      <c r="H83" s="7">
        <f t="shared" si="8"/>
        <v>777.67</v>
      </c>
      <c r="I83" s="10">
        <f t="shared" si="9"/>
        <v>763.5</v>
      </c>
      <c r="J83">
        <f t="shared" si="10"/>
        <v>1</v>
      </c>
      <c r="K83">
        <f t="shared" si="11"/>
        <v>14.169999999999959</v>
      </c>
    </row>
    <row r="84" spans="1:11" x14ac:dyDescent="0.3">
      <c r="A84" s="7">
        <v>4620</v>
      </c>
      <c r="B84">
        <v>0</v>
      </c>
      <c r="C84">
        <v>45</v>
      </c>
      <c r="D84">
        <v>1</v>
      </c>
      <c r="E84" t="s">
        <v>19</v>
      </c>
      <c r="F84" s="10">
        <f t="shared" si="6"/>
        <v>0</v>
      </c>
      <c r="G84" s="14">
        <f t="shared" si="7"/>
        <v>2079</v>
      </c>
      <c r="H84" s="7">
        <f t="shared" si="8"/>
        <v>4666</v>
      </c>
      <c r="I84" s="10">
        <f t="shared" si="9"/>
        <v>6699</v>
      </c>
      <c r="J84">
        <f t="shared" si="10"/>
        <v>0</v>
      </c>
      <c r="K84">
        <f t="shared" si="11"/>
        <v>0</v>
      </c>
    </row>
    <row r="85" spans="1:11" x14ac:dyDescent="0.3">
      <c r="A85" s="7">
        <v>3810</v>
      </c>
      <c r="B85">
        <v>20</v>
      </c>
      <c r="C85">
        <v>30</v>
      </c>
      <c r="D85">
        <v>1</v>
      </c>
      <c r="E85" t="s">
        <v>20</v>
      </c>
      <c r="F85" s="10">
        <f t="shared" si="6"/>
        <v>762</v>
      </c>
      <c r="G85" s="14">
        <f t="shared" si="7"/>
        <v>1143</v>
      </c>
      <c r="H85" s="7">
        <f t="shared" si="8"/>
        <v>4666</v>
      </c>
      <c r="I85" s="10">
        <f t="shared" si="9"/>
        <v>5715</v>
      </c>
      <c r="J85">
        <f t="shared" si="10"/>
        <v>0</v>
      </c>
      <c r="K85">
        <f t="shared" si="11"/>
        <v>0</v>
      </c>
    </row>
    <row r="86" spans="1:11" x14ac:dyDescent="0.3">
      <c r="A86" s="7">
        <v>1588</v>
      </c>
      <c r="B86">
        <v>3</v>
      </c>
      <c r="C86">
        <v>10</v>
      </c>
      <c r="D86">
        <v>4</v>
      </c>
      <c r="E86" t="s">
        <v>21</v>
      </c>
      <c r="F86" s="10">
        <f t="shared" si="6"/>
        <v>48</v>
      </c>
      <c r="G86" s="14">
        <f t="shared" si="7"/>
        <v>158.80000000000001</v>
      </c>
      <c r="H86" s="7">
        <f t="shared" si="8"/>
        <v>1166.5</v>
      </c>
      <c r="I86" s="10">
        <f t="shared" si="9"/>
        <v>1794.8</v>
      </c>
      <c r="J86">
        <f t="shared" si="10"/>
        <v>0</v>
      </c>
      <c r="K86">
        <f t="shared" si="11"/>
        <v>0</v>
      </c>
    </row>
    <row r="87" spans="1:11" x14ac:dyDescent="0.3">
      <c r="A87" s="7">
        <v>5730</v>
      </c>
      <c r="B87">
        <v>12</v>
      </c>
      <c r="C87">
        <v>50</v>
      </c>
      <c r="D87">
        <v>1</v>
      </c>
      <c r="E87" t="s">
        <v>21</v>
      </c>
      <c r="F87" s="10">
        <f t="shared" si="6"/>
        <v>688</v>
      </c>
      <c r="G87" s="14">
        <f t="shared" si="7"/>
        <v>2865</v>
      </c>
      <c r="H87" s="7">
        <f t="shared" si="8"/>
        <v>4666</v>
      </c>
      <c r="I87" s="10">
        <f t="shared" si="9"/>
        <v>9283</v>
      </c>
      <c r="J87">
        <f t="shared" si="10"/>
        <v>0</v>
      </c>
      <c r="K87">
        <f t="shared" si="11"/>
        <v>0</v>
      </c>
    </row>
    <row r="88" spans="1:11" x14ac:dyDescent="0.3">
      <c r="A88" s="7">
        <v>909</v>
      </c>
      <c r="B88">
        <v>11</v>
      </c>
      <c r="C88">
        <v>45</v>
      </c>
      <c r="D88">
        <v>7</v>
      </c>
      <c r="E88" t="s">
        <v>16</v>
      </c>
      <c r="F88" s="10">
        <f t="shared" si="6"/>
        <v>100</v>
      </c>
      <c r="G88" s="14">
        <f t="shared" si="7"/>
        <v>409.05</v>
      </c>
      <c r="H88" s="7">
        <f t="shared" si="8"/>
        <v>666.57</v>
      </c>
      <c r="I88" s="10">
        <f t="shared" si="9"/>
        <v>1418.05</v>
      </c>
      <c r="J88">
        <f t="shared" si="10"/>
        <v>0</v>
      </c>
      <c r="K88">
        <f t="shared" si="11"/>
        <v>0</v>
      </c>
    </row>
    <row r="89" spans="1:11" x14ac:dyDescent="0.3">
      <c r="A89" s="7">
        <v>968</v>
      </c>
      <c r="B89">
        <v>10</v>
      </c>
      <c r="C89">
        <v>5</v>
      </c>
      <c r="D89">
        <v>6</v>
      </c>
      <c r="E89" t="s">
        <v>15</v>
      </c>
      <c r="F89" s="10">
        <f t="shared" si="6"/>
        <v>97</v>
      </c>
      <c r="G89" s="14">
        <f t="shared" si="7"/>
        <v>48.4</v>
      </c>
      <c r="H89" s="7">
        <f t="shared" si="8"/>
        <v>777.67</v>
      </c>
      <c r="I89" s="10">
        <f t="shared" si="9"/>
        <v>1113.4000000000001</v>
      </c>
      <c r="J89">
        <f t="shared" si="10"/>
        <v>0</v>
      </c>
      <c r="K89">
        <f t="shared" si="11"/>
        <v>0</v>
      </c>
    </row>
    <row r="90" spans="1:11" x14ac:dyDescent="0.3">
      <c r="A90" s="7">
        <v>691</v>
      </c>
      <c r="B90">
        <v>17</v>
      </c>
      <c r="C90">
        <v>5</v>
      </c>
      <c r="D90">
        <v>10</v>
      </c>
      <c r="E90" t="s">
        <v>16</v>
      </c>
      <c r="F90" s="10">
        <f t="shared" si="6"/>
        <v>118</v>
      </c>
      <c r="G90" s="14">
        <f t="shared" si="7"/>
        <v>34.549999999999997</v>
      </c>
      <c r="H90" s="7">
        <f t="shared" si="8"/>
        <v>466.6</v>
      </c>
      <c r="I90" s="10">
        <f t="shared" si="9"/>
        <v>843.55</v>
      </c>
      <c r="J90">
        <f t="shared" si="10"/>
        <v>0</v>
      </c>
      <c r="K90">
        <f t="shared" si="11"/>
        <v>0</v>
      </c>
    </row>
    <row r="91" spans="1:11" x14ac:dyDescent="0.3">
      <c r="A91" s="7">
        <v>555</v>
      </c>
      <c r="B91">
        <v>18</v>
      </c>
      <c r="C91">
        <v>5</v>
      </c>
      <c r="D91">
        <v>8</v>
      </c>
      <c r="E91" t="s">
        <v>19</v>
      </c>
      <c r="F91" s="10">
        <f t="shared" si="6"/>
        <v>100</v>
      </c>
      <c r="G91" s="14">
        <f t="shared" si="7"/>
        <v>27.75</v>
      </c>
      <c r="H91" s="7">
        <f t="shared" si="8"/>
        <v>583.25</v>
      </c>
      <c r="I91" s="10">
        <f t="shared" si="9"/>
        <v>682.75</v>
      </c>
      <c r="J91">
        <f t="shared" si="10"/>
        <v>0</v>
      </c>
      <c r="K91">
        <f t="shared" si="11"/>
        <v>0</v>
      </c>
    </row>
    <row r="92" spans="1:11" x14ac:dyDescent="0.3">
      <c r="A92" s="7">
        <v>4350</v>
      </c>
      <c r="B92">
        <v>2</v>
      </c>
      <c r="C92">
        <v>5</v>
      </c>
      <c r="D92">
        <v>1</v>
      </c>
      <c r="E92" t="s">
        <v>17</v>
      </c>
      <c r="F92" s="10">
        <f t="shared" si="6"/>
        <v>87</v>
      </c>
      <c r="G92" s="14">
        <f t="shared" si="7"/>
        <v>217.5</v>
      </c>
      <c r="H92" s="7">
        <f t="shared" si="8"/>
        <v>4666</v>
      </c>
      <c r="I92" s="10">
        <f t="shared" si="9"/>
        <v>4654.5</v>
      </c>
      <c r="J92">
        <f t="shared" si="10"/>
        <v>1</v>
      </c>
      <c r="K92">
        <f t="shared" si="11"/>
        <v>11.5</v>
      </c>
    </row>
    <row r="93" spans="1:11" x14ac:dyDescent="0.3">
      <c r="A93" s="7">
        <v>930</v>
      </c>
      <c r="B93">
        <v>2</v>
      </c>
      <c r="C93">
        <v>15</v>
      </c>
      <c r="D93">
        <v>5</v>
      </c>
      <c r="E93" t="s">
        <v>16</v>
      </c>
      <c r="F93" s="10">
        <f t="shared" si="6"/>
        <v>19</v>
      </c>
      <c r="G93" s="14">
        <f t="shared" si="7"/>
        <v>139.5</v>
      </c>
      <c r="H93" s="7">
        <f t="shared" si="8"/>
        <v>933.2</v>
      </c>
      <c r="I93" s="10">
        <f t="shared" si="9"/>
        <v>1088.5</v>
      </c>
      <c r="J93">
        <f t="shared" si="10"/>
        <v>0</v>
      </c>
      <c r="K93">
        <f t="shared" si="11"/>
        <v>0</v>
      </c>
    </row>
    <row r="94" spans="1:11" x14ac:dyDescent="0.3">
      <c r="A94" s="7">
        <v>1907</v>
      </c>
      <c r="B94">
        <v>11</v>
      </c>
      <c r="C94">
        <v>45</v>
      </c>
      <c r="D94">
        <v>3</v>
      </c>
      <c r="E94" t="s">
        <v>20</v>
      </c>
      <c r="F94" s="10">
        <f t="shared" si="6"/>
        <v>210</v>
      </c>
      <c r="G94" s="14">
        <f t="shared" si="7"/>
        <v>858.15</v>
      </c>
      <c r="H94" s="7">
        <f t="shared" si="8"/>
        <v>1555.33</v>
      </c>
      <c r="I94" s="10">
        <f t="shared" si="9"/>
        <v>2975.15</v>
      </c>
      <c r="J94">
        <f t="shared" si="10"/>
        <v>0</v>
      </c>
      <c r="K94">
        <f t="shared" si="11"/>
        <v>0</v>
      </c>
    </row>
    <row r="95" spans="1:11" x14ac:dyDescent="0.3">
      <c r="A95" s="7">
        <v>393</v>
      </c>
      <c r="B95">
        <v>2</v>
      </c>
      <c r="C95">
        <v>20</v>
      </c>
      <c r="D95">
        <v>9</v>
      </c>
      <c r="E95" t="s">
        <v>18</v>
      </c>
      <c r="F95" s="10">
        <f t="shared" si="6"/>
        <v>8</v>
      </c>
      <c r="G95" s="14">
        <f t="shared" si="7"/>
        <v>78.599999999999994</v>
      </c>
      <c r="H95" s="7">
        <f t="shared" si="8"/>
        <v>518.44000000000005</v>
      </c>
      <c r="I95" s="10">
        <f t="shared" si="9"/>
        <v>479.6</v>
      </c>
      <c r="J95">
        <f t="shared" si="10"/>
        <v>1</v>
      </c>
      <c r="K95">
        <f t="shared" si="11"/>
        <v>38.840000000000032</v>
      </c>
    </row>
    <row r="96" spans="1:11" x14ac:dyDescent="0.3">
      <c r="A96" s="7">
        <v>5760</v>
      </c>
      <c r="B96">
        <v>14</v>
      </c>
      <c r="C96">
        <v>20</v>
      </c>
      <c r="D96">
        <v>1</v>
      </c>
      <c r="E96" t="s">
        <v>18</v>
      </c>
      <c r="F96" s="10">
        <f t="shared" si="6"/>
        <v>807</v>
      </c>
      <c r="G96" s="14">
        <f t="shared" si="7"/>
        <v>1152</v>
      </c>
      <c r="H96" s="7">
        <f t="shared" si="8"/>
        <v>4666</v>
      </c>
      <c r="I96" s="10">
        <f t="shared" si="9"/>
        <v>7719</v>
      </c>
      <c r="J96">
        <f t="shared" si="10"/>
        <v>0</v>
      </c>
      <c r="K96">
        <f t="shared" si="11"/>
        <v>0</v>
      </c>
    </row>
    <row r="97" spans="1:11" x14ac:dyDescent="0.3">
      <c r="A97" s="7">
        <v>1807</v>
      </c>
      <c r="B97">
        <v>11</v>
      </c>
      <c r="C97">
        <v>15</v>
      </c>
      <c r="D97">
        <v>3</v>
      </c>
      <c r="E97" t="s">
        <v>19</v>
      </c>
      <c r="F97" s="10">
        <f t="shared" si="6"/>
        <v>199</v>
      </c>
      <c r="G97" s="14">
        <f t="shared" si="7"/>
        <v>271.05</v>
      </c>
      <c r="H97" s="7">
        <f t="shared" si="8"/>
        <v>1555.33</v>
      </c>
      <c r="I97" s="10">
        <f t="shared" si="9"/>
        <v>2277.0500000000002</v>
      </c>
      <c r="J97">
        <f t="shared" si="10"/>
        <v>0</v>
      </c>
      <c r="K97">
        <f t="shared" si="11"/>
        <v>0</v>
      </c>
    </row>
    <row r="98" spans="1:11" x14ac:dyDescent="0.3">
      <c r="A98" s="7">
        <v>1107</v>
      </c>
      <c r="B98">
        <v>15</v>
      </c>
      <c r="C98">
        <v>10</v>
      </c>
      <c r="D98">
        <v>3</v>
      </c>
      <c r="E98" t="s">
        <v>18</v>
      </c>
      <c r="F98" s="10">
        <f t="shared" si="6"/>
        <v>167</v>
      </c>
      <c r="G98" s="14">
        <f t="shared" si="7"/>
        <v>110.7</v>
      </c>
      <c r="H98" s="7">
        <f t="shared" si="8"/>
        <v>1555.33</v>
      </c>
      <c r="I98" s="10">
        <f t="shared" si="9"/>
        <v>1384.7</v>
      </c>
      <c r="J98">
        <f t="shared" si="10"/>
        <v>1</v>
      </c>
      <c r="K98">
        <f t="shared" si="11"/>
        <v>170.62999999999988</v>
      </c>
    </row>
    <row r="99" spans="1:11" x14ac:dyDescent="0.3">
      <c r="A99" s="7">
        <v>370</v>
      </c>
      <c r="B99">
        <v>15</v>
      </c>
      <c r="C99">
        <v>10</v>
      </c>
      <c r="D99">
        <v>9</v>
      </c>
      <c r="E99" t="s">
        <v>17</v>
      </c>
      <c r="F99" s="10">
        <f t="shared" si="6"/>
        <v>56</v>
      </c>
      <c r="G99" s="14">
        <f t="shared" si="7"/>
        <v>37</v>
      </c>
      <c r="H99" s="7">
        <f t="shared" si="8"/>
        <v>518.44000000000005</v>
      </c>
      <c r="I99" s="10">
        <f t="shared" si="9"/>
        <v>463</v>
      </c>
      <c r="J99">
        <f t="shared" si="10"/>
        <v>1</v>
      </c>
      <c r="K99">
        <f t="shared" si="11"/>
        <v>55.440000000000055</v>
      </c>
    </row>
    <row r="100" spans="1:11" x14ac:dyDescent="0.3">
      <c r="A100" s="7">
        <v>3275</v>
      </c>
      <c r="B100">
        <v>10</v>
      </c>
      <c r="C100">
        <v>45</v>
      </c>
      <c r="D100">
        <v>2</v>
      </c>
      <c r="E100" t="s">
        <v>21</v>
      </c>
      <c r="F100" s="10">
        <f t="shared" si="6"/>
        <v>328</v>
      </c>
      <c r="G100" s="14">
        <f t="shared" si="7"/>
        <v>1473.75</v>
      </c>
      <c r="H100" s="7">
        <f t="shared" si="8"/>
        <v>2333</v>
      </c>
      <c r="I100" s="10">
        <f t="shared" si="9"/>
        <v>5076.75</v>
      </c>
      <c r="J100">
        <f t="shared" si="10"/>
        <v>0</v>
      </c>
      <c r="K100">
        <f t="shared" si="11"/>
        <v>0</v>
      </c>
    </row>
    <row r="101" spans="1:11" x14ac:dyDescent="0.3">
      <c r="A101" s="7">
        <v>5960</v>
      </c>
      <c r="B101">
        <v>15</v>
      </c>
      <c r="C101">
        <v>35</v>
      </c>
      <c r="D101">
        <v>1</v>
      </c>
      <c r="E101" t="s">
        <v>15</v>
      </c>
      <c r="F101" s="10">
        <f t="shared" si="6"/>
        <v>894</v>
      </c>
      <c r="G101" s="14">
        <f t="shared" si="7"/>
        <v>2086</v>
      </c>
      <c r="H101" s="7">
        <f t="shared" si="8"/>
        <v>4666</v>
      </c>
      <c r="I101" s="10">
        <f t="shared" si="9"/>
        <v>8940</v>
      </c>
      <c r="J101">
        <f t="shared" si="10"/>
        <v>0</v>
      </c>
      <c r="K101">
        <f t="shared" si="11"/>
        <v>0</v>
      </c>
    </row>
    <row r="102" spans="1:11" x14ac:dyDescent="0.3">
      <c r="A102" s="7">
        <v>4650</v>
      </c>
      <c r="B102">
        <v>5</v>
      </c>
      <c r="C102">
        <v>35</v>
      </c>
      <c r="D102">
        <v>1</v>
      </c>
      <c r="E102" t="s">
        <v>20</v>
      </c>
      <c r="F102" s="10">
        <f t="shared" si="6"/>
        <v>233</v>
      </c>
      <c r="G102" s="14">
        <f t="shared" si="7"/>
        <v>1627.5</v>
      </c>
      <c r="H102" s="7">
        <f t="shared" si="8"/>
        <v>4666</v>
      </c>
      <c r="I102" s="10">
        <f t="shared" si="9"/>
        <v>6510.5</v>
      </c>
      <c r="J102">
        <f t="shared" si="10"/>
        <v>0</v>
      </c>
      <c r="K102">
        <f t="shared" si="11"/>
        <v>0</v>
      </c>
    </row>
    <row r="103" spans="1:11" x14ac:dyDescent="0.3">
      <c r="A103" s="7">
        <v>435</v>
      </c>
      <c r="B103">
        <v>7</v>
      </c>
      <c r="C103">
        <v>35</v>
      </c>
      <c r="D103">
        <v>10</v>
      </c>
      <c r="E103" t="s">
        <v>17</v>
      </c>
      <c r="F103" s="10">
        <f t="shared" si="6"/>
        <v>31</v>
      </c>
      <c r="G103" s="14">
        <f t="shared" si="7"/>
        <v>152.25</v>
      </c>
      <c r="H103" s="7">
        <f t="shared" si="8"/>
        <v>466.6</v>
      </c>
      <c r="I103" s="10">
        <f t="shared" si="9"/>
        <v>618.25</v>
      </c>
      <c r="J103">
        <f t="shared" si="10"/>
        <v>0</v>
      </c>
      <c r="K103">
        <f t="shared" si="11"/>
        <v>0</v>
      </c>
    </row>
    <row r="104" spans="1:11" x14ac:dyDescent="0.3">
      <c r="A104" s="7">
        <v>736</v>
      </c>
      <c r="B104">
        <v>19</v>
      </c>
      <c r="C104">
        <v>15</v>
      </c>
      <c r="D104">
        <v>7</v>
      </c>
      <c r="E104" t="s">
        <v>16</v>
      </c>
      <c r="F104" s="10">
        <f t="shared" si="6"/>
        <v>140</v>
      </c>
      <c r="G104" s="14">
        <f t="shared" si="7"/>
        <v>110.4</v>
      </c>
      <c r="H104" s="7">
        <f t="shared" si="8"/>
        <v>666.57</v>
      </c>
      <c r="I104" s="10">
        <f t="shared" si="9"/>
        <v>986.4</v>
      </c>
      <c r="J104">
        <f t="shared" si="10"/>
        <v>0</v>
      </c>
      <c r="K104">
        <f t="shared" si="11"/>
        <v>0</v>
      </c>
    </row>
    <row r="105" spans="1:11" x14ac:dyDescent="0.3">
      <c r="A105" s="7">
        <v>4230</v>
      </c>
      <c r="B105">
        <v>20</v>
      </c>
      <c r="C105">
        <v>35</v>
      </c>
      <c r="D105">
        <v>1</v>
      </c>
      <c r="E105" t="s">
        <v>18</v>
      </c>
      <c r="F105" s="10">
        <f t="shared" si="6"/>
        <v>846</v>
      </c>
      <c r="G105" s="14">
        <f t="shared" si="7"/>
        <v>1480.5</v>
      </c>
      <c r="H105" s="7">
        <f t="shared" si="8"/>
        <v>4666</v>
      </c>
      <c r="I105" s="10">
        <f t="shared" si="9"/>
        <v>6556.5</v>
      </c>
      <c r="J105">
        <f t="shared" si="10"/>
        <v>0</v>
      </c>
      <c r="K105">
        <f t="shared" si="11"/>
        <v>0</v>
      </c>
    </row>
    <row r="106" spans="1:11" x14ac:dyDescent="0.3">
      <c r="A106" s="7">
        <v>1303</v>
      </c>
      <c r="B106">
        <v>12</v>
      </c>
      <c r="C106">
        <v>15</v>
      </c>
      <c r="D106">
        <v>4</v>
      </c>
      <c r="E106" t="s">
        <v>21</v>
      </c>
      <c r="F106" s="10">
        <f t="shared" si="6"/>
        <v>157</v>
      </c>
      <c r="G106" s="14">
        <f t="shared" si="7"/>
        <v>195.45</v>
      </c>
      <c r="H106" s="7">
        <f t="shared" si="8"/>
        <v>1166.5</v>
      </c>
      <c r="I106" s="10">
        <f t="shared" si="9"/>
        <v>1655.45</v>
      </c>
      <c r="J106">
        <f t="shared" si="10"/>
        <v>0</v>
      </c>
      <c r="K106">
        <f t="shared" si="11"/>
        <v>0</v>
      </c>
    </row>
    <row r="107" spans="1:11" x14ac:dyDescent="0.3">
      <c r="A107" s="7">
        <v>6290</v>
      </c>
      <c r="B107">
        <v>4</v>
      </c>
      <c r="C107">
        <v>30</v>
      </c>
      <c r="D107">
        <v>1</v>
      </c>
      <c r="E107" t="s">
        <v>21</v>
      </c>
      <c r="F107" s="10">
        <f t="shared" si="6"/>
        <v>252</v>
      </c>
      <c r="G107" s="14">
        <f t="shared" si="7"/>
        <v>1887</v>
      </c>
      <c r="H107" s="7">
        <f t="shared" si="8"/>
        <v>4666</v>
      </c>
      <c r="I107" s="10">
        <f t="shared" si="9"/>
        <v>8429</v>
      </c>
      <c r="J107">
        <f t="shared" si="10"/>
        <v>0</v>
      </c>
      <c r="K107">
        <f t="shared" si="11"/>
        <v>0</v>
      </c>
    </row>
    <row r="108" spans="1:11" x14ac:dyDescent="0.3">
      <c r="A108" s="7">
        <v>3900</v>
      </c>
      <c r="B108">
        <v>5</v>
      </c>
      <c r="C108">
        <v>10</v>
      </c>
      <c r="D108">
        <v>1</v>
      </c>
      <c r="E108" t="s">
        <v>17</v>
      </c>
      <c r="F108" s="10">
        <f t="shared" si="6"/>
        <v>195</v>
      </c>
      <c r="G108" s="14">
        <f t="shared" si="7"/>
        <v>390</v>
      </c>
      <c r="H108" s="7">
        <f t="shared" si="8"/>
        <v>4666</v>
      </c>
      <c r="I108" s="10">
        <f t="shared" si="9"/>
        <v>4485</v>
      </c>
      <c r="J108">
        <f t="shared" si="10"/>
        <v>1</v>
      </c>
      <c r="K108">
        <f t="shared" si="11"/>
        <v>181</v>
      </c>
    </row>
    <row r="109" spans="1:11" x14ac:dyDescent="0.3">
      <c r="A109" s="7">
        <v>4650</v>
      </c>
      <c r="B109">
        <v>8</v>
      </c>
      <c r="C109">
        <v>10</v>
      </c>
      <c r="D109">
        <v>1</v>
      </c>
      <c r="E109" t="s">
        <v>20</v>
      </c>
      <c r="F109" s="10">
        <f t="shared" si="6"/>
        <v>372</v>
      </c>
      <c r="G109" s="14">
        <f t="shared" si="7"/>
        <v>465</v>
      </c>
      <c r="H109" s="7">
        <f t="shared" si="8"/>
        <v>4666</v>
      </c>
      <c r="I109" s="10">
        <f t="shared" si="9"/>
        <v>5487</v>
      </c>
      <c r="J109">
        <f t="shared" si="10"/>
        <v>0</v>
      </c>
      <c r="K109">
        <f t="shared" si="11"/>
        <v>0</v>
      </c>
    </row>
    <row r="110" spans="1:11" x14ac:dyDescent="0.3">
      <c r="A110" s="7">
        <v>974</v>
      </c>
      <c r="B110">
        <v>15</v>
      </c>
      <c r="C110">
        <v>15</v>
      </c>
      <c r="D110">
        <v>5</v>
      </c>
      <c r="E110" t="s">
        <v>18</v>
      </c>
      <c r="F110" s="10">
        <f t="shared" si="6"/>
        <v>147</v>
      </c>
      <c r="G110" s="14">
        <f t="shared" si="7"/>
        <v>146.1</v>
      </c>
      <c r="H110" s="7">
        <f t="shared" si="8"/>
        <v>933.2</v>
      </c>
      <c r="I110" s="10">
        <f t="shared" si="9"/>
        <v>1267.0999999999999</v>
      </c>
      <c r="J110">
        <f t="shared" si="10"/>
        <v>0</v>
      </c>
      <c r="K110">
        <f t="shared" si="11"/>
        <v>0</v>
      </c>
    </row>
    <row r="111" spans="1:11" x14ac:dyDescent="0.3">
      <c r="A111" s="7">
        <v>1300.75</v>
      </c>
      <c r="B111">
        <v>5</v>
      </c>
      <c r="C111">
        <v>5</v>
      </c>
      <c r="D111">
        <v>3</v>
      </c>
      <c r="E111" t="s">
        <v>16</v>
      </c>
      <c r="F111" s="10">
        <f t="shared" si="6"/>
        <v>66</v>
      </c>
      <c r="G111" s="14">
        <f t="shared" si="7"/>
        <v>65.040000000000006</v>
      </c>
      <c r="H111" s="7">
        <f t="shared" si="8"/>
        <v>1555.33</v>
      </c>
      <c r="I111" s="10">
        <f t="shared" si="9"/>
        <v>1431.79</v>
      </c>
      <c r="J111">
        <f t="shared" si="10"/>
        <v>1</v>
      </c>
      <c r="K111">
        <f t="shared" si="11"/>
        <v>123.53999999999996</v>
      </c>
    </row>
    <row r="112" spans="1:11" x14ac:dyDescent="0.3">
      <c r="A112" s="7">
        <v>4560</v>
      </c>
      <c r="B112">
        <v>3</v>
      </c>
      <c r="C112">
        <v>50</v>
      </c>
      <c r="D112">
        <v>1</v>
      </c>
      <c r="E112" t="s">
        <v>20</v>
      </c>
      <c r="F112" s="10">
        <f t="shared" si="6"/>
        <v>137</v>
      </c>
      <c r="G112" s="14">
        <f t="shared" si="7"/>
        <v>2280</v>
      </c>
      <c r="H112" s="7">
        <f t="shared" si="8"/>
        <v>4666</v>
      </c>
      <c r="I112" s="10">
        <f t="shared" si="9"/>
        <v>6977</v>
      </c>
      <c r="J112">
        <f t="shared" si="10"/>
        <v>0</v>
      </c>
      <c r="K112">
        <f t="shared" si="11"/>
        <v>0</v>
      </c>
    </row>
    <row r="113" spans="1:11" x14ac:dyDescent="0.3">
      <c r="A113" s="7">
        <v>4690</v>
      </c>
      <c r="B113">
        <v>1</v>
      </c>
      <c r="C113">
        <v>45</v>
      </c>
      <c r="D113">
        <v>1</v>
      </c>
      <c r="E113" t="s">
        <v>19</v>
      </c>
      <c r="F113" s="10">
        <f t="shared" si="6"/>
        <v>47</v>
      </c>
      <c r="G113" s="14">
        <f t="shared" si="7"/>
        <v>2110.5</v>
      </c>
      <c r="H113" s="7">
        <f t="shared" si="8"/>
        <v>4666</v>
      </c>
      <c r="I113" s="10">
        <f t="shared" si="9"/>
        <v>6847.5</v>
      </c>
      <c r="J113">
        <f t="shared" si="10"/>
        <v>0</v>
      </c>
      <c r="K113">
        <f t="shared" si="11"/>
        <v>0</v>
      </c>
    </row>
    <row r="114" spans="1:11" x14ac:dyDescent="0.3">
      <c r="A114" s="7">
        <v>3420</v>
      </c>
      <c r="B114">
        <v>9</v>
      </c>
      <c r="C114">
        <v>15</v>
      </c>
      <c r="D114">
        <v>1</v>
      </c>
      <c r="E114" t="s">
        <v>15</v>
      </c>
      <c r="F114" s="10">
        <f t="shared" si="6"/>
        <v>308</v>
      </c>
      <c r="G114" s="14">
        <f t="shared" si="7"/>
        <v>513</v>
      </c>
      <c r="H114" s="7">
        <f t="shared" si="8"/>
        <v>4666</v>
      </c>
      <c r="I114" s="10">
        <f t="shared" si="9"/>
        <v>4241</v>
      </c>
      <c r="J114">
        <f t="shared" si="10"/>
        <v>1</v>
      </c>
      <c r="K114">
        <f t="shared" si="11"/>
        <v>425</v>
      </c>
    </row>
    <row r="115" spans="1:11" x14ac:dyDescent="0.3">
      <c r="A115" s="7">
        <v>690</v>
      </c>
      <c r="B115">
        <v>7</v>
      </c>
      <c r="C115">
        <v>35</v>
      </c>
      <c r="D115">
        <v>8</v>
      </c>
      <c r="E115" t="s">
        <v>18</v>
      </c>
      <c r="F115" s="10">
        <f t="shared" si="6"/>
        <v>49</v>
      </c>
      <c r="G115" s="14">
        <f t="shared" si="7"/>
        <v>241.5</v>
      </c>
      <c r="H115" s="7">
        <f t="shared" si="8"/>
        <v>583.25</v>
      </c>
      <c r="I115" s="10">
        <f t="shared" si="9"/>
        <v>980.5</v>
      </c>
      <c r="J115">
        <f t="shared" si="10"/>
        <v>0</v>
      </c>
      <c r="K115">
        <f t="shared" si="11"/>
        <v>0</v>
      </c>
    </row>
    <row r="116" spans="1:11" x14ac:dyDescent="0.3">
      <c r="A116" s="7">
        <v>1070</v>
      </c>
      <c r="B116">
        <v>11</v>
      </c>
      <c r="C116">
        <v>35</v>
      </c>
      <c r="D116">
        <v>5</v>
      </c>
      <c r="E116" t="s">
        <v>17</v>
      </c>
      <c r="F116" s="10">
        <f t="shared" si="6"/>
        <v>118</v>
      </c>
      <c r="G116" s="14">
        <f t="shared" si="7"/>
        <v>374.5</v>
      </c>
      <c r="H116" s="7">
        <f t="shared" si="8"/>
        <v>933.2</v>
      </c>
      <c r="I116" s="10">
        <f t="shared" si="9"/>
        <v>1562.5</v>
      </c>
      <c r="J116">
        <f t="shared" si="10"/>
        <v>0</v>
      </c>
      <c r="K116">
        <f t="shared" si="11"/>
        <v>0</v>
      </c>
    </row>
    <row r="117" spans="1:11" x14ac:dyDescent="0.3">
      <c r="A117" s="7">
        <v>1337</v>
      </c>
      <c r="B117">
        <v>0</v>
      </c>
      <c r="C117">
        <v>25</v>
      </c>
      <c r="D117">
        <v>3</v>
      </c>
      <c r="E117" t="s">
        <v>16</v>
      </c>
      <c r="F117" s="10">
        <f t="shared" si="6"/>
        <v>0</v>
      </c>
      <c r="G117" s="14">
        <f t="shared" si="7"/>
        <v>334.25</v>
      </c>
      <c r="H117" s="7">
        <f t="shared" si="8"/>
        <v>1555.33</v>
      </c>
      <c r="I117" s="10">
        <f t="shared" si="9"/>
        <v>1671.25</v>
      </c>
      <c r="J117">
        <f t="shared" si="10"/>
        <v>0</v>
      </c>
      <c r="K117">
        <f t="shared" si="11"/>
        <v>0</v>
      </c>
    </row>
    <row r="118" spans="1:11" x14ac:dyDescent="0.3">
      <c r="A118" s="7">
        <v>6330</v>
      </c>
      <c r="B118">
        <v>20</v>
      </c>
      <c r="C118">
        <v>10</v>
      </c>
      <c r="D118">
        <v>1</v>
      </c>
      <c r="E118" t="s">
        <v>15</v>
      </c>
      <c r="F118" s="10">
        <f t="shared" si="6"/>
        <v>1266</v>
      </c>
      <c r="G118" s="14">
        <f t="shared" si="7"/>
        <v>633</v>
      </c>
      <c r="H118" s="7">
        <f t="shared" si="8"/>
        <v>4666</v>
      </c>
      <c r="I118" s="10">
        <f t="shared" si="9"/>
        <v>8229</v>
      </c>
      <c r="J118">
        <f t="shared" si="10"/>
        <v>0</v>
      </c>
      <c r="K118">
        <f t="shared" si="11"/>
        <v>0</v>
      </c>
    </row>
    <row r="119" spans="1:11" x14ac:dyDescent="0.3">
      <c r="A119" s="7">
        <v>5020</v>
      </c>
      <c r="B119">
        <v>9</v>
      </c>
      <c r="C119">
        <v>30</v>
      </c>
      <c r="D119">
        <v>1</v>
      </c>
      <c r="E119" t="s">
        <v>17</v>
      </c>
      <c r="F119" s="10">
        <f t="shared" si="6"/>
        <v>452</v>
      </c>
      <c r="G119" s="14">
        <f t="shared" si="7"/>
        <v>1506</v>
      </c>
      <c r="H119" s="7">
        <f t="shared" si="8"/>
        <v>4666</v>
      </c>
      <c r="I119" s="10">
        <f t="shared" si="9"/>
        <v>6978</v>
      </c>
      <c r="J119">
        <f t="shared" si="10"/>
        <v>0</v>
      </c>
      <c r="K119">
        <f t="shared" si="11"/>
        <v>0</v>
      </c>
    </row>
    <row r="120" spans="1:11" x14ac:dyDescent="0.3">
      <c r="A120" s="7">
        <v>4980</v>
      </c>
      <c r="B120">
        <v>13</v>
      </c>
      <c r="C120">
        <v>0</v>
      </c>
      <c r="D120">
        <v>1</v>
      </c>
      <c r="E120" t="s">
        <v>18</v>
      </c>
      <c r="F120" s="10">
        <f t="shared" si="6"/>
        <v>648</v>
      </c>
      <c r="G120" s="14">
        <f t="shared" si="7"/>
        <v>0</v>
      </c>
      <c r="H120" s="7">
        <f t="shared" si="8"/>
        <v>4666</v>
      </c>
      <c r="I120" s="10">
        <f t="shared" si="9"/>
        <v>5628</v>
      </c>
      <c r="J120">
        <f t="shared" si="10"/>
        <v>0</v>
      </c>
      <c r="K120">
        <f t="shared" si="11"/>
        <v>0</v>
      </c>
    </row>
    <row r="121" spans="1:11" x14ac:dyDescent="0.3">
      <c r="A121" s="7">
        <v>615</v>
      </c>
      <c r="B121">
        <v>13</v>
      </c>
      <c r="C121">
        <v>40</v>
      </c>
      <c r="D121">
        <v>8</v>
      </c>
      <c r="E121" t="s">
        <v>17</v>
      </c>
      <c r="F121" s="10">
        <f t="shared" si="6"/>
        <v>80</v>
      </c>
      <c r="G121" s="14">
        <f t="shared" si="7"/>
        <v>246</v>
      </c>
      <c r="H121" s="7">
        <f t="shared" si="8"/>
        <v>583.25</v>
      </c>
      <c r="I121" s="10">
        <f t="shared" si="9"/>
        <v>941</v>
      </c>
      <c r="J121">
        <f t="shared" si="10"/>
        <v>0</v>
      </c>
      <c r="K121">
        <f t="shared" si="11"/>
        <v>0</v>
      </c>
    </row>
    <row r="122" spans="1:11" x14ac:dyDescent="0.3">
      <c r="A122" s="7">
        <v>730</v>
      </c>
      <c r="B122">
        <v>18</v>
      </c>
      <c r="C122">
        <v>5</v>
      </c>
      <c r="D122">
        <v>6</v>
      </c>
      <c r="E122" t="s">
        <v>17</v>
      </c>
      <c r="F122" s="10">
        <f t="shared" si="6"/>
        <v>132</v>
      </c>
      <c r="G122" s="14">
        <f t="shared" si="7"/>
        <v>36.5</v>
      </c>
      <c r="H122" s="7">
        <f t="shared" si="8"/>
        <v>777.67</v>
      </c>
      <c r="I122" s="10">
        <f t="shared" si="9"/>
        <v>898.5</v>
      </c>
      <c r="J122">
        <f t="shared" si="10"/>
        <v>0</v>
      </c>
      <c r="K122">
        <f t="shared" si="11"/>
        <v>0</v>
      </c>
    </row>
    <row r="123" spans="1:11" x14ac:dyDescent="0.3">
      <c r="A123" s="7">
        <v>349</v>
      </c>
      <c r="B123">
        <v>8</v>
      </c>
      <c r="C123">
        <v>10</v>
      </c>
      <c r="D123">
        <v>10</v>
      </c>
      <c r="E123" t="s">
        <v>15</v>
      </c>
      <c r="F123" s="10">
        <f t="shared" si="6"/>
        <v>28</v>
      </c>
      <c r="G123" s="14">
        <f t="shared" si="7"/>
        <v>34.9</v>
      </c>
      <c r="H123" s="7">
        <f t="shared" si="8"/>
        <v>466.6</v>
      </c>
      <c r="I123" s="10">
        <f t="shared" si="9"/>
        <v>411.9</v>
      </c>
      <c r="J123">
        <f t="shared" si="10"/>
        <v>1</v>
      </c>
      <c r="K123">
        <f t="shared" si="11"/>
        <v>54.700000000000045</v>
      </c>
    </row>
    <row r="124" spans="1:11" x14ac:dyDescent="0.3">
      <c r="A124" s="7">
        <v>2023</v>
      </c>
      <c r="B124">
        <v>5</v>
      </c>
      <c r="C124">
        <v>10</v>
      </c>
      <c r="D124">
        <v>3</v>
      </c>
      <c r="E124" t="s">
        <v>21</v>
      </c>
      <c r="F124" s="10">
        <f t="shared" si="6"/>
        <v>102</v>
      </c>
      <c r="G124" s="14">
        <f t="shared" si="7"/>
        <v>202.3</v>
      </c>
      <c r="H124" s="7">
        <f t="shared" si="8"/>
        <v>1555.33</v>
      </c>
      <c r="I124" s="10">
        <f t="shared" si="9"/>
        <v>2327.3000000000002</v>
      </c>
      <c r="J124">
        <f t="shared" si="10"/>
        <v>0</v>
      </c>
      <c r="K124">
        <f t="shared" si="11"/>
        <v>0</v>
      </c>
    </row>
    <row r="125" spans="1:11" x14ac:dyDescent="0.3">
      <c r="A125" s="7">
        <v>6520</v>
      </c>
      <c r="B125">
        <v>8</v>
      </c>
      <c r="C125">
        <v>25</v>
      </c>
      <c r="D125">
        <v>1</v>
      </c>
      <c r="E125" t="s">
        <v>18</v>
      </c>
      <c r="F125" s="10">
        <f t="shared" si="6"/>
        <v>522</v>
      </c>
      <c r="G125" s="14">
        <f t="shared" si="7"/>
        <v>1630</v>
      </c>
      <c r="H125" s="7">
        <f t="shared" si="8"/>
        <v>4666</v>
      </c>
      <c r="I125" s="10">
        <f t="shared" si="9"/>
        <v>8672</v>
      </c>
      <c r="J125">
        <f t="shared" si="10"/>
        <v>0</v>
      </c>
      <c r="K125">
        <f t="shared" si="11"/>
        <v>0</v>
      </c>
    </row>
    <row r="126" spans="1:11" x14ac:dyDescent="0.3">
      <c r="A126" s="7">
        <v>3960</v>
      </c>
      <c r="B126">
        <v>8</v>
      </c>
      <c r="C126">
        <v>15</v>
      </c>
      <c r="D126">
        <v>1</v>
      </c>
      <c r="E126" t="s">
        <v>18</v>
      </c>
      <c r="F126" s="10">
        <f t="shared" si="6"/>
        <v>317</v>
      </c>
      <c r="G126" s="14">
        <f t="shared" si="7"/>
        <v>594</v>
      </c>
      <c r="H126" s="7">
        <f t="shared" si="8"/>
        <v>4666</v>
      </c>
      <c r="I126" s="10">
        <f t="shared" si="9"/>
        <v>4871</v>
      </c>
      <c r="J126">
        <f t="shared" si="10"/>
        <v>0</v>
      </c>
      <c r="K126">
        <f t="shared" si="11"/>
        <v>0</v>
      </c>
    </row>
    <row r="127" spans="1:11" x14ac:dyDescent="0.3">
      <c r="A127" s="7">
        <v>5220</v>
      </c>
      <c r="B127">
        <v>15</v>
      </c>
      <c r="C127">
        <v>15</v>
      </c>
      <c r="D127">
        <v>1</v>
      </c>
      <c r="E127" t="s">
        <v>19</v>
      </c>
      <c r="F127" s="10">
        <f t="shared" si="6"/>
        <v>783</v>
      </c>
      <c r="G127" s="14">
        <f t="shared" si="7"/>
        <v>783</v>
      </c>
      <c r="H127" s="7">
        <f t="shared" si="8"/>
        <v>4666</v>
      </c>
      <c r="I127" s="10">
        <f t="shared" si="9"/>
        <v>6786</v>
      </c>
      <c r="J127">
        <f t="shared" si="10"/>
        <v>0</v>
      </c>
      <c r="K127">
        <f t="shared" si="11"/>
        <v>0</v>
      </c>
    </row>
    <row r="128" spans="1:11" x14ac:dyDescent="0.3">
      <c r="A128" s="7">
        <v>6500</v>
      </c>
      <c r="B128">
        <v>2</v>
      </c>
      <c r="C128">
        <v>15</v>
      </c>
      <c r="D128">
        <v>1</v>
      </c>
      <c r="E128" t="s">
        <v>18</v>
      </c>
      <c r="F128" s="10">
        <f t="shared" si="6"/>
        <v>130</v>
      </c>
      <c r="G128" s="14">
        <f t="shared" si="7"/>
        <v>975</v>
      </c>
      <c r="H128" s="7">
        <f t="shared" si="8"/>
        <v>4666</v>
      </c>
      <c r="I128" s="10">
        <f t="shared" si="9"/>
        <v>7605</v>
      </c>
      <c r="J128">
        <f t="shared" si="10"/>
        <v>0</v>
      </c>
      <c r="K128">
        <f t="shared" si="11"/>
        <v>0</v>
      </c>
    </row>
    <row r="129" spans="1:11" x14ac:dyDescent="0.3">
      <c r="A129" s="7">
        <v>4530</v>
      </c>
      <c r="B129">
        <v>13</v>
      </c>
      <c r="C129">
        <v>50</v>
      </c>
      <c r="D129">
        <v>1</v>
      </c>
      <c r="E129" t="s">
        <v>15</v>
      </c>
      <c r="F129" s="10">
        <f t="shared" si="6"/>
        <v>589</v>
      </c>
      <c r="G129" s="14">
        <f t="shared" si="7"/>
        <v>2265</v>
      </c>
      <c r="H129" s="7">
        <f t="shared" si="8"/>
        <v>4666</v>
      </c>
      <c r="I129" s="10">
        <f t="shared" si="9"/>
        <v>7384</v>
      </c>
      <c r="J129">
        <f t="shared" si="10"/>
        <v>0</v>
      </c>
      <c r="K129">
        <f t="shared" si="11"/>
        <v>0</v>
      </c>
    </row>
    <row r="130" spans="1:11" x14ac:dyDescent="0.3">
      <c r="A130" s="7">
        <v>5210</v>
      </c>
      <c r="B130">
        <v>14</v>
      </c>
      <c r="C130">
        <v>25</v>
      </c>
      <c r="D130">
        <v>1</v>
      </c>
      <c r="E130" t="s">
        <v>17</v>
      </c>
      <c r="F130" s="10">
        <f t="shared" si="6"/>
        <v>730</v>
      </c>
      <c r="G130" s="14">
        <f t="shared" si="7"/>
        <v>1302.5</v>
      </c>
      <c r="H130" s="7">
        <f t="shared" si="8"/>
        <v>4666</v>
      </c>
      <c r="I130" s="10">
        <f t="shared" si="9"/>
        <v>7242.5</v>
      </c>
      <c r="J130">
        <f t="shared" si="10"/>
        <v>0</v>
      </c>
      <c r="K130">
        <f t="shared" si="11"/>
        <v>0</v>
      </c>
    </row>
    <row r="131" spans="1:11" x14ac:dyDescent="0.3">
      <c r="A131" s="7">
        <v>746</v>
      </c>
      <c r="B131">
        <v>13</v>
      </c>
      <c r="C131">
        <v>25</v>
      </c>
      <c r="D131">
        <v>8</v>
      </c>
      <c r="E131" t="s">
        <v>15</v>
      </c>
      <c r="F131" s="10">
        <f t="shared" ref="F131:F194" si="12">ROUNDUP(0.01*B131*A131,0)</f>
        <v>97</v>
      </c>
      <c r="G131" s="14">
        <f t="shared" ref="G131:G194" si="13">ROUND(C131/100*A131,2)</f>
        <v>186.5</v>
      </c>
      <c r="H131" s="7">
        <f t="shared" ref="H131:H194" si="14">ROUND(4666/D131:D630,2)</f>
        <v>583.25</v>
      </c>
      <c r="I131" s="10">
        <f t="shared" ref="I131:I194" si="15">G131+A131+F131</f>
        <v>1029.5</v>
      </c>
      <c r="J131">
        <f t="shared" ref="J131:J194" si="16">IF(H131&gt;I131,1,0)</f>
        <v>0</v>
      </c>
      <c r="K131">
        <f t="shared" ref="K131:K194" si="17">IF(J131=1,H131-I131,0)</f>
        <v>0</v>
      </c>
    </row>
    <row r="132" spans="1:11" x14ac:dyDescent="0.3">
      <c r="A132" s="7">
        <v>658</v>
      </c>
      <c r="B132">
        <v>1</v>
      </c>
      <c r="C132">
        <v>45</v>
      </c>
      <c r="D132">
        <v>10</v>
      </c>
      <c r="E132" t="s">
        <v>20</v>
      </c>
      <c r="F132" s="10">
        <f t="shared" si="12"/>
        <v>7</v>
      </c>
      <c r="G132" s="14">
        <f t="shared" si="13"/>
        <v>296.10000000000002</v>
      </c>
      <c r="H132" s="7">
        <f t="shared" si="14"/>
        <v>466.6</v>
      </c>
      <c r="I132" s="10">
        <f t="shared" si="15"/>
        <v>961.1</v>
      </c>
      <c r="J132">
        <f t="shared" si="16"/>
        <v>0</v>
      </c>
      <c r="K132">
        <f t="shared" si="17"/>
        <v>0</v>
      </c>
    </row>
    <row r="133" spans="1:11" x14ac:dyDescent="0.3">
      <c r="A133" s="7">
        <v>905</v>
      </c>
      <c r="B133">
        <v>5</v>
      </c>
      <c r="C133">
        <v>15</v>
      </c>
      <c r="D133">
        <v>4</v>
      </c>
      <c r="E133" t="s">
        <v>16</v>
      </c>
      <c r="F133" s="10">
        <f t="shared" si="12"/>
        <v>46</v>
      </c>
      <c r="G133" s="14">
        <f t="shared" si="13"/>
        <v>135.75</v>
      </c>
      <c r="H133" s="7">
        <f t="shared" si="14"/>
        <v>1166.5</v>
      </c>
      <c r="I133" s="10">
        <f t="shared" si="15"/>
        <v>1086.75</v>
      </c>
      <c r="J133">
        <f t="shared" si="16"/>
        <v>1</v>
      </c>
      <c r="K133">
        <f t="shared" si="17"/>
        <v>79.75</v>
      </c>
    </row>
    <row r="134" spans="1:11" x14ac:dyDescent="0.3">
      <c r="A134" s="7">
        <v>563</v>
      </c>
      <c r="B134">
        <v>3</v>
      </c>
      <c r="C134">
        <v>10</v>
      </c>
      <c r="D134">
        <v>9</v>
      </c>
      <c r="E134" t="s">
        <v>16</v>
      </c>
      <c r="F134" s="10">
        <f t="shared" si="12"/>
        <v>17</v>
      </c>
      <c r="G134" s="14">
        <f t="shared" si="13"/>
        <v>56.3</v>
      </c>
      <c r="H134" s="7">
        <f t="shared" si="14"/>
        <v>518.44000000000005</v>
      </c>
      <c r="I134" s="10">
        <f t="shared" si="15"/>
        <v>636.29999999999995</v>
      </c>
      <c r="J134">
        <f t="shared" si="16"/>
        <v>0</v>
      </c>
      <c r="K134">
        <f t="shared" si="17"/>
        <v>0</v>
      </c>
    </row>
    <row r="135" spans="1:11" x14ac:dyDescent="0.3">
      <c r="A135" s="7">
        <v>3620</v>
      </c>
      <c r="B135">
        <v>16</v>
      </c>
      <c r="C135">
        <v>40</v>
      </c>
      <c r="D135">
        <v>1</v>
      </c>
      <c r="E135" t="s">
        <v>17</v>
      </c>
      <c r="F135" s="10">
        <f t="shared" si="12"/>
        <v>580</v>
      </c>
      <c r="G135" s="14">
        <f t="shared" si="13"/>
        <v>1448</v>
      </c>
      <c r="H135" s="7">
        <f t="shared" si="14"/>
        <v>4666</v>
      </c>
      <c r="I135" s="10">
        <f t="shared" si="15"/>
        <v>5648</v>
      </c>
      <c r="J135">
        <f t="shared" si="16"/>
        <v>0</v>
      </c>
      <c r="K135">
        <f t="shared" si="17"/>
        <v>0</v>
      </c>
    </row>
    <row r="136" spans="1:11" x14ac:dyDescent="0.3">
      <c r="A136" s="7">
        <v>2350</v>
      </c>
      <c r="B136">
        <v>12</v>
      </c>
      <c r="C136">
        <v>35</v>
      </c>
      <c r="D136">
        <v>2</v>
      </c>
      <c r="E136" t="s">
        <v>15</v>
      </c>
      <c r="F136" s="10">
        <f t="shared" si="12"/>
        <v>282</v>
      </c>
      <c r="G136" s="14">
        <f t="shared" si="13"/>
        <v>822.5</v>
      </c>
      <c r="H136" s="7">
        <f t="shared" si="14"/>
        <v>2333</v>
      </c>
      <c r="I136" s="10">
        <f t="shared" si="15"/>
        <v>3454.5</v>
      </c>
      <c r="J136">
        <f t="shared" si="16"/>
        <v>0</v>
      </c>
      <c r="K136">
        <f t="shared" si="17"/>
        <v>0</v>
      </c>
    </row>
    <row r="137" spans="1:11" x14ac:dyDescent="0.3">
      <c r="A137" s="7">
        <v>764</v>
      </c>
      <c r="B137">
        <v>4</v>
      </c>
      <c r="C137">
        <v>30</v>
      </c>
      <c r="D137">
        <v>8</v>
      </c>
      <c r="E137" t="s">
        <v>15</v>
      </c>
      <c r="F137" s="10">
        <f t="shared" si="12"/>
        <v>31</v>
      </c>
      <c r="G137" s="14">
        <f t="shared" si="13"/>
        <v>229.2</v>
      </c>
      <c r="H137" s="7">
        <f t="shared" si="14"/>
        <v>583.25</v>
      </c>
      <c r="I137" s="10">
        <f t="shared" si="15"/>
        <v>1024.2</v>
      </c>
      <c r="J137">
        <f t="shared" si="16"/>
        <v>0</v>
      </c>
      <c r="K137">
        <f t="shared" si="17"/>
        <v>0</v>
      </c>
    </row>
    <row r="138" spans="1:11" x14ac:dyDescent="0.3">
      <c r="A138" s="7">
        <v>406</v>
      </c>
      <c r="B138">
        <v>10</v>
      </c>
      <c r="C138">
        <v>10</v>
      </c>
      <c r="D138">
        <v>10</v>
      </c>
      <c r="E138" t="s">
        <v>17</v>
      </c>
      <c r="F138" s="10">
        <f t="shared" si="12"/>
        <v>41</v>
      </c>
      <c r="G138" s="14">
        <f t="shared" si="13"/>
        <v>40.6</v>
      </c>
      <c r="H138" s="7">
        <f t="shared" si="14"/>
        <v>466.6</v>
      </c>
      <c r="I138" s="10">
        <f t="shared" si="15"/>
        <v>487.6</v>
      </c>
      <c r="J138">
        <f t="shared" si="16"/>
        <v>0</v>
      </c>
      <c r="K138">
        <f t="shared" si="17"/>
        <v>0</v>
      </c>
    </row>
    <row r="139" spans="1:11" x14ac:dyDescent="0.3">
      <c r="A139" s="7">
        <v>1123</v>
      </c>
      <c r="B139">
        <v>0</v>
      </c>
      <c r="C139">
        <v>25</v>
      </c>
      <c r="D139">
        <v>3</v>
      </c>
      <c r="E139" t="s">
        <v>16</v>
      </c>
      <c r="F139" s="10">
        <f t="shared" si="12"/>
        <v>0</v>
      </c>
      <c r="G139" s="14">
        <f t="shared" si="13"/>
        <v>280.75</v>
      </c>
      <c r="H139" s="7">
        <f t="shared" si="14"/>
        <v>1555.33</v>
      </c>
      <c r="I139" s="10">
        <f t="shared" si="15"/>
        <v>1403.75</v>
      </c>
      <c r="J139">
        <f t="shared" si="16"/>
        <v>1</v>
      </c>
      <c r="K139">
        <f t="shared" si="17"/>
        <v>151.57999999999993</v>
      </c>
    </row>
    <row r="140" spans="1:11" x14ac:dyDescent="0.3">
      <c r="A140" s="7">
        <v>1463</v>
      </c>
      <c r="B140">
        <v>9</v>
      </c>
      <c r="C140">
        <v>15</v>
      </c>
      <c r="D140">
        <v>4</v>
      </c>
      <c r="E140" t="s">
        <v>18</v>
      </c>
      <c r="F140" s="10">
        <f t="shared" si="12"/>
        <v>132</v>
      </c>
      <c r="G140" s="14">
        <f t="shared" si="13"/>
        <v>219.45</v>
      </c>
      <c r="H140" s="7">
        <f t="shared" si="14"/>
        <v>1166.5</v>
      </c>
      <c r="I140" s="10">
        <f t="shared" si="15"/>
        <v>1814.45</v>
      </c>
      <c r="J140">
        <f t="shared" si="16"/>
        <v>0</v>
      </c>
      <c r="K140">
        <f t="shared" si="17"/>
        <v>0</v>
      </c>
    </row>
    <row r="141" spans="1:11" x14ac:dyDescent="0.3">
      <c r="A141" s="7">
        <v>724</v>
      </c>
      <c r="B141">
        <v>20</v>
      </c>
      <c r="C141">
        <v>30</v>
      </c>
      <c r="D141">
        <v>7</v>
      </c>
      <c r="E141" t="s">
        <v>19</v>
      </c>
      <c r="F141" s="10">
        <f t="shared" si="12"/>
        <v>145</v>
      </c>
      <c r="G141" s="14">
        <f t="shared" si="13"/>
        <v>217.2</v>
      </c>
      <c r="H141" s="7">
        <f t="shared" si="14"/>
        <v>666.57</v>
      </c>
      <c r="I141" s="10">
        <f t="shared" si="15"/>
        <v>1086.2</v>
      </c>
      <c r="J141">
        <f t="shared" si="16"/>
        <v>0</v>
      </c>
      <c r="K141">
        <f t="shared" si="17"/>
        <v>0</v>
      </c>
    </row>
    <row r="142" spans="1:11" x14ac:dyDescent="0.3">
      <c r="A142" s="7">
        <v>550</v>
      </c>
      <c r="B142">
        <v>17</v>
      </c>
      <c r="C142">
        <v>30</v>
      </c>
      <c r="D142">
        <v>10</v>
      </c>
      <c r="E142" t="s">
        <v>18</v>
      </c>
      <c r="F142" s="10">
        <f t="shared" si="12"/>
        <v>94</v>
      </c>
      <c r="G142" s="14">
        <f t="shared" si="13"/>
        <v>165</v>
      </c>
      <c r="H142" s="7">
        <f t="shared" si="14"/>
        <v>466.6</v>
      </c>
      <c r="I142" s="10">
        <f t="shared" si="15"/>
        <v>809</v>
      </c>
      <c r="J142">
        <f t="shared" si="16"/>
        <v>0</v>
      </c>
      <c r="K142">
        <f t="shared" si="17"/>
        <v>0</v>
      </c>
    </row>
    <row r="143" spans="1:11" x14ac:dyDescent="0.3">
      <c r="A143" s="7">
        <v>1807</v>
      </c>
      <c r="B143">
        <v>19</v>
      </c>
      <c r="C143">
        <v>50</v>
      </c>
      <c r="D143">
        <v>3</v>
      </c>
      <c r="E143" t="s">
        <v>19</v>
      </c>
      <c r="F143" s="10">
        <f t="shared" si="12"/>
        <v>344</v>
      </c>
      <c r="G143" s="14">
        <f t="shared" si="13"/>
        <v>903.5</v>
      </c>
      <c r="H143" s="7">
        <f t="shared" si="14"/>
        <v>1555.33</v>
      </c>
      <c r="I143" s="10">
        <f t="shared" si="15"/>
        <v>3054.5</v>
      </c>
      <c r="J143">
        <f t="shared" si="16"/>
        <v>0</v>
      </c>
      <c r="K143">
        <f t="shared" si="17"/>
        <v>0</v>
      </c>
    </row>
    <row r="144" spans="1:11" x14ac:dyDescent="0.3">
      <c r="A144" s="7">
        <v>1160</v>
      </c>
      <c r="B144">
        <v>5</v>
      </c>
      <c r="C144">
        <v>10</v>
      </c>
      <c r="D144">
        <v>3</v>
      </c>
      <c r="E144" t="s">
        <v>21</v>
      </c>
      <c r="F144" s="10">
        <f t="shared" si="12"/>
        <v>58</v>
      </c>
      <c r="G144" s="14">
        <f t="shared" si="13"/>
        <v>116</v>
      </c>
      <c r="H144" s="7">
        <f t="shared" si="14"/>
        <v>1555.33</v>
      </c>
      <c r="I144" s="10">
        <f t="shared" si="15"/>
        <v>1334</v>
      </c>
      <c r="J144">
        <f t="shared" si="16"/>
        <v>1</v>
      </c>
      <c r="K144">
        <f t="shared" si="17"/>
        <v>221.32999999999993</v>
      </c>
    </row>
    <row r="145" spans="1:11" x14ac:dyDescent="0.3">
      <c r="A145" s="7">
        <v>597</v>
      </c>
      <c r="B145">
        <v>2</v>
      </c>
      <c r="C145">
        <v>20</v>
      </c>
      <c r="D145">
        <v>7</v>
      </c>
      <c r="E145" t="s">
        <v>18</v>
      </c>
      <c r="F145" s="10">
        <f t="shared" si="12"/>
        <v>12</v>
      </c>
      <c r="G145" s="14">
        <f t="shared" si="13"/>
        <v>119.4</v>
      </c>
      <c r="H145" s="7">
        <f t="shared" si="14"/>
        <v>666.57</v>
      </c>
      <c r="I145" s="10">
        <f t="shared" si="15"/>
        <v>728.4</v>
      </c>
      <c r="J145">
        <f t="shared" si="16"/>
        <v>0</v>
      </c>
      <c r="K145">
        <f t="shared" si="17"/>
        <v>0</v>
      </c>
    </row>
    <row r="146" spans="1:11" x14ac:dyDescent="0.3">
      <c r="A146" s="7">
        <v>1270</v>
      </c>
      <c r="B146">
        <v>12</v>
      </c>
      <c r="C146">
        <v>35</v>
      </c>
      <c r="D146">
        <v>5</v>
      </c>
      <c r="E146" t="s">
        <v>21</v>
      </c>
      <c r="F146" s="10">
        <f t="shared" si="12"/>
        <v>153</v>
      </c>
      <c r="G146" s="14">
        <f t="shared" si="13"/>
        <v>444.5</v>
      </c>
      <c r="H146" s="7">
        <f t="shared" si="14"/>
        <v>933.2</v>
      </c>
      <c r="I146" s="10">
        <f t="shared" si="15"/>
        <v>1867.5</v>
      </c>
      <c r="J146">
        <f t="shared" si="16"/>
        <v>0</v>
      </c>
      <c r="K146">
        <f t="shared" si="17"/>
        <v>0</v>
      </c>
    </row>
    <row r="147" spans="1:11" x14ac:dyDescent="0.3">
      <c r="A147" s="7">
        <v>6590</v>
      </c>
      <c r="B147">
        <v>20</v>
      </c>
      <c r="C147">
        <v>45</v>
      </c>
      <c r="D147">
        <v>1</v>
      </c>
      <c r="E147" t="s">
        <v>19</v>
      </c>
      <c r="F147" s="10">
        <f t="shared" si="12"/>
        <v>1318</v>
      </c>
      <c r="G147" s="14">
        <f t="shared" si="13"/>
        <v>2965.5</v>
      </c>
      <c r="H147" s="7">
        <f t="shared" si="14"/>
        <v>4666</v>
      </c>
      <c r="I147" s="10">
        <f t="shared" si="15"/>
        <v>10873.5</v>
      </c>
      <c r="J147">
        <f t="shared" si="16"/>
        <v>0</v>
      </c>
      <c r="K147">
        <f t="shared" si="17"/>
        <v>0</v>
      </c>
    </row>
    <row r="148" spans="1:11" x14ac:dyDescent="0.3">
      <c r="A148" s="7">
        <v>1056</v>
      </c>
      <c r="B148">
        <v>17</v>
      </c>
      <c r="C148">
        <v>50</v>
      </c>
      <c r="D148">
        <v>5</v>
      </c>
      <c r="E148" t="s">
        <v>15</v>
      </c>
      <c r="F148" s="10">
        <f t="shared" si="12"/>
        <v>180</v>
      </c>
      <c r="G148" s="14">
        <f t="shared" si="13"/>
        <v>528</v>
      </c>
      <c r="H148" s="7">
        <f t="shared" si="14"/>
        <v>933.2</v>
      </c>
      <c r="I148" s="10">
        <f t="shared" si="15"/>
        <v>1764</v>
      </c>
      <c r="J148">
        <f t="shared" si="16"/>
        <v>0</v>
      </c>
      <c r="K148">
        <f t="shared" si="17"/>
        <v>0</v>
      </c>
    </row>
    <row r="149" spans="1:11" x14ac:dyDescent="0.3">
      <c r="A149" s="7">
        <v>6560</v>
      </c>
      <c r="B149">
        <v>7</v>
      </c>
      <c r="C149">
        <v>50</v>
      </c>
      <c r="D149">
        <v>1</v>
      </c>
      <c r="E149" t="s">
        <v>20</v>
      </c>
      <c r="F149" s="10">
        <f t="shared" si="12"/>
        <v>460</v>
      </c>
      <c r="G149" s="14">
        <f t="shared" si="13"/>
        <v>3280</v>
      </c>
      <c r="H149" s="7">
        <f t="shared" si="14"/>
        <v>4666</v>
      </c>
      <c r="I149" s="10">
        <f t="shared" si="15"/>
        <v>10300</v>
      </c>
      <c r="J149">
        <f t="shared" si="16"/>
        <v>0</v>
      </c>
      <c r="K149">
        <f t="shared" si="17"/>
        <v>0</v>
      </c>
    </row>
    <row r="150" spans="1:11" x14ac:dyDescent="0.3">
      <c r="A150" s="7">
        <v>492</v>
      </c>
      <c r="B150">
        <v>16</v>
      </c>
      <c r="C150">
        <v>0</v>
      </c>
      <c r="D150">
        <v>10</v>
      </c>
      <c r="E150" t="s">
        <v>17</v>
      </c>
      <c r="F150" s="10">
        <f t="shared" si="12"/>
        <v>79</v>
      </c>
      <c r="G150" s="14">
        <f t="shared" si="13"/>
        <v>0</v>
      </c>
      <c r="H150" s="7">
        <f t="shared" si="14"/>
        <v>466.6</v>
      </c>
      <c r="I150" s="10">
        <f t="shared" si="15"/>
        <v>571</v>
      </c>
      <c r="J150">
        <f t="shared" si="16"/>
        <v>0</v>
      </c>
      <c r="K150">
        <f t="shared" si="17"/>
        <v>0</v>
      </c>
    </row>
    <row r="151" spans="1:11" x14ac:dyDescent="0.3">
      <c r="A151" s="7">
        <v>3075</v>
      </c>
      <c r="B151">
        <v>16</v>
      </c>
      <c r="C151">
        <v>15</v>
      </c>
      <c r="D151">
        <v>2</v>
      </c>
      <c r="E151" t="s">
        <v>21</v>
      </c>
      <c r="F151" s="10">
        <f t="shared" si="12"/>
        <v>492</v>
      </c>
      <c r="G151" s="14">
        <f t="shared" si="13"/>
        <v>461.25</v>
      </c>
      <c r="H151" s="7">
        <f t="shared" si="14"/>
        <v>2333</v>
      </c>
      <c r="I151" s="10">
        <f t="shared" si="15"/>
        <v>4028.25</v>
      </c>
      <c r="J151">
        <f t="shared" si="16"/>
        <v>0</v>
      </c>
      <c r="K151">
        <f t="shared" si="17"/>
        <v>0</v>
      </c>
    </row>
    <row r="152" spans="1:11" x14ac:dyDescent="0.3">
      <c r="A152" s="7">
        <v>920</v>
      </c>
      <c r="B152">
        <v>7</v>
      </c>
      <c r="C152">
        <v>0</v>
      </c>
      <c r="D152">
        <v>4</v>
      </c>
      <c r="E152" t="s">
        <v>21</v>
      </c>
      <c r="F152" s="10">
        <f t="shared" si="12"/>
        <v>65</v>
      </c>
      <c r="G152" s="14">
        <f t="shared" si="13"/>
        <v>0</v>
      </c>
      <c r="H152" s="7">
        <f t="shared" si="14"/>
        <v>1166.5</v>
      </c>
      <c r="I152" s="10">
        <f t="shared" si="15"/>
        <v>985</v>
      </c>
      <c r="J152">
        <f t="shared" si="16"/>
        <v>1</v>
      </c>
      <c r="K152">
        <f t="shared" si="17"/>
        <v>181.5</v>
      </c>
    </row>
    <row r="153" spans="1:11" x14ac:dyDescent="0.3">
      <c r="A153" s="7">
        <v>637</v>
      </c>
      <c r="B153">
        <v>17</v>
      </c>
      <c r="C153">
        <v>35</v>
      </c>
      <c r="D153">
        <v>10</v>
      </c>
      <c r="E153" t="s">
        <v>16</v>
      </c>
      <c r="F153" s="10">
        <f t="shared" si="12"/>
        <v>109</v>
      </c>
      <c r="G153" s="14">
        <f t="shared" si="13"/>
        <v>222.95</v>
      </c>
      <c r="H153" s="7">
        <f t="shared" si="14"/>
        <v>466.6</v>
      </c>
      <c r="I153" s="10">
        <f t="shared" si="15"/>
        <v>968.95</v>
      </c>
      <c r="J153">
        <f t="shared" si="16"/>
        <v>0</v>
      </c>
      <c r="K153">
        <f t="shared" si="17"/>
        <v>0</v>
      </c>
    </row>
    <row r="154" spans="1:11" x14ac:dyDescent="0.3">
      <c r="A154" s="7">
        <v>5260</v>
      </c>
      <c r="B154">
        <v>16</v>
      </c>
      <c r="C154">
        <v>5</v>
      </c>
      <c r="D154">
        <v>1</v>
      </c>
      <c r="E154" t="s">
        <v>20</v>
      </c>
      <c r="F154" s="10">
        <f t="shared" si="12"/>
        <v>842</v>
      </c>
      <c r="G154" s="14">
        <f t="shared" si="13"/>
        <v>263</v>
      </c>
      <c r="H154" s="7">
        <f t="shared" si="14"/>
        <v>4666</v>
      </c>
      <c r="I154" s="10">
        <f t="shared" si="15"/>
        <v>6365</v>
      </c>
      <c r="J154">
        <f t="shared" si="16"/>
        <v>0</v>
      </c>
      <c r="K154">
        <f t="shared" si="17"/>
        <v>0</v>
      </c>
    </row>
    <row r="155" spans="1:11" x14ac:dyDescent="0.3">
      <c r="A155" s="7">
        <v>6400</v>
      </c>
      <c r="B155">
        <v>6</v>
      </c>
      <c r="C155">
        <v>10</v>
      </c>
      <c r="D155">
        <v>1</v>
      </c>
      <c r="E155" t="s">
        <v>20</v>
      </c>
      <c r="F155" s="10">
        <f t="shared" si="12"/>
        <v>384</v>
      </c>
      <c r="G155" s="14">
        <f t="shared" si="13"/>
        <v>640</v>
      </c>
      <c r="H155" s="7">
        <f t="shared" si="14"/>
        <v>4666</v>
      </c>
      <c r="I155" s="10">
        <f t="shared" si="15"/>
        <v>7424</v>
      </c>
      <c r="J155">
        <f t="shared" si="16"/>
        <v>0</v>
      </c>
      <c r="K155">
        <f t="shared" si="17"/>
        <v>0</v>
      </c>
    </row>
    <row r="156" spans="1:11" x14ac:dyDescent="0.3">
      <c r="A156" s="7">
        <v>1274</v>
      </c>
      <c r="B156">
        <v>4</v>
      </c>
      <c r="C156">
        <v>5</v>
      </c>
      <c r="D156">
        <v>5</v>
      </c>
      <c r="E156" t="s">
        <v>19</v>
      </c>
      <c r="F156" s="10">
        <f t="shared" si="12"/>
        <v>51</v>
      </c>
      <c r="G156" s="14">
        <f t="shared" si="13"/>
        <v>63.7</v>
      </c>
      <c r="H156" s="7">
        <f t="shared" si="14"/>
        <v>933.2</v>
      </c>
      <c r="I156" s="10">
        <f t="shared" si="15"/>
        <v>1388.7</v>
      </c>
      <c r="J156">
        <f t="shared" si="16"/>
        <v>0</v>
      </c>
      <c r="K156">
        <f t="shared" si="17"/>
        <v>0</v>
      </c>
    </row>
    <row r="157" spans="1:11" x14ac:dyDescent="0.3">
      <c r="A157" s="7">
        <v>358</v>
      </c>
      <c r="B157">
        <v>7</v>
      </c>
      <c r="C157">
        <v>20</v>
      </c>
      <c r="D157">
        <v>10</v>
      </c>
      <c r="E157" t="s">
        <v>21</v>
      </c>
      <c r="F157" s="10">
        <f t="shared" si="12"/>
        <v>26</v>
      </c>
      <c r="G157" s="14">
        <f t="shared" si="13"/>
        <v>71.599999999999994</v>
      </c>
      <c r="H157" s="7">
        <f t="shared" si="14"/>
        <v>466.6</v>
      </c>
      <c r="I157" s="10">
        <f t="shared" si="15"/>
        <v>455.6</v>
      </c>
      <c r="J157">
        <f t="shared" si="16"/>
        <v>1</v>
      </c>
      <c r="K157">
        <f t="shared" si="17"/>
        <v>11</v>
      </c>
    </row>
    <row r="158" spans="1:11" x14ac:dyDescent="0.3">
      <c r="A158" s="7">
        <v>6790</v>
      </c>
      <c r="B158">
        <v>13</v>
      </c>
      <c r="C158">
        <v>45</v>
      </c>
      <c r="D158">
        <v>1</v>
      </c>
      <c r="E158" t="s">
        <v>19</v>
      </c>
      <c r="F158" s="10">
        <f t="shared" si="12"/>
        <v>883</v>
      </c>
      <c r="G158" s="14">
        <f t="shared" si="13"/>
        <v>3055.5</v>
      </c>
      <c r="H158" s="7">
        <f t="shared" si="14"/>
        <v>4666</v>
      </c>
      <c r="I158" s="10">
        <f t="shared" si="15"/>
        <v>10728.5</v>
      </c>
      <c r="J158">
        <f t="shared" si="16"/>
        <v>0</v>
      </c>
      <c r="K158">
        <f t="shared" si="17"/>
        <v>0</v>
      </c>
    </row>
    <row r="159" spans="1:11" x14ac:dyDescent="0.3">
      <c r="A159" s="7">
        <v>1010</v>
      </c>
      <c r="B159">
        <v>6</v>
      </c>
      <c r="C159">
        <v>25</v>
      </c>
      <c r="D159">
        <v>3</v>
      </c>
      <c r="E159" t="s">
        <v>15</v>
      </c>
      <c r="F159" s="10">
        <f t="shared" si="12"/>
        <v>61</v>
      </c>
      <c r="G159" s="14">
        <f t="shared" si="13"/>
        <v>252.5</v>
      </c>
      <c r="H159" s="7">
        <f t="shared" si="14"/>
        <v>1555.33</v>
      </c>
      <c r="I159" s="10">
        <f t="shared" si="15"/>
        <v>1323.5</v>
      </c>
      <c r="J159">
        <f t="shared" si="16"/>
        <v>1</v>
      </c>
      <c r="K159">
        <f t="shared" si="17"/>
        <v>231.82999999999993</v>
      </c>
    </row>
    <row r="160" spans="1:11" x14ac:dyDescent="0.3">
      <c r="A160" s="7">
        <v>5100</v>
      </c>
      <c r="B160">
        <v>13</v>
      </c>
      <c r="C160">
        <v>45</v>
      </c>
      <c r="D160">
        <v>1</v>
      </c>
      <c r="E160" t="s">
        <v>20</v>
      </c>
      <c r="F160" s="10">
        <f t="shared" si="12"/>
        <v>663</v>
      </c>
      <c r="G160" s="14">
        <f t="shared" si="13"/>
        <v>2295</v>
      </c>
      <c r="H160" s="7">
        <f t="shared" si="14"/>
        <v>4666</v>
      </c>
      <c r="I160" s="10">
        <f t="shared" si="15"/>
        <v>8058</v>
      </c>
      <c r="J160">
        <f t="shared" si="16"/>
        <v>0</v>
      </c>
      <c r="K160">
        <f t="shared" si="17"/>
        <v>0</v>
      </c>
    </row>
    <row r="161" spans="1:11" x14ac:dyDescent="0.3">
      <c r="A161" s="7">
        <v>447</v>
      </c>
      <c r="B161">
        <v>12</v>
      </c>
      <c r="C161">
        <v>25</v>
      </c>
      <c r="D161">
        <v>9</v>
      </c>
      <c r="E161" t="s">
        <v>19</v>
      </c>
      <c r="F161" s="10">
        <f t="shared" si="12"/>
        <v>54</v>
      </c>
      <c r="G161" s="14">
        <f t="shared" si="13"/>
        <v>111.75</v>
      </c>
      <c r="H161" s="7">
        <f t="shared" si="14"/>
        <v>518.44000000000005</v>
      </c>
      <c r="I161" s="10">
        <f t="shared" si="15"/>
        <v>612.75</v>
      </c>
      <c r="J161">
        <f t="shared" si="16"/>
        <v>0</v>
      </c>
      <c r="K161">
        <f t="shared" si="17"/>
        <v>0</v>
      </c>
    </row>
    <row r="162" spans="1:11" x14ac:dyDescent="0.3">
      <c r="A162" s="7">
        <v>3790</v>
      </c>
      <c r="B162">
        <v>2</v>
      </c>
      <c r="C162">
        <v>40</v>
      </c>
      <c r="D162">
        <v>1</v>
      </c>
      <c r="E162" t="s">
        <v>17</v>
      </c>
      <c r="F162" s="10">
        <f t="shared" si="12"/>
        <v>76</v>
      </c>
      <c r="G162" s="14">
        <f t="shared" si="13"/>
        <v>1516</v>
      </c>
      <c r="H162" s="7">
        <f t="shared" si="14"/>
        <v>4666</v>
      </c>
      <c r="I162" s="10">
        <f t="shared" si="15"/>
        <v>5382</v>
      </c>
      <c r="J162">
        <f t="shared" si="16"/>
        <v>0</v>
      </c>
      <c r="K162">
        <f t="shared" si="17"/>
        <v>0</v>
      </c>
    </row>
    <row r="163" spans="1:11" x14ac:dyDescent="0.3">
      <c r="A163" s="7">
        <v>1320</v>
      </c>
      <c r="B163">
        <v>18</v>
      </c>
      <c r="C163">
        <v>25</v>
      </c>
      <c r="D163">
        <v>5</v>
      </c>
      <c r="E163" t="s">
        <v>20</v>
      </c>
      <c r="F163" s="10">
        <f t="shared" si="12"/>
        <v>238</v>
      </c>
      <c r="G163" s="14">
        <f t="shared" si="13"/>
        <v>330</v>
      </c>
      <c r="H163" s="7">
        <f t="shared" si="14"/>
        <v>933.2</v>
      </c>
      <c r="I163" s="10">
        <f t="shared" si="15"/>
        <v>1888</v>
      </c>
      <c r="J163">
        <f t="shared" si="16"/>
        <v>0</v>
      </c>
      <c r="K163">
        <f t="shared" si="17"/>
        <v>0</v>
      </c>
    </row>
    <row r="164" spans="1:11" x14ac:dyDescent="0.3">
      <c r="A164" s="7">
        <v>808</v>
      </c>
      <c r="B164">
        <v>7</v>
      </c>
      <c r="C164">
        <v>45</v>
      </c>
      <c r="D164">
        <v>6</v>
      </c>
      <c r="E164" t="s">
        <v>20</v>
      </c>
      <c r="F164" s="10">
        <f t="shared" si="12"/>
        <v>57</v>
      </c>
      <c r="G164" s="14">
        <f t="shared" si="13"/>
        <v>363.6</v>
      </c>
      <c r="H164" s="7">
        <f t="shared" si="14"/>
        <v>777.67</v>
      </c>
      <c r="I164" s="10">
        <f t="shared" si="15"/>
        <v>1228.5999999999999</v>
      </c>
      <c r="J164">
        <f t="shared" si="16"/>
        <v>0</v>
      </c>
      <c r="K164">
        <f t="shared" si="17"/>
        <v>0</v>
      </c>
    </row>
    <row r="165" spans="1:11" x14ac:dyDescent="0.3">
      <c r="A165" s="7">
        <v>1318</v>
      </c>
      <c r="B165">
        <v>16</v>
      </c>
      <c r="C165">
        <v>30</v>
      </c>
      <c r="D165">
        <v>5</v>
      </c>
      <c r="E165" t="s">
        <v>19</v>
      </c>
      <c r="F165" s="10">
        <f t="shared" si="12"/>
        <v>211</v>
      </c>
      <c r="G165" s="14">
        <f t="shared" si="13"/>
        <v>395.4</v>
      </c>
      <c r="H165" s="7">
        <f t="shared" si="14"/>
        <v>933.2</v>
      </c>
      <c r="I165" s="10">
        <f t="shared" si="15"/>
        <v>1924.4</v>
      </c>
      <c r="J165">
        <f t="shared" si="16"/>
        <v>0</v>
      </c>
      <c r="K165">
        <f t="shared" si="17"/>
        <v>0</v>
      </c>
    </row>
    <row r="166" spans="1:11" x14ac:dyDescent="0.3">
      <c r="A166" s="7">
        <v>4690</v>
      </c>
      <c r="B166">
        <v>7</v>
      </c>
      <c r="C166">
        <v>0</v>
      </c>
      <c r="D166">
        <v>1</v>
      </c>
      <c r="E166" t="s">
        <v>21</v>
      </c>
      <c r="F166" s="10">
        <f t="shared" si="12"/>
        <v>329</v>
      </c>
      <c r="G166" s="14">
        <f t="shared" si="13"/>
        <v>0</v>
      </c>
      <c r="H166" s="7">
        <f t="shared" si="14"/>
        <v>4666</v>
      </c>
      <c r="I166" s="10">
        <f t="shared" si="15"/>
        <v>5019</v>
      </c>
      <c r="J166">
        <f t="shared" si="16"/>
        <v>0</v>
      </c>
      <c r="K166">
        <f t="shared" si="17"/>
        <v>0</v>
      </c>
    </row>
    <row r="167" spans="1:11" x14ac:dyDescent="0.3">
      <c r="A167" s="7">
        <v>401</v>
      </c>
      <c r="B167">
        <v>4</v>
      </c>
      <c r="C167">
        <v>50</v>
      </c>
      <c r="D167">
        <v>7</v>
      </c>
      <c r="E167" t="s">
        <v>21</v>
      </c>
      <c r="F167" s="10">
        <f t="shared" si="12"/>
        <v>17</v>
      </c>
      <c r="G167" s="14">
        <f t="shared" si="13"/>
        <v>200.5</v>
      </c>
      <c r="H167" s="7">
        <f t="shared" si="14"/>
        <v>666.57</v>
      </c>
      <c r="I167" s="10">
        <f t="shared" si="15"/>
        <v>618.5</v>
      </c>
      <c r="J167">
        <f t="shared" si="16"/>
        <v>1</v>
      </c>
      <c r="K167">
        <f t="shared" si="17"/>
        <v>48.07000000000005</v>
      </c>
    </row>
    <row r="168" spans="1:11" x14ac:dyDescent="0.3">
      <c r="A168" s="7">
        <v>420</v>
      </c>
      <c r="B168">
        <v>15</v>
      </c>
      <c r="C168">
        <v>10</v>
      </c>
      <c r="D168">
        <v>8</v>
      </c>
      <c r="E168" t="s">
        <v>19</v>
      </c>
      <c r="F168" s="10">
        <f t="shared" si="12"/>
        <v>63</v>
      </c>
      <c r="G168" s="14">
        <f t="shared" si="13"/>
        <v>42</v>
      </c>
      <c r="H168" s="7">
        <f t="shared" si="14"/>
        <v>583.25</v>
      </c>
      <c r="I168" s="10">
        <f t="shared" si="15"/>
        <v>525</v>
      </c>
      <c r="J168">
        <f t="shared" si="16"/>
        <v>1</v>
      </c>
      <c r="K168">
        <f t="shared" si="17"/>
        <v>58.25</v>
      </c>
    </row>
    <row r="169" spans="1:11" x14ac:dyDescent="0.3">
      <c r="A169" s="7">
        <v>5490</v>
      </c>
      <c r="B169">
        <v>10</v>
      </c>
      <c r="C169">
        <v>45</v>
      </c>
      <c r="D169">
        <v>1</v>
      </c>
      <c r="E169" t="s">
        <v>17</v>
      </c>
      <c r="F169" s="10">
        <f t="shared" si="12"/>
        <v>549</v>
      </c>
      <c r="G169" s="14">
        <f t="shared" si="13"/>
        <v>2470.5</v>
      </c>
      <c r="H169" s="7">
        <f t="shared" si="14"/>
        <v>4666</v>
      </c>
      <c r="I169" s="10">
        <f t="shared" si="15"/>
        <v>8509.5</v>
      </c>
      <c r="J169">
        <f t="shared" si="16"/>
        <v>0</v>
      </c>
      <c r="K169">
        <f t="shared" si="17"/>
        <v>0</v>
      </c>
    </row>
    <row r="170" spans="1:11" x14ac:dyDescent="0.3">
      <c r="A170" s="7">
        <v>647</v>
      </c>
      <c r="B170">
        <v>17</v>
      </c>
      <c r="C170">
        <v>10</v>
      </c>
      <c r="D170">
        <v>9</v>
      </c>
      <c r="E170" t="s">
        <v>16</v>
      </c>
      <c r="F170" s="10">
        <f t="shared" si="12"/>
        <v>110</v>
      </c>
      <c r="G170" s="14">
        <f t="shared" si="13"/>
        <v>64.7</v>
      </c>
      <c r="H170" s="7">
        <f t="shared" si="14"/>
        <v>518.44000000000005</v>
      </c>
      <c r="I170" s="10">
        <f t="shared" si="15"/>
        <v>821.7</v>
      </c>
      <c r="J170">
        <f t="shared" si="16"/>
        <v>0</v>
      </c>
      <c r="K170">
        <f t="shared" si="17"/>
        <v>0</v>
      </c>
    </row>
    <row r="171" spans="1:11" x14ac:dyDescent="0.3">
      <c r="A171" s="7">
        <v>6240</v>
      </c>
      <c r="B171">
        <v>5</v>
      </c>
      <c r="C171">
        <v>50</v>
      </c>
      <c r="D171">
        <v>1</v>
      </c>
      <c r="E171" t="s">
        <v>17</v>
      </c>
      <c r="F171" s="10">
        <f t="shared" si="12"/>
        <v>312</v>
      </c>
      <c r="G171" s="14">
        <f t="shared" si="13"/>
        <v>3120</v>
      </c>
      <c r="H171" s="7">
        <f t="shared" si="14"/>
        <v>4666</v>
      </c>
      <c r="I171" s="10">
        <f t="shared" si="15"/>
        <v>9672</v>
      </c>
      <c r="J171">
        <f t="shared" si="16"/>
        <v>0</v>
      </c>
      <c r="K171">
        <f t="shared" si="17"/>
        <v>0</v>
      </c>
    </row>
    <row r="172" spans="1:11" x14ac:dyDescent="0.3">
      <c r="A172" s="7">
        <v>677.1</v>
      </c>
      <c r="B172">
        <v>6</v>
      </c>
      <c r="C172">
        <v>45</v>
      </c>
      <c r="D172">
        <v>6</v>
      </c>
      <c r="E172" t="s">
        <v>17</v>
      </c>
      <c r="F172" s="10">
        <f t="shared" si="12"/>
        <v>41</v>
      </c>
      <c r="G172" s="14">
        <f t="shared" si="13"/>
        <v>304.7</v>
      </c>
      <c r="H172" s="7">
        <f t="shared" si="14"/>
        <v>777.67</v>
      </c>
      <c r="I172" s="10">
        <f t="shared" si="15"/>
        <v>1022.8</v>
      </c>
      <c r="J172">
        <f t="shared" si="16"/>
        <v>0</v>
      </c>
      <c r="K172">
        <f t="shared" si="17"/>
        <v>0</v>
      </c>
    </row>
    <row r="173" spans="1:11" x14ac:dyDescent="0.3">
      <c r="A173" s="7">
        <v>1324</v>
      </c>
      <c r="B173">
        <v>1</v>
      </c>
      <c r="C173">
        <v>10</v>
      </c>
      <c r="D173">
        <v>5</v>
      </c>
      <c r="E173" t="s">
        <v>20</v>
      </c>
      <c r="F173" s="10">
        <f t="shared" si="12"/>
        <v>14</v>
      </c>
      <c r="G173" s="14">
        <f t="shared" si="13"/>
        <v>132.4</v>
      </c>
      <c r="H173" s="7">
        <f t="shared" si="14"/>
        <v>933.2</v>
      </c>
      <c r="I173" s="10">
        <f t="shared" si="15"/>
        <v>1470.4</v>
      </c>
      <c r="J173">
        <f t="shared" si="16"/>
        <v>0</v>
      </c>
      <c r="K173">
        <f t="shared" si="17"/>
        <v>0</v>
      </c>
    </row>
    <row r="174" spans="1:11" x14ac:dyDescent="0.3">
      <c r="A174" s="7">
        <v>1525</v>
      </c>
      <c r="B174">
        <v>17</v>
      </c>
      <c r="C174">
        <v>20</v>
      </c>
      <c r="D174">
        <v>2</v>
      </c>
      <c r="E174" t="s">
        <v>21</v>
      </c>
      <c r="F174" s="10">
        <f t="shared" si="12"/>
        <v>260</v>
      </c>
      <c r="G174" s="14">
        <f t="shared" si="13"/>
        <v>305</v>
      </c>
      <c r="H174" s="7">
        <f t="shared" si="14"/>
        <v>2333</v>
      </c>
      <c r="I174" s="10">
        <f t="shared" si="15"/>
        <v>2090</v>
      </c>
      <c r="J174">
        <f t="shared" si="16"/>
        <v>1</v>
      </c>
      <c r="K174">
        <f t="shared" si="17"/>
        <v>243</v>
      </c>
    </row>
    <row r="175" spans="1:11" x14ac:dyDescent="0.3">
      <c r="A175" s="7">
        <v>4090</v>
      </c>
      <c r="B175">
        <v>9</v>
      </c>
      <c r="C175">
        <v>5</v>
      </c>
      <c r="D175">
        <v>1</v>
      </c>
      <c r="E175" t="s">
        <v>16</v>
      </c>
      <c r="F175" s="10">
        <f t="shared" si="12"/>
        <v>369</v>
      </c>
      <c r="G175" s="14">
        <f t="shared" si="13"/>
        <v>204.5</v>
      </c>
      <c r="H175" s="7">
        <f t="shared" si="14"/>
        <v>4666</v>
      </c>
      <c r="I175" s="10">
        <f t="shared" si="15"/>
        <v>4663.5</v>
      </c>
      <c r="J175">
        <f t="shared" si="16"/>
        <v>1</v>
      </c>
      <c r="K175">
        <f t="shared" si="17"/>
        <v>2.5</v>
      </c>
    </row>
    <row r="176" spans="1:11" x14ac:dyDescent="0.3">
      <c r="A176" s="7">
        <v>4050</v>
      </c>
      <c r="B176">
        <v>14</v>
      </c>
      <c r="C176">
        <v>50</v>
      </c>
      <c r="D176">
        <v>1</v>
      </c>
      <c r="E176" t="s">
        <v>17</v>
      </c>
      <c r="F176" s="10">
        <f t="shared" si="12"/>
        <v>567</v>
      </c>
      <c r="G176" s="14">
        <f t="shared" si="13"/>
        <v>2025</v>
      </c>
      <c r="H176" s="7">
        <f t="shared" si="14"/>
        <v>4666</v>
      </c>
      <c r="I176" s="10">
        <f t="shared" si="15"/>
        <v>6642</v>
      </c>
      <c r="J176">
        <f t="shared" si="16"/>
        <v>0</v>
      </c>
      <c r="K176">
        <f t="shared" si="17"/>
        <v>0</v>
      </c>
    </row>
    <row r="177" spans="1:11" x14ac:dyDescent="0.3">
      <c r="A177" s="7">
        <v>371</v>
      </c>
      <c r="B177">
        <v>12</v>
      </c>
      <c r="C177">
        <v>50</v>
      </c>
      <c r="D177">
        <v>10</v>
      </c>
      <c r="E177" t="s">
        <v>15</v>
      </c>
      <c r="F177" s="10">
        <f t="shared" si="12"/>
        <v>45</v>
      </c>
      <c r="G177" s="14">
        <f t="shared" si="13"/>
        <v>185.5</v>
      </c>
      <c r="H177" s="7">
        <f t="shared" si="14"/>
        <v>466.6</v>
      </c>
      <c r="I177" s="10">
        <f t="shared" si="15"/>
        <v>601.5</v>
      </c>
      <c r="J177">
        <f t="shared" si="16"/>
        <v>0</v>
      </c>
      <c r="K177">
        <f t="shared" si="17"/>
        <v>0</v>
      </c>
    </row>
    <row r="178" spans="1:11" x14ac:dyDescent="0.3">
      <c r="A178" s="7">
        <v>1014</v>
      </c>
      <c r="B178">
        <v>3</v>
      </c>
      <c r="C178">
        <v>0</v>
      </c>
      <c r="D178">
        <v>5</v>
      </c>
      <c r="E178" t="s">
        <v>16</v>
      </c>
      <c r="F178" s="10">
        <f t="shared" si="12"/>
        <v>31</v>
      </c>
      <c r="G178" s="14">
        <f t="shared" si="13"/>
        <v>0</v>
      </c>
      <c r="H178" s="7">
        <f t="shared" si="14"/>
        <v>933.2</v>
      </c>
      <c r="I178" s="10">
        <f t="shared" si="15"/>
        <v>1045</v>
      </c>
      <c r="J178">
        <f t="shared" si="16"/>
        <v>0</v>
      </c>
      <c r="K178">
        <f t="shared" si="17"/>
        <v>0</v>
      </c>
    </row>
    <row r="179" spans="1:11" x14ac:dyDescent="0.3">
      <c r="A179" s="7">
        <v>517</v>
      </c>
      <c r="B179">
        <v>12</v>
      </c>
      <c r="C179">
        <v>15</v>
      </c>
      <c r="D179">
        <v>10</v>
      </c>
      <c r="E179" t="s">
        <v>16</v>
      </c>
      <c r="F179" s="10">
        <f t="shared" si="12"/>
        <v>63</v>
      </c>
      <c r="G179" s="14">
        <f t="shared" si="13"/>
        <v>77.55</v>
      </c>
      <c r="H179" s="7">
        <f t="shared" si="14"/>
        <v>466.6</v>
      </c>
      <c r="I179" s="10">
        <f t="shared" si="15"/>
        <v>657.55</v>
      </c>
      <c r="J179">
        <f t="shared" si="16"/>
        <v>0</v>
      </c>
      <c r="K179">
        <f t="shared" si="17"/>
        <v>0</v>
      </c>
    </row>
    <row r="180" spans="1:11" x14ac:dyDescent="0.3">
      <c r="A180" s="7">
        <v>5340</v>
      </c>
      <c r="B180">
        <v>4</v>
      </c>
      <c r="C180">
        <v>30</v>
      </c>
      <c r="D180">
        <v>1</v>
      </c>
      <c r="E180" t="s">
        <v>16</v>
      </c>
      <c r="F180" s="10">
        <f t="shared" si="12"/>
        <v>214</v>
      </c>
      <c r="G180" s="14">
        <f t="shared" si="13"/>
        <v>1602</v>
      </c>
      <c r="H180" s="7">
        <f t="shared" si="14"/>
        <v>4666</v>
      </c>
      <c r="I180" s="10">
        <f t="shared" si="15"/>
        <v>7156</v>
      </c>
      <c r="J180">
        <f t="shared" si="16"/>
        <v>0</v>
      </c>
      <c r="K180">
        <f t="shared" si="17"/>
        <v>0</v>
      </c>
    </row>
    <row r="181" spans="1:11" x14ac:dyDescent="0.3">
      <c r="A181" s="7">
        <v>589</v>
      </c>
      <c r="B181">
        <v>3</v>
      </c>
      <c r="C181">
        <v>15</v>
      </c>
      <c r="D181">
        <v>7</v>
      </c>
      <c r="E181" t="s">
        <v>16</v>
      </c>
      <c r="F181" s="10">
        <f t="shared" si="12"/>
        <v>18</v>
      </c>
      <c r="G181" s="14">
        <f t="shared" si="13"/>
        <v>88.35</v>
      </c>
      <c r="H181" s="7">
        <f t="shared" si="14"/>
        <v>666.57</v>
      </c>
      <c r="I181" s="10">
        <f t="shared" si="15"/>
        <v>695.35</v>
      </c>
      <c r="J181">
        <f t="shared" si="16"/>
        <v>0</v>
      </c>
      <c r="K181">
        <f t="shared" si="17"/>
        <v>0</v>
      </c>
    </row>
    <row r="182" spans="1:11" x14ac:dyDescent="0.3">
      <c r="A182" s="7">
        <v>6900</v>
      </c>
      <c r="B182">
        <v>2</v>
      </c>
      <c r="C182">
        <v>10</v>
      </c>
      <c r="D182">
        <v>1</v>
      </c>
      <c r="E182" t="s">
        <v>19</v>
      </c>
      <c r="F182" s="10">
        <f t="shared" si="12"/>
        <v>138</v>
      </c>
      <c r="G182" s="14">
        <f t="shared" si="13"/>
        <v>690</v>
      </c>
      <c r="H182" s="7">
        <f t="shared" si="14"/>
        <v>4666</v>
      </c>
      <c r="I182" s="10">
        <f t="shared" si="15"/>
        <v>7728</v>
      </c>
      <c r="J182">
        <f t="shared" si="16"/>
        <v>0</v>
      </c>
      <c r="K182">
        <f t="shared" si="17"/>
        <v>0</v>
      </c>
    </row>
    <row r="183" spans="1:11" x14ac:dyDescent="0.3">
      <c r="A183" s="7">
        <v>1963</v>
      </c>
      <c r="B183">
        <v>20</v>
      </c>
      <c r="C183">
        <v>45</v>
      </c>
      <c r="D183">
        <v>3</v>
      </c>
      <c r="E183" t="s">
        <v>15</v>
      </c>
      <c r="F183" s="10">
        <f t="shared" si="12"/>
        <v>393</v>
      </c>
      <c r="G183" s="14">
        <f t="shared" si="13"/>
        <v>883.35</v>
      </c>
      <c r="H183" s="7">
        <f t="shared" si="14"/>
        <v>1555.33</v>
      </c>
      <c r="I183" s="10">
        <f t="shared" si="15"/>
        <v>3239.35</v>
      </c>
      <c r="J183">
        <f t="shared" si="16"/>
        <v>0</v>
      </c>
      <c r="K183">
        <f t="shared" si="17"/>
        <v>0</v>
      </c>
    </row>
    <row r="184" spans="1:11" x14ac:dyDescent="0.3">
      <c r="A184" s="7">
        <v>3490</v>
      </c>
      <c r="B184">
        <v>16</v>
      </c>
      <c r="C184">
        <v>35</v>
      </c>
      <c r="D184">
        <v>1</v>
      </c>
      <c r="E184" t="s">
        <v>17</v>
      </c>
      <c r="F184" s="10">
        <f t="shared" si="12"/>
        <v>559</v>
      </c>
      <c r="G184" s="14">
        <f t="shared" si="13"/>
        <v>1221.5</v>
      </c>
      <c r="H184" s="7">
        <f t="shared" si="14"/>
        <v>4666</v>
      </c>
      <c r="I184" s="10">
        <f t="shared" si="15"/>
        <v>5270.5</v>
      </c>
      <c r="J184">
        <f t="shared" si="16"/>
        <v>0</v>
      </c>
      <c r="K184">
        <f t="shared" si="17"/>
        <v>0</v>
      </c>
    </row>
    <row r="185" spans="1:11" x14ac:dyDescent="0.3">
      <c r="A185" s="7">
        <v>6690</v>
      </c>
      <c r="B185">
        <v>7</v>
      </c>
      <c r="C185">
        <v>50</v>
      </c>
      <c r="D185">
        <v>1</v>
      </c>
      <c r="E185" t="s">
        <v>19</v>
      </c>
      <c r="F185" s="10">
        <f t="shared" si="12"/>
        <v>469</v>
      </c>
      <c r="G185" s="14">
        <f t="shared" si="13"/>
        <v>3345</v>
      </c>
      <c r="H185" s="7">
        <f t="shared" si="14"/>
        <v>4666</v>
      </c>
      <c r="I185" s="10">
        <f t="shared" si="15"/>
        <v>10504</v>
      </c>
      <c r="J185">
        <f t="shared" si="16"/>
        <v>0</v>
      </c>
      <c r="K185">
        <f t="shared" si="17"/>
        <v>0</v>
      </c>
    </row>
    <row r="186" spans="1:11" x14ac:dyDescent="0.3">
      <c r="A186" s="7">
        <v>3830</v>
      </c>
      <c r="B186">
        <v>4</v>
      </c>
      <c r="C186">
        <v>5</v>
      </c>
      <c r="D186">
        <v>1</v>
      </c>
      <c r="E186" t="s">
        <v>16</v>
      </c>
      <c r="F186" s="10">
        <f t="shared" si="12"/>
        <v>154</v>
      </c>
      <c r="G186" s="14">
        <f t="shared" si="13"/>
        <v>191.5</v>
      </c>
      <c r="H186" s="7">
        <f t="shared" si="14"/>
        <v>4666</v>
      </c>
      <c r="I186" s="10">
        <f t="shared" si="15"/>
        <v>4175.5</v>
      </c>
      <c r="J186">
        <f t="shared" si="16"/>
        <v>1</v>
      </c>
      <c r="K186">
        <f t="shared" si="17"/>
        <v>490.5</v>
      </c>
    </row>
    <row r="187" spans="1:11" x14ac:dyDescent="0.3">
      <c r="A187" s="7">
        <v>2095</v>
      </c>
      <c r="B187">
        <v>4</v>
      </c>
      <c r="C187">
        <v>15</v>
      </c>
      <c r="D187">
        <v>2</v>
      </c>
      <c r="E187" t="s">
        <v>18</v>
      </c>
      <c r="F187" s="10">
        <f t="shared" si="12"/>
        <v>84</v>
      </c>
      <c r="G187" s="14">
        <f t="shared" si="13"/>
        <v>314.25</v>
      </c>
      <c r="H187" s="7">
        <f t="shared" si="14"/>
        <v>2333</v>
      </c>
      <c r="I187" s="10">
        <f t="shared" si="15"/>
        <v>2493.25</v>
      </c>
      <c r="J187">
        <f t="shared" si="16"/>
        <v>0</v>
      </c>
      <c r="K187">
        <f t="shared" si="17"/>
        <v>0</v>
      </c>
    </row>
    <row r="188" spans="1:11" x14ac:dyDescent="0.3">
      <c r="A188" s="7">
        <v>410</v>
      </c>
      <c r="B188">
        <v>12</v>
      </c>
      <c r="C188">
        <v>10</v>
      </c>
      <c r="D188">
        <v>8</v>
      </c>
      <c r="E188" t="s">
        <v>20</v>
      </c>
      <c r="F188" s="10">
        <f t="shared" si="12"/>
        <v>50</v>
      </c>
      <c r="G188" s="14">
        <f t="shared" si="13"/>
        <v>41</v>
      </c>
      <c r="H188" s="7">
        <f t="shared" si="14"/>
        <v>583.25</v>
      </c>
      <c r="I188" s="10">
        <f t="shared" si="15"/>
        <v>501</v>
      </c>
      <c r="J188">
        <f t="shared" si="16"/>
        <v>1</v>
      </c>
      <c r="K188">
        <f t="shared" si="17"/>
        <v>82.25</v>
      </c>
    </row>
    <row r="189" spans="1:11" x14ac:dyDescent="0.3">
      <c r="A189" s="7">
        <v>3160</v>
      </c>
      <c r="B189">
        <v>8</v>
      </c>
      <c r="C189">
        <v>50</v>
      </c>
      <c r="D189">
        <v>1</v>
      </c>
      <c r="E189" t="s">
        <v>20</v>
      </c>
      <c r="F189" s="10">
        <f t="shared" si="12"/>
        <v>253</v>
      </c>
      <c r="G189" s="14">
        <f t="shared" si="13"/>
        <v>1580</v>
      </c>
      <c r="H189" s="7">
        <f t="shared" si="14"/>
        <v>4666</v>
      </c>
      <c r="I189" s="10">
        <f t="shared" si="15"/>
        <v>4993</v>
      </c>
      <c r="J189">
        <f t="shared" si="16"/>
        <v>0</v>
      </c>
      <c r="K189">
        <f t="shared" si="17"/>
        <v>0</v>
      </c>
    </row>
    <row r="190" spans="1:11" x14ac:dyDescent="0.3">
      <c r="A190" s="7">
        <v>1174</v>
      </c>
      <c r="B190">
        <v>9</v>
      </c>
      <c r="C190">
        <v>35</v>
      </c>
      <c r="D190">
        <v>5</v>
      </c>
      <c r="E190" t="s">
        <v>21</v>
      </c>
      <c r="F190" s="10">
        <f t="shared" si="12"/>
        <v>106</v>
      </c>
      <c r="G190" s="14">
        <f t="shared" si="13"/>
        <v>410.9</v>
      </c>
      <c r="H190" s="7">
        <f t="shared" si="14"/>
        <v>933.2</v>
      </c>
      <c r="I190" s="10">
        <f t="shared" si="15"/>
        <v>1690.9</v>
      </c>
      <c r="J190">
        <f t="shared" si="16"/>
        <v>0</v>
      </c>
      <c r="K190">
        <f t="shared" si="17"/>
        <v>0</v>
      </c>
    </row>
    <row r="191" spans="1:11" x14ac:dyDescent="0.3">
      <c r="A191" s="7">
        <v>5570</v>
      </c>
      <c r="B191">
        <v>10</v>
      </c>
      <c r="C191">
        <v>40</v>
      </c>
      <c r="D191">
        <v>1</v>
      </c>
      <c r="E191" t="s">
        <v>19</v>
      </c>
      <c r="F191" s="10">
        <f t="shared" si="12"/>
        <v>557</v>
      </c>
      <c r="G191" s="14">
        <f t="shared" si="13"/>
        <v>2228</v>
      </c>
      <c r="H191" s="7">
        <f t="shared" si="14"/>
        <v>4666</v>
      </c>
      <c r="I191" s="10">
        <f t="shared" si="15"/>
        <v>8355</v>
      </c>
      <c r="J191">
        <f t="shared" si="16"/>
        <v>0</v>
      </c>
      <c r="K191">
        <f t="shared" si="17"/>
        <v>0</v>
      </c>
    </row>
    <row r="192" spans="1:11" x14ac:dyDescent="0.3">
      <c r="A192" s="7">
        <v>794</v>
      </c>
      <c r="B192">
        <v>16</v>
      </c>
      <c r="C192">
        <v>50</v>
      </c>
      <c r="D192">
        <v>7</v>
      </c>
      <c r="E192" t="s">
        <v>16</v>
      </c>
      <c r="F192" s="10">
        <f t="shared" si="12"/>
        <v>128</v>
      </c>
      <c r="G192" s="14">
        <f t="shared" si="13"/>
        <v>397</v>
      </c>
      <c r="H192" s="7">
        <f t="shared" si="14"/>
        <v>666.57</v>
      </c>
      <c r="I192" s="10">
        <f t="shared" si="15"/>
        <v>1319</v>
      </c>
      <c r="J192">
        <f t="shared" si="16"/>
        <v>0</v>
      </c>
      <c r="K192">
        <f t="shared" si="17"/>
        <v>0</v>
      </c>
    </row>
    <row r="193" spans="1:11" x14ac:dyDescent="0.3">
      <c r="A193" s="7">
        <v>339</v>
      </c>
      <c r="B193">
        <v>19</v>
      </c>
      <c r="C193">
        <v>45</v>
      </c>
      <c r="D193">
        <v>9</v>
      </c>
      <c r="E193" t="s">
        <v>20</v>
      </c>
      <c r="F193" s="10">
        <f t="shared" si="12"/>
        <v>65</v>
      </c>
      <c r="G193" s="14">
        <f t="shared" si="13"/>
        <v>152.55000000000001</v>
      </c>
      <c r="H193" s="7">
        <f t="shared" si="14"/>
        <v>518.44000000000005</v>
      </c>
      <c r="I193" s="10">
        <f t="shared" si="15"/>
        <v>556.54999999999995</v>
      </c>
      <c r="J193">
        <f t="shared" si="16"/>
        <v>0</v>
      </c>
      <c r="K193">
        <f t="shared" si="17"/>
        <v>0</v>
      </c>
    </row>
    <row r="194" spans="1:11" x14ac:dyDescent="0.3">
      <c r="A194" s="7">
        <v>500</v>
      </c>
      <c r="B194">
        <v>11</v>
      </c>
      <c r="C194">
        <v>20</v>
      </c>
      <c r="D194">
        <v>6</v>
      </c>
      <c r="E194" t="s">
        <v>20</v>
      </c>
      <c r="F194" s="10">
        <f t="shared" si="12"/>
        <v>55</v>
      </c>
      <c r="G194" s="14">
        <f t="shared" si="13"/>
        <v>100</v>
      </c>
      <c r="H194" s="7">
        <f t="shared" si="14"/>
        <v>777.67</v>
      </c>
      <c r="I194" s="10">
        <f t="shared" si="15"/>
        <v>655</v>
      </c>
      <c r="J194">
        <f t="shared" si="16"/>
        <v>1</v>
      </c>
      <c r="K194">
        <f t="shared" si="17"/>
        <v>122.66999999999996</v>
      </c>
    </row>
    <row r="195" spans="1:11" x14ac:dyDescent="0.3">
      <c r="A195" s="7">
        <v>1186</v>
      </c>
      <c r="B195">
        <v>11</v>
      </c>
      <c r="C195">
        <v>10</v>
      </c>
      <c r="D195">
        <v>5</v>
      </c>
      <c r="E195" t="s">
        <v>17</v>
      </c>
      <c r="F195" s="10">
        <f t="shared" ref="F195:F258" si="18">ROUNDUP(0.01*B195*A195,0)</f>
        <v>131</v>
      </c>
      <c r="G195" s="14">
        <f t="shared" ref="G195:G258" si="19">ROUND(C195/100*A195,2)</f>
        <v>118.6</v>
      </c>
      <c r="H195" s="7">
        <f t="shared" ref="H195:H258" si="20">ROUND(4666/D195:D694,2)</f>
        <v>933.2</v>
      </c>
      <c r="I195" s="10">
        <f t="shared" ref="I195:I258" si="21">G195+A195+F195</f>
        <v>1435.6</v>
      </c>
      <c r="J195">
        <f t="shared" ref="J195:J258" si="22">IF(H195&gt;I195,1,0)</f>
        <v>0</v>
      </c>
      <c r="K195">
        <f t="shared" ref="K195:K258" si="23">IF(J195=1,H195-I195,0)</f>
        <v>0</v>
      </c>
    </row>
    <row r="196" spans="1:11" x14ac:dyDescent="0.3">
      <c r="A196" s="7">
        <v>1815</v>
      </c>
      <c r="B196">
        <v>5</v>
      </c>
      <c r="C196">
        <v>35</v>
      </c>
      <c r="D196">
        <v>2</v>
      </c>
      <c r="E196" t="s">
        <v>17</v>
      </c>
      <c r="F196" s="10">
        <f t="shared" si="18"/>
        <v>91</v>
      </c>
      <c r="G196" s="14">
        <f t="shared" si="19"/>
        <v>635.25</v>
      </c>
      <c r="H196" s="7">
        <f t="shared" si="20"/>
        <v>2333</v>
      </c>
      <c r="I196" s="10">
        <f t="shared" si="21"/>
        <v>2541.25</v>
      </c>
      <c r="J196">
        <f t="shared" si="22"/>
        <v>0</v>
      </c>
      <c r="K196">
        <f t="shared" si="23"/>
        <v>0</v>
      </c>
    </row>
    <row r="197" spans="1:11" x14ac:dyDescent="0.3">
      <c r="A197" s="7">
        <v>1236</v>
      </c>
      <c r="B197">
        <v>8</v>
      </c>
      <c r="C197">
        <v>15</v>
      </c>
      <c r="D197">
        <v>5</v>
      </c>
      <c r="E197" t="s">
        <v>16</v>
      </c>
      <c r="F197" s="10">
        <f t="shared" si="18"/>
        <v>99</v>
      </c>
      <c r="G197" s="14">
        <f t="shared" si="19"/>
        <v>185.4</v>
      </c>
      <c r="H197" s="7">
        <f t="shared" si="20"/>
        <v>933.2</v>
      </c>
      <c r="I197" s="10">
        <f t="shared" si="21"/>
        <v>1520.4</v>
      </c>
      <c r="J197">
        <f t="shared" si="22"/>
        <v>0</v>
      </c>
      <c r="K197">
        <f t="shared" si="23"/>
        <v>0</v>
      </c>
    </row>
    <row r="198" spans="1:11" x14ac:dyDescent="0.3">
      <c r="A198" s="7">
        <v>324</v>
      </c>
      <c r="B198">
        <v>18</v>
      </c>
      <c r="C198">
        <v>30</v>
      </c>
      <c r="D198">
        <v>9</v>
      </c>
      <c r="E198" t="s">
        <v>16</v>
      </c>
      <c r="F198" s="10">
        <f t="shared" si="18"/>
        <v>59</v>
      </c>
      <c r="G198" s="14">
        <f t="shared" si="19"/>
        <v>97.2</v>
      </c>
      <c r="H198" s="7">
        <f t="shared" si="20"/>
        <v>518.44000000000005</v>
      </c>
      <c r="I198" s="10">
        <f t="shared" si="21"/>
        <v>480.2</v>
      </c>
      <c r="J198">
        <f t="shared" si="22"/>
        <v>1</v>
      </c>
      <c r="K198">
        <f t="shared" si="23"/>
        <v>38.240000000000066</v>
      </c>
    </row>
    <row r="199" spans="1:11" x14ac:dyDescent="0.3">
      <c r="A199" s="7">
        <v>504</v>
      </c>
      <c r="B199">
        <v>9</v>
      </c>
      <c r="C199">
        <v>20</v>
      </c>
      <c r="D199">
        <v>9</v>
      </c>
      <c r="E199" t="s">
        <v>20</v>
      </c>
      <c r="F199" s="10">
        <f t="shared" si="18"/>
        <v>46</v>
      </c>
      <c r="G199" s="14">
        <f t="shared" si="19"/>
        <v>100.8</v>
      </c>
      <c r="H199" s="7">
        <f t="shared" si="20"/>
        <v>518.44000000000005</v>
      </c>
      <c r="I199" s="10">
        <f t="shared" si="21"/>
        <v>650.79999999999995</v>
      </c>
      <c r="J199">
        <f t="shared" si="22"/>
        <v>0</v>
      </c>
      <c r="K199">
        <f t="shared" si="23"/>
        <v>0</v>
      </c>
    </row>
    <row r="200" spans="1:11" x14ac:dyDescent="0.3">
      <c r="A200" s="7">
        <v>475</v>
      </c>
      <c r="B200">
        <v>11</v>
      </c>
      <c r="C200">
        <v>40</v>
      </c>
      <c r="D200">
        <v>10</v>
      </c>
      <c r="E200" t="s">
        <v>20</v>
      </c>
      <c r="F200" s="10">
        <f t="shared" si="18"/>
        <v>53</v>
      </c>
      <c r="G200" s="14">
        <f t="shared" si="19"/>
        <v>190</v>
      </c>
      <c r="H200" s="7">
        <f t="shared" si="20"/>
        <v>466.6</v>
      </c>
      <c r="I200" s="10">
        <f t="shared" si="21"/>
        <v>718</v>
      </c>
      <c r="J200">
        <f t="shared" si="22"/>
        <v>0</v>
      </c>
      <c r="K200">
        <f t="shared" si="23"/>
        <v>0</v>
      </c>
    </row>
    <row r="201" spans="1:11" x14ac:dyDescent="0.3">
      <c r="A201" s="7">
        <v>360</v>
      </c>
      <c r="B201">
        <v>4</v>
      </c>
      <c r="C201">
        <v>35</v>
      </c>
      <c r="D201">
        <v>8</v>
      </c>
      <c r="E201" t="s">
        <v>17</v>
      </c>
      <c r="F201" s="10">
        <f t="shared" si="18"/>
        <v>15</v>
      </c>
      <c r="G201" s="14">
        <f t="shared" si="19"/>
        <v>126</v>
      </c>
      <c r="H201" s="7">
        <f t="shared" si="20"/>
        <v>583.25</v>
      </c>
      <c r="I201" s="10">
        <f t="shared" si="21"/>
        <v>501</v>
      </c>
      <c r="J201">
        <f t="shared" si="22"/>
        <v>1</v>
      </c>
      <c r="K201">
        <f t="shared" si="23"/>
        <v>82.25</v>
      </c>
    </row>
    <row r="202" spans="1:11" x14ac:dyDescent="0.3">
      <c r="A202" s="7">
        <v>1340</v>
      </c>
      <c r="B202">
        <v>0</v>
      </c>
      <c r="C202">
        <v>5</v>
      </c>
      <c r="D202">
        <v>5</v>
      </c>
      <c r="E202" t="s">
        <v>19</v>
      </c>
      <c r="F202" s="10">
        <f t="shared" si="18"/>
        <v>0</v>
      </c>
      <c r="G202" s="14">
        <f t="shared" si="19"/>
        <v>67</v>
      </c>
      <c r="H202" s="7">
        <f t="shared" si="20"/>
        <v>933.2</v>
      </c>
      <c r="I202" s="10">
        <f t="shared" si="21"/>
        <v>1407</v>
      </c>
      <c r="J202">
        <f t="shared" si="22"/>
        <v>0</v>
      </c>
      <c r="K202">
        <f t="shared" si="23"/>
        <v>0</v>
      </c>
    </row>
    <row r="203" spans="1:11" x14ac:dyDescent="0.3">
      <c r="A203" s="7">
        <v>1067</v>
      </c>
      <c r="B203">
        <v>2</v>
      </c>
      <c r="C203">
        <v>30</v>
      </c>
      <c r="D203">
        <v>3</v>
      </c>
      <c r="E203" t="s">
        <v>21</v>
      </c>
      <c r="F203" s="10">
        <f t="shared" si="18"/>
        <v>22</v>
      </c>
      <c r="G203" s="14">
        <f t="shared" si="19"/>
        <v>320.10000000000002</v>
      </c>
      <c r="H203" s="7">
        <f t="shared" si="20"/>
        <v>1555.33</v>
      </c>
      <c r="I203" s="10">
        <f t="shared" si="21"/>
        <v>1409.1</v>
      </c>
      <c r="J203">
        <f t="shared" si="22"/>
        <v>1</v>
      </c>
      <c r="K203">
        <f t="shared" si="23"/>
        <v>146.23000000000002</v>
      </c>
    </row>
    <row r="204" spans="1:11" x14ac:dyDescent="0.3">
      <c r="A204" s="7">
        <v>4330</v>
      </c>
      <c r="B204">
        <v>7</v>
      </c>
      <c r="C204">
        <v>50</v>
      </c>
      <c r="D204">
        <v>1</v>
      </c>
      <c r="E204" t="s">
        <v>15</v>
      </c>
      <c r="F204" s="10">
        <f t="shared" si="18"/>
        <v>304</v>
      </c>
      <c r="G204" s="14">
        <f t="shared" si="19"/>
        <v>2165</v>
      </c>
      <c r="H204" s="7">
        <f t="shared" si="20"/>
        <v>4666</v>
      </c>
      <c r="I204" s="10">
        <f t="shared" si="21"/>
        <v>6799</v>
      </c>
      <c r="J204">
        <f t="shared" si="22"/>
        <v>0</v>
      </c>
      <c r="K204">
        <f t="shared" si="23"/>
        <v>0</v>
      </c>
    </row>
    <row r="205" spans="1:11" x14ac:dyDescent="0.3">
      <c r="A205" s="7">
        <v>4170</v>
      </c>
      <c r="B205">
        <v>12</v>
      </c>
      <c r="C205">
        <v>35</v>
      </c>
      <c r="D205">
        <v>1</v>
      </c>
      <c r="E205" t="s">
        <v>18</v>
      </c>
      <c r="F205" s="10">
        <f t="shared" si="18"/>
        <v>501</v>
      </c>
      <c r="G205" s="14">
        <f t="shared" si="19"/>
        <v>1459.5</v>
      </c>
      <c r="H205" s="7">
        <f t="shared" si="20"/>
        <v>4666</v>
      </c>
      <c r="I205" s="10">
        <f t="shared" si="21"/>
        <v>6130.5</v>
      </c>
      <c r="J205">
        <f t="shared" si="22"/>
        <v>0</v>
      </c>
      <c r="K205">
        <f t="shared" si="23"/>
        <v>0</v>
      </c>
    </row>
    <row r="206" spans="1:11" x14ac:dyDescent="0.3">
      <c r="A206" s="7">
        <v>1860</v>
      </c>
      <c r="B206">
        <v>8</v>
      </c>
      <c r="C206">
        <v>30</v>
      </c>
      <c r="D206">
        <v>3</v>
      </c>
      <c r="E206" t="s">
        <v>17</v>
      </c>
      <c r="F206" s="10">
        <f t="shared" si="18"/>
        <v>149</v>
      </c>
      <c r="G206" s="14">
        <f t="shared" si="19"/>
        <v>558</v>
      </c>
      <c r="H206" s="7">
        <f t="shared" si="20"/>
        <v>1555.33</v>
      </c>
      <c r="I206" s="10">
        <f t="shared" si="21"/>
        <v>2567</v>
      </c>
      <c r="J206">
        <f t="shared" si="22"/>
        <v>0</v>
      </c>
      <c r="K206">
        <f t="shared" si="23"/>
        <v>0</v>
      </c>
    </row>
    <row r="207" spans="1:11" x14ac:dyDescent="0.3">
      <c r="A207" s="7">
        <v>6550</v>
      </c>
      <c r="B207">
        <v>8</v>
      </c>
      <c r="C207">
        <v>30</v>
      </c>
      <c r="D207">
        <v>1</v>
      </c>
      <c r="E207" t="s">
        <v>19</v>
      </c>
      <c r="F207" s="10">
        <f t="shared" si="18"/>
        <v>524</v>
      </c>
      <c r="G207" s="14">
        <f t="shared" si="19"/>
        <v>1965</v>
      </c>
      <c r="H207" s="7">
        <f t="shared" si="20"/>
        <v>4666</v>
      </c>
      <c r="I207" s="10">
        <f t="shared" si="21"/>
        <v>9039</v>
      </c>
      <c r="J207">
        <f t="shared" si="22"/>
        <v>0</v>
      </c>
      <c r="K207">
        <f t="shared" si="23"/>
        <v>0</v>
      </c>
    </row>
    <row r="208" spans="1:11" x14ac:dyDescent="0.3">
      <c r="A208" s="7">
        <v>6790</v>
      </c>
      <c r="B208">
        <v>13</v>
      </c>
      <c r="C208">
        <v>40</v>
      </c>
      <c r="D208">
        <v>1</v>
      </c>
      <c r="E208" t="s">
        <v>19</v>
      </c>
      <c r="F208" s="10">
        <f t="shared" si="18"/>
        <v>883</v>
      </c>
      <c r="G208" s="14">
        <f t="shared" si="19"/>
        <v>2716</v>
      </c>
      <c r="H208" s="7">
        <f t="shared" si="20"/>
        <v>4666</v>
      </c>
      <c r="I208" s="10">
        <f t="shared" si="21"/>
        <v>10389</v>
      </c>
      <c r="J208">
        <f t="shared" si="22"/>
        <v>0</v>
      </c>
      <c r="K208">
        <f t="shared" si="23"/>
        <v>0</v>
      </c>
    </row>
    <row r="209" spans="1:11" x14ac:dyDescent="0.3">
      <c r="A209" s="7">
        <v>4600</v>
      </c>
      <c r="B209">
        <v>11</v>
      </c>
      <c r="C209">
        <v>30</v>
      </c>
      <c r="D209">
        <v>1</v>
      </c>
      <c r="E209" t="s">
        <v>16</v>
      </c>
      <c r="F209" s="10">
        <f t="shared" si="18"/>
        <v>506</v>
      </c>
      <c r="G209" s="14">
        <f t="shared" si="19"/>
        <v>1380</v>
      </c>
      <c r="H209" s="7">
        <f t="shared" si="20"/>
        <v>4666</v>
      </c>
      <c r="I209" s="10">
        <f t="shared" si="21"/>
        <v>6486</v>
      </c>
      <c r="J209">
        <f t="shared" si="22"/>
        <v>0</v>
      </c>
      <c r="K209">
        <f t="shared" si="23"/>
        <v>0</v>
      </c>
    </row>
    <row r="210" spans="1:11" x14ac:dyDescent="0.3">
      <c r="A210" s="7">
        <v>5720</v>
      </c>
      <c r="B210">
        <v>15</v>
      </c>
      <c r="C210">
        <v>0</v>
      </c>
      <c r="D210">
        <v>1</v>
      </c>
      <c r="E210" t="s">
        <v>19</v>
      </c>
      <c r="F210" s="10">
        <f t="shared" si="18"/>
        <v>858</v>
      </c>
      <c r="G210" s="14">
        <f t="shared" si="19"/>
        <v>0</v>
      </c>
      <c r="H210" s="7">
        <f t="shared" si="20"/>
        <v>4666</v>
      </c>
      <c r="I210" s="10">
        <f t="shared" si="21"/>
        <v>6578</v>
      </c>
      <c r="J210">
        <f t="shared" si="22"/>
        <v>0</v>
      </c>
      <c r="K210">
        <f t="shared" si="23"/>
        <v>0</v>
      </c>
    </row>
    <row r="211" spans="1:11" x14ac:dyDescent="0.3">
      <c r="A211" s="7">
        <v>1102</v>
      </c>
      <c r="B211">
        <v>12</v>
      </c>
      <c r="C211">
        <v>10</v>
      </c>
      <c r="D211">
        <v>5</v>
      </c>
      <c r="E211" t="s">
        <v>15</v>
      </c>
      <c r="F211" s="10">
        <f t="shared" si="18"/>
        <v>133</v>
      </c>
      <c r="G211" s="14">
        <f t="shared" si="19"/>
        <v>110.2</v>
      </c>
      <c r="H211" s="7">
        <f t="shared" si="20"/>
        <v>933.2</v>
      </c>
      <c r="I211" s="10">
        <f t="shared" si="21"/>
        <v>1345.2</v>
      </c>
      <c r="J211">
        <f t="shared" si="22"/>
        <v>0</v>
      </c>
      <c r="K211">
        <f t="shared" si="23"/>
        <v>0</v>
      </c>
    </row>
    <row r="212" spans="1:11" x14ac:dyDescent="0.3">
      <c r="A212" s="7">
        <v>999</v>
      </c>
      <c r="B212">
        <v>20</v>
      </c>
      <c r="C212">
        <v>50</v>
      </c>
      <c r="D212">
        <v>7</v>
      </c>
      <c r="E212" t="s">
        <v>17</v>
      </c>
      <c r="F212" s="10">
        <f t="shared" si="18"/>
        <v>200</v>
      </c>
      <c r="G212" s="14">
        <f t="shared" si="19"/>
        <v>499.5</v>
      </c>
      <c r="H212" s="7">
        <f t="shared" si="20"/>
        <v>666.57</v>
      </c>
      <c r="I212" s="10">
        <f t="shared" si="21"/>
        <v>1698.5</v>
      </c>
      <c r="J212">
        <f t="shared" si="22"/>
        <v>0</v>
      </c>
      <c r="K212">
        <f t="shared" si="23"/>
        <v>0</v>
      </c>
    </row>
    <row r="213" spans="1:11" x14ac:dyDescent="0.3">
      <c r="A213" s="7">
        <v>5130</v>
      </c>
      <c r="B213">
        <v>17</v>
      </c>
      <c r="C213">
        <v>45</v>
      </c>
      <c r="D213">
        <v>1</v>
      </c>
      <c r="E213" t="s">
        <v>21</v>
      </c>
      <c r="F213" s="10">
        <f t="shared" si="18"/>
        <v>873</v>
      </c>
      <c r="G213" s="14">
        <f t="shared" si="19"/>
        <v>2308.5</v>
      </c>
      <c r="H213" s="7">
        <f t="shared" si="20"/>
        <v>4666</v>
      </c>
      <c r="I213" s="10">
        <f t="shared" si="21"/>
        <v>8311.5</v>
      </c>
      <c r="J213">
        <f t="shared" si="22"/>
        <v>0</v>
      </c>
      <c r="K213">
        <f t="shared" si="23"/>
        <v>0</v>
      </c>
    </row>
    <row r="214" spans="1:11" x14ac:dyDescent="0.3">
      <c r="A214" s="7">
        <v>2115</v>
      </c>
      <c r="B214">
        <v>10</v>
      </c>
      <c r="C214">
        <v>50</v>
      </c>
      <c r="D214">
        <v>2</v>
      </c>
      <c r="E214" t="s">
        <v>17</v>
      </c>
      <c r="F214" s="10">
        <f t="shared" si="18"/>
        <v>212</v>
      </c>
      <c r="G214" s="14">
        <f t="shared" si="19"/>
        <v>1057.5</v>
      </c>
      <c r="H214" s="7">
        <f t="shared" si="20"/>
        <v>2333</v>
      </c>
      <c r="I214" s="10">
        <f t="shared" si="21"/>
        <v>3384.5</v>
      </c>
      <c r="J214">
        <f t="shared" si="22"/>
        <v>0</v>
      </c>
      <c r="K214">
        <f t="shared" si="23"/>
        <v>0</v>
      </c>
    </row>
    <row r="215" spans="1:11" x14ac:dyDescent="0.3">
      <c r="A215" s="7">
        <v>1455</v>
      </c>
      <c r="B215">
        <v>13</v>
      </c>
      <c r="C215">
        <v>40</v>
      </c>
      <c r="D215">
        <v>4</v>
      </c>
      <c r="E215" t="s">
        <v>15</v>
      </c>
      <c r="F215" s="10">
        <f t="shared" si="18"/>
        <v>190</v>
      </c>
      <c r="G215" s="14">
        <f t="shared" si="19"/>
        <v>582</v>
      </c>
      <c r="H215" s="7">
        <f t="shared" si="20"/>
        <v>1166.5</v>
      </c>
      <c r="I215" s="10">
        <f t="shared" si="21"/>
        <v>2227</v>
      </c>
      <c r="J215">
        <f t="shared" si="22"/>
        <v>0</v>
      </c>
      <c r="K215">
        <f t="shared" si="23"/>
        <v>0</v>
      </c>
    </row>
    <row r="216" spans="1:11" x14ac:dyDescent="0.3">
      <c r="A216" s="7">
        <v>1138</v>
      </c>
      <c r="B216">
        <v>13</v>
      </c>
      <c r="C216">
        <v>10</v>
      </c>
      <c r="D216">
        <v>5</v>
      </c>
      <c r="E216" t="s">
        <v>20</v>
      </c>
      <c r="F216" s="10">
        <f t="shared" si="18"/>
        <v>148</v>
      </c>
      <c r="G216" s="14">
        <f t="shared" si="19"/>
        <v>113.8</v>
      </c>
      <c r="H216" s="7">
        <f t="shared" si="20"/>
        <v>933.2</v>
      </c>
      <c r="I216" s="10">
        <f t="shared" si="21"/>
        <v>1399.8</v>
      </c>
      <c r="J216">
        <f t="shared" si="22"/>
        <v>0</v>
      </c>
      <c r="K216">
        <f t="shared" si="23"/>
        <v>0</v>
      </c>
    </row>
    <row r="217" spans="1:11" x14ac:dyDescent="0.3">
      <c r="A217" s="7">
        <v>490</v>
      </c>
      <c r="B217">
        <v>10</v>
      </c>
      <c r="C217">
        <v>30</v>
      </c>
      <c r="D217">
        <v>7</v>
      </c>
      <c r="E217" t="s">
        <v>19</v>
      </c>
      <c r="F217" s="10">
        <f t="shared" si="18"/>
        <v>49</v>
      </c>
      <c r="G217" s="14">
        <f t="shared" si="19"/>
        <v>147</v>
      </c>
      <c r="H217" s="7">
        <f t="shared" si="20"/>
        <v>666.57</v>
      </c>
      <c r="I217" s="10">
        <f t="shared" si="21"/>
        <v>686</v>
      </c>
      <c r="J217">
        <f t="shared" si="22"/>
        <v>0</v>
      </c>
      <c r="K217">
        <f t="shared" si="23"/>
        <v>0</v>
      </c>
    </row>
    <row r="218" spans="1:11" x14ac:dyDescent="0.3">
      <c r="A218" s="7">
        <v>2800</v>
      </c>
      <c r="B218">
        <v>7</v>
      </c>
      <c r="C218">
        <v>30</v>
      </c>
      <c r="D218">
        <v>2</v>
      </c>
      <c r="E218" t="s">
        <v>21</v>
      </c>
      <c r="F218" s="10">
        <f t="shared" si="18"/>
        <v>196</v>
      </c>
      <c r="G218" s="14">
        <f t="shared" si="19"/>
        <v>840</v>
      </c>
      <c r="H218" s="7">
        <f t="shared" si="20"/>
        <v>2333</v>
      </c>
      <c r="I218" s="10">
        <f t="shared" si="21"/>
        <v>3836</v>
      </c>
      <c r="J218">
        <f t="shared" si="22"/>
        <v>0</v>
      </c>
      <c r="K218">
        <f t="shared" si="23"/>
        <v>0</v>
      </c>
    </row>
    <row r="219" spans="1:11" x14ac:dyDescent="0.3">
      <c r="A219" s="7">
        <v>3770</v>
      </c>
      <c r="B219">
        <v>13</v>
      </c>
      <c r="C219">
        <v>5</v>
      </c>
      <c r="D219">
        <v>1</v>
      </c>
      <c r="E219" t="s">
        <v>20</v>
      </c>
      <c r="F219" s="10">
        <f t="shared" si="18"/>
        <v>491</v>
      </c>
      <c r="G219" s="14">
        <f t="shared" si="19"/>
        <v>188.5</v>
      </c>
      <c r="H219" s="7">
        <f t="shared" si="20"/>
        <v>4666</v>
      </c>
      <c r="I219" s="10">
        <f t="shared" si="21"/>
        <v>4449.5</v>
      </c>
      <c r="J219">
        <f t="shared" si="22"/>
        <v>1</v>
      </c>
      <c r="K219">
        <f t="shared" si="23"/>
        <v>216.5</v>
      </c>
    </row>
    <row r="220" spans="1:11" x14ac:dyDescent="0.3">
      <c r="A220" s="7">
        <v>917</v>
      </c>
      <c r="B220">
        <v>8</v>
      </c>
      <c r="C220">
        <v>5</v>
      </c>
      <c r="D220">
        <v>7</v>
      </c>
      <c r="E220" t="s">
        <v>20</v>
      </c>
      <c r="F220" s="10">
        <f t="shared" si="18"/>
        <v>74</v>
      </c>
      <c r="G220" s="14">
        <f t="shared" si="19"/>
        <v>45.85</v>
      </c>
      <c r="H220" s="7">
        <f t="shared" si="20"/>
        <v>666.57</v>
      </c>
      <c r="I220" s="10">
        <f t="shared" si="21"/>
        <v>1036.8499999999999</v>
      </c>
      <c r="J220">
        <f t="shared" si="22"/>
        <v>0</v>
      </c>
      <c r="K220">
        <f t="shared" si="23"/>
        <v>0</v>
      </c>
    </row>
    <row r="221" spans="1:11" x14ac:dyDescent="0.3">
      <c r="A221" s="7">
        <v>776</v>
      </c>
      <c r="B221">
        <v>12</v>
      </c>
      <c r="C221">
        <v>20</v>
      </c>
      <c r="D221">
        <v>7</v>
      </c>
      <c r="E221" t="s">
        <v>16</v>
      </c>
      <c r="F221" s="10">
        <f t="shared" si="18"/>
        <v>94</v>
      </c>
      <c r="G221" s="14">
        <f t="shared" si="19"/>
        <v>155.19999999999999</v>
      </c>
      <c r="H221" s="7">
        <f t="shared" si="20"/>
        <v>666.57</v>
      </c>
      <c r="I221" s="10">
        <f t="shared" si="21"/>
        <v>1025.2</v>
      </c>
      <c r="J221">
        <f t="shared" si="22"/>
        <v>0</v>
      </c>
      <c r="K221">
        <f t="shared" si="23"/>
        <v>0</v>
      </c>
    </row>
    <row r="222" spans="1:11" x14ac:dyDescent="0.3">
      <c r="A222" s="7">
        <v>5030</v>
      </c>
      <c r="B222">
        <v>9</v>
      </c>
      <c r="C222">
        <v>0</v>
      </c>
      <c r="D222">
        <v>1</v>
      </c>
      <c r="E222" t="s">
        <v>18</v>
      </c>
      <c r="F222" s="10">
        <f t="shared" si="18"/>
        <v>453</v>
      </c>
      <c r="G222" s="14">
        <f t="shared" si="19"/>
        <v>0</v>
      </c>
      <c r="H222" s="7">
        <f t="shared" si="20"/>
        <v>4666</v>
      </c>
      <c r="I222" s="10">
        <f t="shared" si="21"/>
        <v>5483</v>
      </c>
      <c r="J222">
        <f t="shared" si="22"/>
        <v>0</v>
      </c>
      <c r="K222">
        <f t="shared" si="23"/>
        <v>0</v>
      </c>
    </row>
    <row r="223" spans="1:11" x14ac:dyDescent="0.3">
      <c r="A223" s="7">
        <v>773</v>
      </c>
      <c r="B223">
        <v>9</v>
      </c>
      <c r="C223">
        <v>5</v>
      </c>
      <c r="D223">
        <v>8</v>
      </c>
      <c r="E223" t="s">
        <v>19</v>
      </c>
      <c r="F223" s="10">
        <f t="shared" si="18"/>
        <v>70</v>
      </c>
      <c r="G223" s="14">
        <f t="shared" si="19"/>
        <v>38.65</v>
      </c>
      <c r="H223" s="7">
        <f t="shared" si="20"/>
        <v>583.25</v>
      </c>
      <c r="I223" s="10">
        <f t="shared" si="21"/>
        <v>881.65</v>
      </c>
      <c r="J223">
        <f t="shared" si="22"/>
        <v>0</v>
      </c>
      <c r="K223">
        <f t="shared" si="23"/>
        <v>0</v>
      </c>
    </row>
    <row r="224" spans="1:11" x14ac:dyDescent="0.3">
      <c r="A224" s="7">
        <v>1727</v>
      </c>
      <c r="B224">
        <v>19</v>
      </c>
      <c r="C224">
        <v>25</v>
      </c>
      <c r="D224">
        <v>3</v>
      </c>
      <c r="E224" t="s">
        <v>18</v>
      </c>
      <c r="F224" s="10">
        <f t="shared" si="18"/>
        <v>329</v>
      </c>
      <c r="G224" s="14">
        <f t="shared" si="19"/>
        <v>431.75</v>
      </c>
      <c r="H224" s="7">
        <f t="shared" si="20"/>
        <v>1555.33</v>
      </c>
      <c r="I224" s="10">
        <f t="shared" si="21"/>
        <v>2487.75</v>
      </c>
      <c r="J224">
        <f t="shared" si="22"/>
        <v>0</v>
      </c>
      <c r="K224">
        <f t="shared" si="23"/>
        <v>0</v>
      </c>
    </row>
    <row r="225" spans="1:11" x14ac:dyDescent="0.3">
      <c r="A225" s="7">
        <v>1588</v>
      </c>
      <c r="B225">
        <v>6</v>
      </c>
      <c r="C225">
        <v>15</v>
      </c>
      <c r="D225">
        <v>4</v>
      </c>
      <c r="E225" t="s">
        <v>21</v>
      </c>
      <c r="F225" s="10">
        <f t="shared" si="18"/>
        <v>96</v>
      </c>
      <c r="G225" s="14">
        <f t="shared" si="19"/>
        <v>238.2</v>
      </c>
      <c r="H225" s="7">
        <f t="shared" si="20"/>
        <v>1166.5</v>
      </c>
      <c r="I225" s="10">
        <f t="shared" si="21"/>
        <v>1922.2</v>
      </c>
      <c r="J225">
        <f t="shared" si="22"/>
        <v>0</v>
      </c>
      <c r="K225">
        <f t="shared" si="23"/>
        <v>0</v>
      </c>
    </row>
    <row r="226" spans="1:11" x14ac:dyDescent="0.3">
      <c r="A226" s="7">
        <v>5340</v>
      </c>
      <c r="B226">
        <v>16</v>
      </c>
      <c r="C226">
        <v>30</v>
      </c>
      <c r="D226">
        <v>1</v>
      </c>
      <c r="E226" t="s">
        <v>20</v>
      </c>
      <c r="F226" s="10">
        <f t="shared" si="18"/>
        <v>855</v>
      </c>
      <c r="G226" s="14">
        <f t="shared" si="19"/>
        <v>1602</v>
      </c>
      <c r="H226" s="7">
        <f t="shared" si="20"/>
        <v>4666</v>
      </c>
      <c r="I226" s="10">
        <f t="shared" si="21"/>
        <v>7797</v>
      </c>
      <c r="J226">
        <f t="shared" si="22"/>
        <v>0</v>
      </c>
      <c r="K226">
        <f t="shared" si="23"/>
        <v>0</v>
      </c>
    </row>
    <row r="227" spans="1:11" x14ac:dyDescent="0.3">
      <c r="A227" s="7">
        <v>424</v>
      </c>
      <c r="B227">
        <v>2</v>
      </c>
      <c r="C227">
        <v>15</v>
      </c>
      <c r="D227">
        <v>8</v>
      </c>
      <c r="E227" t="s">
        <v>18</v>
      </c>
      <c r="F227" s="10">
        <f t="shared" si="18"/>
        <v>9</v>
      </c>
      <c r="G227" s="14">
        <f t="shared" si="19"/>
        <v>63.6</v>
      </c>
      <c r="H227" s="7">
        <f t="shared" si="20"/>
        <v>583.25</v>
      </c>
      <c r="I227" s="10">
        <f t="shared" si="21"/>
        <v>496.6</v>
      </c>
      <c r="J227">
        <f t="shared" si="22"/>
        <v>1</v>
      </c>
      <c r="K227">
        <f t="shared" si="23"/>
        <v>86.649999999999977</v>
      </c>
    </row>
    <row r="228" spans="1:11" x14ac:dyDescent="0.3">
      <c r="A228" s="7">
        <v>2255</v>
      </c>
      <c r="B228">
        <v>9</v>
      </c>
      <c r="C228">
        <v>30</v>
      </c>
      <c r="D228">
        <v>2</v>
      </c>
      <c r="E228" t="s">
        <v>19</v>
      </c>
      <c r="F228" s="10">
        <f t="shared" si="18"/>
        <v>203</v>
      </c>
      <c r="G228" s="14">
        <f t="shared" si="19"/>
        <v>676.5</v>
      </c>
      <c r="H228" s="7">
        <f t="shared" si="20"/>
        <v>2333</v>
      </c>
      <c r="I228" s="10">
        <f t="shared" si="21"/>
        <v>3134.5</v>
      </c>
      <c r="J228">
        <f t="shared" si="22"/>
        <v>0</v>
      </c>
      <c r="K228">
        <f t="shared" si="23"/>
        <v>0</v>
      </c>
    </row>
    <row r="229" spans="1:11" x14ac:dyDescent="0.3">
      <c r="A229" s="7">
        <v>3280</v>
      </c>
      <c r="B229">
        <v>10</v>
      </c>
      <c r="C229">
        <v>20</v>
      </c>
      <c r="D229">
        <v>1</v>
      </c>
      <c r="E229" t="s">
        <v>20</v>
      </c>
      <c r="F229" s="10">
        <f t="shared" si="18"/>
        <v>328</v>
      </c>
      <c r="G229" s="14">
        <f t="shared" si="19"/>
        <v>656</v>
      </c>
      <c r="H229" s="7">
        <f t="shared" si="20"/>
        <v>4666</v>
      </c>
      <c r="I229" s="10">
        <f t="shared" si="21"/>
        <v>4264</v>
      </c>
      <c r="J229">
        <f t="shared" si="22"/>
        <v>1</v>
      </c>
      <c r="K229">
        <f t="shared" si="23"/>
        <v>402</v>
      </c>
    </row>
    <row r="230" spans="1:11" x14ac:dyDescent="0.3">
      <c r="A230" s="7">
        <v>1197</v>
      </c>
      <c r="B230">
        <v>14</v>
      </c>
      <c r="C230">
        <v>5</v>
      </c>
      <c r="D230">
        <v>3</v>
      </c>
      <c r="E230" t="s">
        <v>21</v>
      </c>
      <c r="F230" s="10">
        <f t="shared" si="18"/>
        <v>168</v>
      </c>
      <c r="G230" s="14">
        <f t="shared" si="19"/>
        <v>59.85</v>
      </c>
      <c r="H230" s="7">
        <f t="shared" si="20"/>
        <v>1555.33</v>
      </c>
      <c r="I230" s="10">
        <f t="shared" si="21"/>
        <v>1424.85</v>
      </c>
      <c r="J230">
        <f t="shared" si="22"/>
        <v>1</v>
      </c>
      <c r="K230">
        <f t="shared" si="23"/>
        <v>130.48000000000002</v>
      </c>
    </row>
    <row r="231" spans="1:11" x14ac:dyDescent="0.3">
      <c r="A231" s="7">
        <v>710.1</v>
      </c>
      <c r="B231">
        <v>2</v>
      </c>
      <c r="C231">
        <v>10</v>
      </c>
      <c r="D231">
        <v>5</v>
      </c>
      <c r="E231" t="s">
        <v>21</v>
      </c>
      <c r="F231" s="10">
        <f t="shared" si="18"/>
        <v>15</v>
      </c>
      <c r="G231" s="14">
        <f t="shared" si="19"/>
        <v>71.010000000000005</v>
      </c>
      <c r="H231" s="7">
        <f t="shared" si="20"/>
        <v>933.2</v>
      </c>
      <c r="I231" s="10">
        <f t="shared" si="21"/>
        <v>796.11</v>
      </c>
      <c r="J231">
        <f t="shared" si="22"/>
        <v>1</v>
      </c>
      <c r="K231">
        <f t="shared" si="23"/>
        <v>137.09000000000003</v>
      </c>
    </row>
    <row r="232" spans="1:11" x14ac:dyDescent="0.3">
      <c r="A232" s="7">
        <v>6320</v>
      </c>
      <c r="B232">
        <v>2</v>
      </c>
      <c r="C232">
        <v>50</v>
      </c>
      <c r="D232">
        <v>1</v>
      </c>
      <c r="E232" t="s">
        <v>21</v>
      </c>
      <c r="F232" s="10">
        <f t="shared" si="18"/>
        <v>127</v>
      </c>
      <c r="G232" s="14">
        <f t="shared" si="19"/>
        <v>3160</v>
      </c>
      <c r="H232" s="7">
        <f t="shared" si="20"/>
        <v>4666</v>
      </c>
      <c r="I232" s="10">
        <f t="shared" si="21"/>
        <v>9607</v>
      </c>
      <c r="J232">
        <f t="shared" si="22"/>
        <v>0</v>
      </c>
      <c r="K232">
        <f t="shared" si="23"/>
        <v>0</v>
      </c>
    </row>
    <row r="233" spans="1:11" x14ac:dyDescent="0.3">
      <c r="A233" s="7">
        <v>5250</v>
      </c>
      <c r="B233">
        <v>2</v>
      </c>
      <c r="C233">
        <v>50</v>
      </c>
      <c r="D233">
        <v>1</v>
      </c>
      <c r="E233" t="s">
        <v>16</v>
      </c>
      <c r="F233" s="10">
        <f t="shared" si="18"/>
        <v>105</v>
      </c>
      <c r="G233" s="14">
        <f t="shared" si="19"/>
        <v>2625</v>
      </c>
      <c r="H233" s="7">
        <f t="shared" si="20"/>
        <v>4666</v>
      </c>
      <c r="I233" s="10">
        <f t="shared" si="21"/>
        <v>7980</v>
      </c>
      <c r="J233">
        <f t="shared" si="22"/>
        <v>0</v>
      </c>
      <c r="K233">
        <f t="shared" si="23"/>
        <v>0</v>
      </c>
    </row>
    <row r="234" spans="1:11" x14ac:dyDescent="0.3">
      <c r="A234" s="7">
        <v>2005</v>
      </c>
      <c r="B234">
        <v>18</v>
      </c>
      <c r="C234">
        <v>45</v>
      </c>
      <c r="D234">
        <v>2</v>
      </c>
      <c r="E234" t="s">
        <v>20</v>
      </c>
      <c r="F234" s="10">
        <f t="shared" si="18"/>
        <v>361</v>
      </c>
      <c r="G234" s="14">
        <f t="shared" si="19"/>
        <v>902.25</v>
      </c>
      <c r="H234" s="7">
        <f t="shared" si="20"/>
        <v>2333</v>
      </c>
      <c r="I234" s="10">
        <f t="shared" si="21"/>
        <v>3268.25</v>
      </c>
      <c r="J234">
        <f t="shared" si="22"/>
        <v>0</v>
      </c>
      <c r="K234">
        <f t="shared" si="23"/>
        <v>0</v>
      </c>
    </row>
    <row r="235" spans="1:11" x14ac:dyDescent="0.3">
      <c r="A235" s="7">
        <v>973.3</v>
      </c>
      <c r="B235">
        <v>16</v>
      </c>
      <c r="C235">
        <v>35</v>
      </c>
      <c r="D235">
        <v>7</v>
      </c>
      <c r="E235" t="s">
        <v>20</v>
      </c>
      <c r="F235" s="10">
        <f t="shared" si="18"/>
        <v>156</v>
      </c>
      <c r="G235" s="14">
        <f t="shared" si="19"/>
        <v>340.66</v>
      </c>
      <c r="H235" s="7">
        <f t="shared" si="20"/>
        <v>666.57</v>
      </c>
      <c r="I235" s="10">
        <f t="shared" si="21"/>
        <v>1469.96</v>
      </c>
      <c r="J235">
        <f t="shared" si="22"/>
        <v>0</v>
      </c>
      <c r="K235">
        <f t="shared" si="23"/>
        <v>0</v>
      </c>
    </row>
    <row r="236" spans="1:11" x14ac:dyDescent="0.3">
      <c r="A236" s="7">
        <v>1890</v>
      </c>
      <c r="B236">
        <v>0</v>
      </c>
      <c r="C236">
        <v>45</v>
      </c>
      <c r="D236">
        <v>3</v>
      </c>
      <c r="E236" t="s">
        <v>17</v>
      </c>
      <c r="F236" s="10">
        <f t="shared" si="18"/>
        <v>0</v>
      </c>
      <c r="G236" s="14">
        <f t="shared" si="19"/>
        <v>850.5</v>
      </c>
      <c r="H236" s="7">
        <f t="shared" si="20"/>
        <v>1555.33</v>
      </c>
      <c r="I236" s="10">
        <f t="shared" si="21"/>
        <v>2740.5</v>
      </c>
      <c r="J236">
        <f t="shared" si="22"/>
        <v>0</v>
      </c>
      <c r="K236">
        <f t="shared" si="23"/>
        <v>0</v>
      </c>
    </row>
    <row r="237" spans="1:11" x14ac:dyDescent="0.3">
      <c r="A237" s="7">
        <v>815</v>
      </c>
      <c r="B237">
        <v>8</v>
      </c>
      <c r="C237">
        <v>20</v>
      </c>
      <c r="D237">
        <v>8</v>
      </c>
      <c r="E237" t="s">
        <v>16</v>
      </c>
      <c r="F237" s="10">
        <f t="shared" si="18"/>
        <v>66</v>
      </c>
      <c r="G237" s="14">
        <f t="shared" si="19"/>
        <v>163</v>
      </c>
      <c r="H237" s="7">
        <f t="shared" si="20"/>
        <v>583.25</v>
      </c>
      <c r="I237" s="10">
        <f t="shared" si="21"/>
        <v>1044</v>
      </c>
      <c r="J237">
        <f t="shared" si="22"/>
        <v>0</v>
      </c>
      <c r="K237">
        <f t="shared" si="23"/>
        <v>0</v>
      </c>
    </row>
    <row r="238" spans="1:11" x14ac:dyDescent="0.3">
      <c r="A238" s="7">
        <v>2960</v>
      </c>
      <c r="B238">
        <v>15</v>
      </c>
      <c r="C238">
        <v>20</v>
      </c>
      <c r="D238">
        <v>1</v>
      </c>
      <c r="E238" t="s">
        <v>20</v>
      </c>
      <c r="F238" s="10">
        <f t="shared" si="18"/>
        <v>444</v>
      </c>
      <c r="G238" s="14">
        <f t="shared" si="19"/>
        <v>592</v>
      </c>
      <c r="H238" s="7">
        <f t="shared" si="20"/>
        <v>4666</v>
      </c>
      <c r="I238" s="10">
        <f t="shared" si="21"/>
        <v>3996</v>
      </c>
      <c r="J238">
        <f t="shared" si="22"/>
        <v>1</v>
      </c>
      <c r="K238">
        <f t="shared" si="23"/>
        <v>670</v>
      </c>
    </row>
    <row r="239" spans="1:11" x14ac:dyDescent="0.3">
      <c r="A239" s="7">
        <v>5430</v>
      </c>
      <c r="B239">
        <v>19</v>
      </c>
      <c r="C239">
        <v>15</v>
      </c>
      <c r="D239">
        <v>1</v>
      </c>
      <c r="E239" t="s">
        <v>18</v>
      </c>
      <c r="F239" s="10">
        <f t="shared" si="18"/>
        <v>1032</v>
      </c>
      <c r="G239" s="14">
        <f t="shared" si="19"/>
        <v>814.5</v>
      </c>
      <c r="H239" s="7">
        <f t="shared" si="20"/>
        <v>4666</v>
      </c>
      <c r="I239" s="10">
        <f t="shared" si="21"/>
        <v>7276.5</v>
      </c>
      <c r="J239">
        <f t="shared" si="22"/>
        <v>0</v>
      </c>
      <c r="K239">
        <f t="shared" si="23"/>
        <v>0</v>
      </c>
    </row>
    <row r="240" spans="1:11" x14ac:dyDescent="0.3">
      <c r="A240" s="7">
        <v>2115</v>
      </c>
      <c r="B240">
        <v>6</v>
      </c>
      <c r="C240">
        <v>45</v>
      </c>
      <c r="D240">
        <v>2</v>
      </c>
      <c r="E240" t="s">
        <v>17</v>
      </c>
      <c r="F240" s="10">
        <f t="shared" si="18"/>
        <v>127</v>
      </c>
      <c r="G240" s="14">
        <f t="shared" si="19"/>
        <v>951.75</v>
      </c>
      <c r="H240" s="7">
        <f t="shared" si="20"/>
        <v>2333</v>
      </c>
      <c r="I240" s="10">
        <f t="shared" si="21"/>
        <v>3193.75</v>
      </c>
      <c r="J240">
        <f t="shared" si="22"/>
        <v>0</v>
      </c>
      <c r="K240">
        <f t="shared" si="23"/>
        <v>0</v>
      </c>
    </row>
    <row r="241" spans="1:11" x14ac:dyDescent="0.3">
      <c r="A241" s="7">
        <v>1643</v>
      </c>
      <c r="B241">
        <v>1</v>
      </c>
      <c r="C241">
        <v>35</v>
      </c>
      <c r="D241">
        <v>3</v>
      </c>
      <c r="E241" t="s">
        <v>17</v>
      </c>
      <c r="F241" s="10">
        <f t="shared" si="18"/>
        <v>17</v>
      </c>
      <c r="G241" s="14">
        <f t="shared" si="19"/>
        <v>575.04999999999995</v>
      </c>
      <c r="H241" s="7">
        <f t="shared" si="20"/>
        <v>1555.33</v>
      </c>
      <c r="I241" s="10">
        <f t="shared" si="21"/>
        <v>2235.0500000000002</v>
      </c>
      <c r="J241">
        <f t="shared" si="22"/>
        <v>0</v>
      </c>
      <c r="K241">
        <f t="shared" si="23"/>
        <v>0</v>
      </c>
    </row>
    <row r="242" spans="1:11" x14ac:dyDescent="0.3">
      <c r="A242" s="7">
        <v>2320</v>
      </c>
      <c r="B242">
        <v>10</v>
      </c>
      <c r="C242">
        <v>25</v>
      </c>
      <c r="D242">
        <v>3</v>
      </c>
      <c r="E242" t="s">
        <v>16</v>
      </c>
      <c r="F242" s="10">
        <f t="shared" si="18"/>
        <v>232</v>
      </c>
      <c r="G242" s="14">
        <f t="shared" si="19"/>
        <v>580</v>
      </c>
      <c r="H242" s="7">
        <f t="shared" si="20"/>
        <v>1555.33</v>
      </c>
      <c r="I242" s="10">
        <f t="shared" si="21"/>
        <v>3132</v>
      </c>
      <c r="J242">
        <f t="shared" si="22"/>
        <v>0</v>
      </c>
      <c r="K242">
        <f t="shared" si="23"/>
        <v>0</v>
      </c>
    </row>
    <row r="243" spans="1:11" x14ac:dyDescent="0.3">
      <c r="A243" s="7">
        <v>1183</v>
      </c>
      <c r="B243">
        <v>19</v>
      </c>
      <c r="C243">
        <v>20</v>
      </c>
      <c r="D243">
        <v>4</v>
      </c>
      <c r="E243" t="s">
        <v>18</v>
      </c>
      <c r="F243" s="10">
        <f t="shared" si="18"/>
        <v>225</v>
      </c>
      <c r="G243" s="14">
        <f t="shared" si="19"/>
        <v>236.6</v>
      </c>
      <c r="H243" s="7">
        <f t="shared" si="20"/>
        <v>1166.5</v>
      </c>
      <c r="I243" s="10">
        <f t="shared" si="21"/>
        <v>1644.6</v>
      </c>
      <c r="J243">
        <f t="shared" si="22"/>
        <v>0</v>
      </c>
      <c r="K243">
        <f t="shared" si="23"/>
        <v>0</v>
      </c>
    </row>
    <row r="244" spans="1:11" x14ac:dyDescent="0.3">
      <c r="A244" s="7">
        <v>676</v>
      </c>
      <c r="B244">
        <v>11</v>
      </c>
      <c r="C244">
        <v>50</v>
      </c>
      <c r="D244">
        <v>7</v>
      </c>
      <c r="E244" t="s">
        <v>20</v>
      </c>
      <c r="F244" s="10">
        <f t="shared" si="18"/>
        <v>75</v>
      </c>
      <c r="G244" s="14">
        <f t="shared" si="19"/>
        <v>338</v>
      </c>
      <c r="H244" s="7">
        <f t="shared" si="20"/>
        <v>666.57</v>
      </c>
      <c r="I244" s="10">
        <f t="shared" si="21"/>
        <v>1089</v>
      </c>
      <c r="J244">
        <f t="shared" si="22"/>
        <v>0</v>
      </c>
      <c r="K244">
        <f t="shared" si="23"/>
        <v>0</v>
      </c>
    </row>
    <row r="245" spans="1:11" x14ac:dyDescent="0.3">
      <c r="A245" s="7">
        <v>375</v>
      </c>
      <c r="B245">
        <v>0</v>
      </c>
      <c r="C245">
        <v>10</v>
      </c>
      <c r="D245">
        <v>10</v>
      </c>
      <c r="E245" t="s">
        <v>20</v>
      </c>
      <c r="F245" s="10">
        <f t="shared" si="18"/>
        <v>0</v>
      </c>
      <c r="G245" s="14">
        <f t="shared" si="19"/>
        <v>37.5</v>
      </c>
      <c r="H245" s="7">
        <f t="shared" si="20"/>
        <v>466.6</v>
      </c>
      <c r="I245" s="10">
        <f t="shared" si="21"/>
        <v>412.5</v>
      </c>
      <c r="J245">
        <f t="shared" si="22"/>
        <v>1</v>
      </c>
      <c r="K245">
        <f t="shared" si="23"/>
        <v>54.100000000000023</v>
      </c>
    </row>
    <row r="246" spans="1:11" x14ac:dyDescent="0.3">
      <c r="A246" s="7">
        <v>666</v>
      </c>
      <c r="B246">
        <v>18</v>
      </c>
      <c r="C246">
        <v>35</v>
      </c>
      <c r="D246">
        <v>9</v>
      </c>
      <c r="E246" t="s">
        <v>17</v>
      </c>
      <c r="F246" s="10">
        <f t="shared" si="18"/>
        <v>120</v>
      </c>
      <c r="G246" s="14">
        <f t="shared" si="19"/>
        <v>233.1</v>
      </c>
      <c r="H246" s="7">
        <f t="shared" si="20"/>
        <v>518.44000000000005</v>
      </c>
      <c r="I246" s="10">
        <f t="shared" si="21"/>
        <v>1019.1</v>
      </c>
      <c r="J246">
        <f t="shared" si="22"/>
        <v>0</v>
      </c>
      <c r="K246">
        <f t="shared" si="23"/>
        <v>0</v>
      </c>
    </row>
    <row r="247" spans="1:11" x14ac:dyDescent="0.3">
      <c r="A247" s="7">
        <v>1020</v>
      </c>
      <c r="B247">
        <v>4</v>
      </c>
      <c r="C247">
        <v>50</v>
      </c>
      <c r="D247">
        <v>6</v>
      </c>
      <c r="E247" t="s">
        <v>15</v>
      </c>
      <c r="F247" s="10">
        <f t="shared" si="18"/>
        <v>41</v>
      </c>
      <c r="G247" s="14">
        <f t="shared" si="19"/>
        <v>510</v>
      </c>
      <c r="H247" s="7">
        <f t="shared" si="20"/>
        <v>777.67</v>
      </c>
      <c r="I247" s="10">
        <f t="shared" si="21"/>
        <v>1571</v>
      </c>
      <c r="J247">
        <f t="shared" si="22"/>
        <v>0</v>
      </c>
      <c r="K247">
        <f t="shared" si="23"/>
        <v>0</v>
      </c>
    </row>
    <row r="248" spans="1:11" x14ac:dyDescent="0.3">
      <c r="A248" s="7">
        <v>705</v>
      </c>
      <c r="B248">
        <v>16</v>
      </c>
      <c r="C248">
        <v>30</v>
      </c>
      <c r="D248">
        <v>8</v>
      </c>
      <c r="E248" t="s">
        <v>16</v>
      </c>
      <c r="F248" s="10">
        <f t="shared" si="18"/>
        <v>113</v>
      </c>
      <c r="G248" s="14">
        <f t="shared" si="19"/>
        <v>211.5</v>
      </c>
      <c r="H248" s="7">
        <f t="shared" si="20"/>
        <v>583.25</v>
      </c>
      <c r="I248" s="10">
        <f t="shared" si="21"/>
        <v>1029.5</v>
      </c>
      <c r="J248">
        <f t="shared" si="22"/>
        <v>0</v>
      </c>
      <c r="K248">
        <f t="shared" si="23"/>
        <v>0</v>
      </c>
    </row>
    <row r="249" spans="1:11" x14ac:dyDescent="0.3">
      <c r="A249" s="7">
        <v>676</v>
      </c>
      <c r="B249">
        <v>9</v>
      </c>
      <c r="C249">
        <v>0</v>
      </c>
      <c r="D249">
        <v>7</v>
      </c>
      <c r="E249" t="s">
        <v>19</v>
      </c>
      <c r="F249" s="10">
        <f t="shared" si="18"/>
        <v>61</v>
      </c>
      <c r="G249" s="14">
        <f t="shared" si="19"/>
        <v>0</v>
      </c>
      <c r="H249" s="7">
        <f t="shared" si="20"/>
        <v>666.57</v>
      </c>
      <c r="I249" s="10">
        <f t="shared" si="21"/>
        <v>737</v>
      </c>
      <c r="J249">
        <f t="shared" si="22"/>
        <v>0</v>
      </c>
      <c r="K249">
        <f t="shared" si="23"/>
        <v>0</v>
      </c>
    </row>
    <row r="250" spans="1:11" x14ac:dyDescent="0.3">
      <c r="A250" s="7">
        <v>560</v>
      </c>
      <c r="B250">
        <v>8</v>
      </c>
      <c r="C250">
        <v>30</v>
      </c>
      <c r="D250">
        <v>8</v>
      </c>
      <c r="E250" t="s">
        <v>15</v>
      </c>
      <c r="F250" s="10">
        <f t="shared" si="18"/>
        <v>45</v>
      </c>
      <c r="G250" s="14">
        <f t="shared" si="19"/>
        <v>168</v>
      </c>
      <c r="H250" s="7">
        <f t="shared" si="20"/>
        <v>583.25</v>
      </c>
      <c r="I250" s="10">
        <f t="shared" si="21"/>
        <v>773</v>
      </c>
      <c r="J250">
        <f t="shared" si="22"/>
        <v>0</v>
      </c>
      <c r="K250">
        <f t="shared" si="23"/>
        <v>0</v>
      </c>
    </row>
    <row r="251" spans="1:11" x14ac:dyDescent="0.3">
      <c r="A251" s="7">
        <v>1455</v>
      </c>
      <c r="B251">
        <v>17</v>
      </c>
      <c r="C251">
        <v>0</v>
      </c>
      <c r="D251">
        <v>4</v>
      </c>
      <c r="E251" t="s">
        <v>18</v>
      </c>
      <c r="F251" s="10">
        <f t="shared" si="18"/>
        <v>248</v>
      </c>
      <c r="G251" s="14">
        <f t="shared" si="19"/>
        <v>0</v>
      </c>
      <c r="H251" s="7">
        <f t="shared" si="20"/>
        <v>1166.5</v>
      </c>
      <c r="I251" s="10">
        <f t="shared" si="21"/>
        <v>1703</v>
      </c>
      <c r="J251">
        <f t="shared" si="22"/>
        <v>0</v>
      </c>
      <c r="K251">
        <f t="shared" si="23"/>
        <v>0</v>
      </c>
    </row>
    <row r="252" spans="1:11" x14ac:dyDescent="0.3">
      <c r="A252" s="7">
        <v>727</v>
      </c>
      <c r="B252">
        <v>14</v>
      </c>
      <c r="C252">
        <v>50</v>
      </c>
      <c r="D252">
        <v>6</v>
      </c>
      <c r="E252" t="s">
        <v>18</v>
      </c>
      <c r="F252" s="10">
        <f t="shared" si="18"/>
        <v>102</v>
      </c>
      <c r="G252" s="14">
        <f t="shared" si="19"/>
        <v>363.5</v>
      </c>
      <c r="H252" s="7">
        <f t="shared" si="20"/>
        <v>777.67</v>
      </c>
      <c r="I252" s="10">
        <f t="shared" si="21"/>
        <v>1192.5</v>
      </c>
      <c r="J252">
        <f t="shared" si="22"/>
        <v>0</v>
      </c>
      <c r="K252">
        <f t="shared" si="23"/>
        <v>0</v>
      </c>
    </row>
    <row r="253" spans="1:11" x14ac:dyDescent="0.3">
      <c r="A253" s="7">
        <v>497</v>
      </c>
      <c r="B253">
        <v>13</v>
      </c>
      <c r="C253">
        <v>40</v>
      </c>
      <c r="D253">
        <v>9</v>
      </c>
      <c r="E253" t="s">
        <v>19</v>
      </c>
      <c r="F253" s="10">
        <f t="shared" si="18"/>
        <v>65</v>
      </c>
      <c r="G253" s="14">
        <f t="shared" si="19"/>
        <v>198.8</v>
      </c>
      <c r="H253" s="7">
        <f t="shared" si="20"/>
        <v>518.44000000000005</v>
      </c>
      <c r="I253" s="10">
        <f t="shared" si="21"/>
        <v>760.8</v>
      </c>
      <c r="J253">
        <f t="shared" si="22"/>
        <v>0</v>
      </c>
      <c r="K253">
        <f t="shared" si="23"/>
        <v>0</v>
      </c>
    </row>
    <row r="254" spans="1:11" x14ac:dyDescent="0.3">
      <c r="A254" s="7">
        <v>1113</v>
      </c>
      <c r="B254">
        <v>18</v>
      </c>
      <c r="C254">
        <v>20</v>
      </c>
      <c r="D254">
        <v>4</v>
      </c>
      <c r="E254" t="s">
        <v>21</v>
      </c>
      <c r="F254" s="10">
        <f t="shared" si="18"/>
        <v>201</v>
      </c>
      <c r="G254" s="14">
        <f t="shared" si="19"/>
        <v>222.6</v>
      </c>
      <c r="H254" s="7">
        <f t="shared" si="20"/>
        <v>1166.5</v>
      </c>
      <c r="I254" s="10">
        <f t="shared" si="21"/>
        <v>1536.6</v>
      </c>
      <c r="J254">
        <f t="shared" si="22"/>
        <v>0</v>
      </c>
      <c r="K254">
        <f t="shared" si="23"/>
        <v>0</v>
      </c>
    </row>
    <row r="255" spans="1:11" x14ac:dyDescent="0.3">
      <c r="A255" s="7">
        <v>6370</v>
      </c>
      <c r="B255">
        <v>0</v>
      </c>
      <c r="C255">
        <v>15</v>
      </c>
      <c r="D255">
        <v>1</v>
      </c>
      <c r="E255" t="s">
        <v>17</v>
      </c>
      <c r="F255" s="10">
        <f t="shared" si="18"/>
        <v>0</v>
      </c>
      <c r="G255" s="14">
        <f t="shared" si="19"/>
        <v>955.5</v>
      </c>
      <c r="H255" s="7">
        <f t="shared" si="20"/>
        <v>4666</v>
      </c>
      <c r="I255" s="10">
        <f t="shared" si="21"/>
        <v>7325.5</v>
      </c>
      <c r="J255">
        <f t="shared" si="22"/>
        <v>0</v>
      </c>
      <c r="K255">
        <f t="shared" si="23"/>
        <v>0</v>
      </c>
    </row>
    <row r="256" spans="1:11" x14ac:dyDescent="0.3">
      <c r="A256" s="7">
        <v>1268</v>
      </c>
      <c r="B256">
        <v>5</v>
      </c>
      <c r="C256">
        <v>0</v>
      </c>
      <c r="D256">
        <v>5</v>
      </c>
      <c r="E256" t="s">
        <v>15</v>
      </c>
      <c r="F256" s="10">
        <f t="shared" si="18"/>
        <v>64</v>
      </c>
      <c r="G256" s="14">
        <f t="shared" si="19"/>
        <v>0</v>
      </c>
      <c r="H256" s="7">
        <f t="shared" si="20"/>
        <v>933.2</v>
      </c>
      <c r="I256" s="10">
        <f t="shared" si="21"/>
        <v>1332</v>
      </c>
      <c r="J256">
        <f t="shared" si="22"/>
        <v>0</v>
      </c>
      <c r="K256">
        <f t="shared" si="23"/>
        <v>0</v>
      </c>
    </row>
    <row r="257" spans="1:11" x14ac:dyDescent="0.3">
      <c r="A257" s="7">
        <v>5390</v>
      </c>
      <c r="B257">
        <v>9</v>
      </c>
      <c r="C257">
        <v>35</v>
      </c>
      <c r="D257">
        <v>1</v>
      </c>
      <c r="E257" t="s">
        <v>16</v>
      </c>
      <c r="F257" s="10">
        <f t="shared" si="18"/>
        <v>486</v>
      </c>
      <c r="G257" s="14">
        <f t="shared" si="19"/>
        <v>1886.5</v>
      </c>
      <c r="H257" s="7">
        <f t="shared" si="20"/>
        <v>4666</v>
      </c>
      <c r="I257" s="10">
        <f t="shared" si="21"/>
        <v>7762.5</v>
      </c>
      <c r="J257">
        <f t="shared" si="22"/>
        <v>0</v>
      </c>
      <c r="K257">
        <f t="shared" si="23"/>
        <v>0</v>
      </c>
    </row>
    <row r="258" spans="1:11" x14ac:dyDescent="0.3">
      <c r="A258" s="7">
        <v>306</v>
      </c>
      <c r="B258">
        <v>13</v>
      </c>
      <c r="C258">
        <v>45</v>
      </c>
      <c r="D258">
        <v>9</v>
      </c>
      <c r="E258" t="s">
        <v>18</v>
      </c>
      <c r="F258" s="10">
        <f t="shared" si="18"/>
        <v>40</v>
      </c>
      <c r="G258" s="14">
        <f t="shared" si="19"/>
        <v>137.69999999999999</v>
      </c>
      <c r="H258" s="7">
        <f t="shared" si="20"/>
        <v>518.44000000000005</v>
      </c>
      <c r="I258" s="10">
        <f t="shared" si="21"/>
        <v>483.7</v>
      </c>
      <c r="J258">
        <f t="shared" si="22"/>
        <v>1</v>
      </c>
      <c r="K258">
        <f t="shared" si="23"/>
        <v>34.740000000000066</v>
      </c>
    </row>
    <row r="259" spans="1:11" x14ac:dyDescent="0.3">
      <c r="A259" s="7">
        <v>3530</v>
      </c>
      <c r="B259">
        <v>14</v>
      </c>
      <c r="C259">
        <v>25</v>
      </c>
      <c r="D259">
        <v>1</v>
      </c>
      <c r="E259" t="s">
        <v>16</v>
      </c>
      <c r="F259" s="10">
        <f t="shared" ref="F259:F322" si="24">ROUNDUP(0.01*B259*A259,0)</f>
        <v>495</v>
      </c>
      <c r="G259" s="14">
        <f t="shared" ref="G259:G322" si="25">ROUND(C259/100*A259,2)</f>
        <v>882.5</v>
      </c>
      <c r="H259" s="7">
        <f t="shared" ref="H259:H322" si="26">ROUND(4666/D259:D758,2)</f>
        <v>4666</v>
      </c>
      <c r="I259" s="10">
        <f t="shared" ref="I259:I322" si="27">G259+A259+F259</f>
        <v>4907.5</v>
      </c>
      <c r="J259">
        <f t="shared" ref="J259:J322" si="28">IF(H259&gt;I259,1,0)</f>
        <v>0</v>
      </c>
      <c r="K259">
        <f t="shared" ref="K259:K322" si="29">IF(J259=1,H259-I259,0)</f>
        <v>0</v>
      </c>
    </row>
    <row r="260" spans="1:11" x14ac:dyDescent="0.3">
      <c r="A260" s="7">
        <v>5130</v>
      </c>
      <c r="B260">
        <v>19</v>
      </c>
      <c r="C260">
        <v>20</v>
      </c>
      <c r="D260">
        <v>1</v>
      </c>
      <c r="E260" t="s">
        <v>17</v>
      </c>
      <c r="F260" s="10">
        <f t="shared" si="24"/>
        <v>975</v>
      </c>
      <c r="G260" s="14">
        <f t="shared" si="25"/>
        <v>1026</v>
      </c>
      <c r="H260" s="7">
        <f t="shared" si="26"/>
        <v>4666</v>
      </c>
      <c r="I260" s="10">
        <f t="shared" si="27"/>
        <v>7131</v>
      </c>
      <c r="J260">
        <f t="shared" si="28"/>
        <v>0</v>
      </c>
      <c r="K260">
        <f t="shared" si="29"/>
        <v>0</v>
      </c>
    </row>
    <row r="261" spans="1:11" x14ac:dyDescent="0.3">
      <c r="A261" s="7">
        <v>521</v>
      </c>
      <c r="B261">
        <v>7</v>
      </c>
      <c r="C261">
        <v>50</v>
      </c>
      <c r="D261">
        <v>7</v>
      </c>
      <c r="E261" t="s">
        <v>16</v>
      </c>
      <c r="F261" s="10">
        <f t="shared" si="24"/>
        <v>37</v>
      </c>
      <c r="G261" s="14">
        <f t="shared" si="25"/>
        <v>260.5</v>
      </c>
      <c r="H261" s="7">
        <f t="shared" si="26"/>
        <v>666.57</v>
      </c>
      <c r="I261" s="10">
        <f t="shared" si="27"/>
        <v>818.5</v>
      </c>
      <c r="J261">
        <f t="shared" si="28"/>
        <v>0</v>
      </c>
      <c r="K261">
        <f t="shared" si="29"/>
        <v>0</v>
      </c>
    </row>
    <row r="262" spans="1:11" x14ac:dyDescent="0.3">
      <c r="A262" s="7">
        <v>845</v>
      </c>
      <c r="B262">
        <v>13</v>
      </c>
      <c r="C262">
        <v>50</v>
      </c>
      <c r="D262">
        <v>8</v>
      </c>
      <c r="E262" t="s">
        <v>18</v>
      </c>
      <c r="F262" s="10">
        <f t="shared" si="24"/>
        <v>110</v>
      </c>
      <c r="G262" s="14">
        <f t="shared" si="25"/>
        <v>422.5</v>
      </c>
      <c r="H262" s="7">
        <f t="shared" si="26"/>
        <v>583.25</v>
      </c>
      <c r="I262" s="10">
        <f t="shared" si="27"/>
        <v>1377.5</v>
      </c>
      <c r="J262">
        <f t="shared" si="28"/>
        <v>0</v>
      </c>
      <c r="K262">
        <f t="shared" si="29"/>
        <v>0</v>
      </c>
    </row>
    <row r="263" spans="1:11" x14ac:dyDescent="0.3">
      <c r="A263" s="7">
        <v>713</v>
      </c>
      <c r="B263">
        <v>16</v>
      </c>
      <c r="C263">
        <v>5</v>
      </c>
      <c r="D263">
        <v>9</v>
      </c>
      <c r="E263" t="s">
        <v>20</v>
      </c>
      <c r="F263" s="10">
        <f t="shared" si="24"/>
        <v>115</v>
      </c>
      <c r="G263" s="14">
        <f t="shared" si="25"/>
        <v>35.65</v>
      </c>
      <c r="H263" s="7">
        <f t="shared" si="26"/>
        <v>518.44000000000005</v>
      </c>
      <c r="I263" s="10">
        <f t="shared" si="27"/>
        <v>863.65</v>
      </c>
      <c r="J263">
        <f t="shared" si="28"/>
        <v>0</v>
      </c>
      <c r="K263">
        <f t="shared" si="29"/>
        <v>0</v>
      </c>
    </row>
    <row r="264" spans="1:11" x14ac:dyDescent="0.3">
      <c r="A264" s="7">
        <v>560</v>
      </c>
      <c r="B264">
        <v>16</v>
      </c>
      <c r="C264">
        <v>25</v>
      </c>
      <c r="D264">
        <v>9</v>
      </c>
      <c r="E264" t="s">
        <v>19</v>
      </c>
      <c r="F264" s="10">
        <f t="shared" si="24"/>
        <v>90</v>
      </c>
      <c r="G264" s="14">
        <f t="shared" si="25"/>
        <v>140</v>
      </c>
      <c r="H264" s="7">
        <f t="shared" si="26"/>
        <v>518.44000000000005</v>
      </c>
      <c r="I264" s="10">
        <f t="shared" si="27"/>
        <v>790</v>
      </c>
      <c r="J264">
        <f t="shared" si="28"/>
        <v>0</v>
      </c>
      <c r="K264">
        <f t="shared" si="29"/>
        <v>0</v>
      </c>
    </row>
    <row r="265" spans="1:11" x14ac:dyDescent="0.3">
      <c r="A265" s="7">
        <v>3000</v>
      </c>
      <c r="B265">
        <v>10</v>
      </c>
      <c r="C265">
        <v>30</v>
      </c>
      <c r="D265">
        <v>1</v>
      </c>
      <c r="E265" t="s">
        <v>20</v>
      </c>
      <c r="F265" s="10">
        <f t="shared" si="24"/>
        <v>300</v>
      </c>
      <c r="G265" s="14">
        <f t="shared" si="25"/>
        <v>900</v>
      </c>
      <c r="H265" s="7">
        <f t="shared" si="26"/>
        <v>4666</v>
      </c>
      <c r="I265" s="10">
        <f t="shared" si="27"/>
        <v>4200</v>
      </c>
      <c r="J265">
        <f t="shared" si="28"/>
        <v>1</v>
      </c>
      <c r="K265">
        <f t="shared" si="29"/>
        <v>466</v>
      </c>
    </row>
    <row r="266" spans="1:11" x14ac:dyDescent="0.3">
      <c r="A266" s="7">
        <v>651</v>
      </c>
      <c r="B266">
        <v>10</v>
      </c>
      <c r="C266">
        <v>25</v>
      </c>
      <c r="D266">
        <v>10</v>
      </c>
      <c r="E266" t="s">
        <v>19</v>
      </c>
      <c r="F266" s="10">
        <f t="shared" si="24"/>
        <v>66</v>
      </c>
      <c r="G266" s="14">
        <f t="shared" si="25"/>
        <v>162.75</v>
      </c>
      <c r="H266" s="7">
        <f t="shared" si="26"/>
        <v>466.6</v>
      </c>
      <c r="I266" s="10">
        <f t="shared" si="27"/>
        <v>879.75</v>
      </c>
      <c r="J266">
        <f t="shared" si="28"/>
        <v>0</v>
      </c>
      <c r="K266">
        <f t="shared" si="29"/>
        <v>0</v>
      </c>
    </row>
    <row r="267" spans="1:11" x14ac:dyDescent="0.3">
      <c r="A267" s="7">
        <v>5970</v>
      </c>
      <c r="B267">
        <v>7</v>
      </c>
      <c r="C267">
        <v>25</v>
      </c>
      <c r="D267">
        <v>1</v>
      </c>
      <c r="E267" t="s">
        <v>15</v>
      </c>
      <c r="F267" s="10">
        <f t="shared" si="24"/>
        <v>418</v>
      </c>
      <c r="G267" s="14">
        <f t="shared" si="25"/>
        <v>1492.5</v>
      </c>
      <c r="H267" s="7">
        <f t="shared" si="26"/>
        <v>4666</v>
      </c>
      <c r="I267" s="10">
        <f t="shared" si="27"/>
        <v>7880.5</v>
      </c>
      <c r="J267">
        <f t="shared" si="28"/>
        <v>0</v>
      </c>
      <c r="K267">
        <f t="shared" si="29"/>
        <v>0</v>
      </c>
    </row>
    <row r="268" spans="1:11" x14ac:dyDescent="0.3">
      <c r="A268" s="7">
        <v>1423</v>
      </c>
      <c r="B268">
        <v>0</v>
      </c>
      <c r="C268">
        <v>15</v>
      </c>
      <c r="D268">
        <v>3</v>
      </c>
      <c r="E268" t="s">
        <v>18</v>
      </c>
      <c r="F268" s="10">
        <f t="shared" si="24"/>
        <v>0</v>
      </c>
      <c r="G268" s="14">
        <f t="shared" si="25"/>
        <v>213.45</v>
      </c>
      <c r="H268" s="7">
        <f t="shared" si="26"/>
        <v>1555.33</v>
      </c>
      <c r="I268" s="10">
        <f t="shared" si="27"/>
        <v>1636.45</v>
      </c>
      <c r="J268">
        <f t="shared" si="28"/>
        <v>0</v>
      </c>
      <c r="K268">
        <f t="shared" si="29"/>
        <v>0</v>
      </c>
    </row>
    <row r="269" spans="1:11" x14ac:dyDescent="0.3">
      <c r="A269" s="7">
        <v>5330</v>
      </c>
      <c r="B269">
        <v>10</v>
      </c>
      <c r="C269">
        <v>5</v>
      </c>
      <c r="D269">
        <v>1</v>
      </c>
      <c r="E269" t="s">
        <v>16</v>
      </c>
      <c r="F269" s="10">
        <f t="shared" si="24"/>
        <v>533</v>
      </c>
      <c r="G269" s="14">
        <f t="shared" si="25"/>
        <v>266.5</v>
      </c>
      <c r="H269" s="7">
        <f t="shared" si="26"/>
        <v>4666</v>
      </c>
      <c r="I269" s="10">
        <f t="shared" si="27"/>
        <v>6129.5</v>
      </c>
      <c r="J269">
        <f t="shared" si="28"/>
        <v>0</v>
      </c>
      <c r="K269">
        <f t="shared" si="29"/>
        <v>0</v>
      </c>
    </row>
    <row r="270" spans="1:11" x14ac:dyDescent="0.3">
      <c r="A270" s="7">
        <v>4730</v>
      </c>
      <c r="B270">
        <v>13</v>
      </c>
      <c r="C270">
        <v>15</v>
      </c>
      <c r="D270">
        <v>1</v>
      </c>
      <c r="E270" t="s">
        <v>20</v>
      </c>
      <c r="F270" s="10">
        <f t="shared" si="24"/>
        <v>615</v>
      </c>
      <c r="G270" s="14">
        <f t="shared" si="25"/>
        <v>709.5</v>
      </c>
      <c r="H270" s="7">
        <f t="shared" si="26"/>
        <v>4666</v>
      </c>
      <c r="I270" s="10">
        <f t="shared" si="27"/>
        <v>6054.5</v>
      </c>
      <c r="J270">
        <f t="shared" si="28"/>
        <v>0</v>
      </c>
      <c r="K270">
        <f t="shared" si="29"/>
        <v>0</v>
      </c>
    </row>
    <row r="271" spans="1:11" x14ac:dyDescent="0.3">
      <c r="A271" s="7">
        <v>789</v>
      </c>
      <c r="B271">
        <v>10</v>
      </c>
      <c r="C271">
        <v>40</v>
      </c>
      <c r="D271">
        <v>8</v>
      </c>
      <c r="E271" t="s">
        <v>15</v>
      </c>
      <c r="F271" s="10">
        <f t="shared" si="24"/>
        <v>79</v>
      </c>
      <c r="G271" s="14">
        <f t="shared" si="25"/>
        <v>315.60000000000002</v>
      </c>
      <c r="H271" s="7">
        <f t="shared" si="26"/>
        <v>583.25</v>
      </c>
      <c r="I271" s="10">
        <f t="shared" si="27"/>
        <v>1183.5999999999999</v>
      </c>
      <c r="J271">
        <f t="shared" si="28"/>
        <v>0</v>
      </c>
      <c r="K271">
        <f t="shared" si="29"/>
        <v>0</v>
      </c>
    </row>
    <row r="272" spans="1:11" x14ac:dyDescent="0.3">
      <c r="A272" s="7">
        <v>773</v>
      </c>
      <c r="B272">
        <v>6</v>
      </c>
      <c r="C272">
        <v>45</v>
      </c>
      <c r="D272">
        <v>8</v>
      </c>
      <c r="E272" t="s">
        <v>18</v>
      </c>
      <c r="F272" s="10">
        <f t="shared" si="24"/>
        <v>47</v>
      </c>
      <c r="G272" s="14">
        <f t="shared" si="25"/>
        <v>347.85</v>
      </c>
      <c r="H272" s="7">
        <f t="shared" si="26"/>
        <v>583.25</v>
      </c>
      <c r="I272" s="10">
        <f t="shared" si="27"/>
        <v>1167.8499999999999</v>
      </c>
      <c r="J272">
        <f t="shared" si="28"/>
        <v>0</v>
      </c>
      <c r="K272">
        <f t="shared" si="29"/>
        <v>0</v>
      </c>
    </row>
    <row r="273" spans="1:11" x14ac:dyDescent="0.3">
      <c r="A273" s="7">
        <v>6380</v>
      </c>
      <c r="B273">
        <v>14</v>
      </c>
      <c r="C273">
        <v>5</v>
      </c>
      <c r="D273">
        <v>1</v>
      </c>
      <c r="E273" t="s">
        <v>15</v>
      </c>
      <c r="F273" s="10">
        <f t="shared" si="24"/>
        <v>894</v>
      </c>
      <c r="G273" s="14">
        <f t="shared" si="25"/>
        <v>319</v>
      </c>
      <c r="H273" s="7">
        <f t="shared" si="26"/>
        <v>4666</v>
      </c>
      <c r="I273" s="10">
        <f t="shared" si="27"/>
        <v>7593</v>
      </c>
      <c r="J273">
        <f t="shared" si="28"/>
        <v>0</v>
      </c>
      <c r="K273">
        <f t="shared" si="29"/>
        <v>0</v>
      </c>
    </row>
    <row r="274" spans="1:11" x14ac:dyDescent="0.3">
      <c r="A274" s="7">
        <v>459</v>
      </c>
      <c r="B274">
        <v>13</v>
      </c>
      <c r="C274">
        <v>30</v>
      </c>
      <c r="D274">
        <v>10</v>
      </c>
      <c r="E274" t="s">
        <v>17</v>
      </c>
      <c r="F274" s="10">
        <f t="shared" si="24"/>
        <v>60</v>
      </c>
      <c r="G274" s="14">
        <f t="shared" si="25"/>
        <v>137.69999999999999</v>
      </c>
      <c r="H274" s="7">
        <f t="shared" si="26"/>
        <v>466.6</v>
      </c>
      <c r="I274" s="10">
        <f t="shared" si="27"/>
        <v>656.7</v>
      </c>
      <c r="J274">
        <f t="shared" si="28"/>
        <v>0</v>
      </c>
      <c r="K274">
        <f t="shared" si="29"/>
        <v>0</v>
      </c>
    </row>
    <row r="275" spans="1:11" x14ac:dyDescent="0.3">
      <c r="A275" s="7">
        <v>6360</v>
      </c>
      <c r="B275">
        <v>1</v>
      </c>
      <c r="C275">
        <v>20</v>
      </c>
      <c r="D275">
        <v>1</v>
      </c>
      <c r="E275" t="s">
        <v>16</v>
      </c>
      <c r="F275" s="10">
        <f t="shared" si="24"/>
        <v>64</v>
      </c>
      <c r="G275" s="14">
        <f t="shared" si="25"/>
        <v>1272</v>
      </c>
      <c r="H275" s="7">
        <f t="shared" si="26"/>
        <v>4666</v>
      </c>
      <c r="I275" s="10">
        <f t="shared" si="27"/>
        <v>7696</v>
      </c>
      <c r="J275">
        <f t="shared" si="28"/>
        <v>0</v>
      </c>
      <c r="K275">
        <f t="shared" si="29"/>
        <v>0</v>
      </c>
    </row>
    <row r="276" spans="1:11" x14ac:dyDescent="0.3">
      <c r="A276" s="7">
        <v>3355</v>
      </c>
      <c r="B276">
        <v>14</v>
      </c>
      <c r="C276">
        <v>25</v>
      </c>
      <c r="D276">
        <v>2</v>
      </c>
      <c r="E276" t="s">
        <v>21</v>
      </c>
      <c r="F276" s="10">
        <f t="shared" si="24"/>
        <v>470</v>
      </c>
      <c r="G276" s="14">
        <f t="shared" si="25"/>
        <v>838.75</v>
      </c>
      <c r="H276" s="7">
        <f t="shared" si="26"/>
        <v>2333</v>
      </c>
      <c r="I276" s="10">
        <f t="shared" si="27"/>
        <v>4663.75</v>
      </c>
      <c r="J276">
        <f t="shared" si="28"/>
        <v>0</v>
      </c>
      <c r="K276">
        <f t="shared" si="29"/>
        <v>0</v>
      </c>
    </row>
    <row r="277" spans="1:11" x14ac:dyDescent="0.3">
      <c r="A277" s="7">
        <v>1200</v>
      </c>
      <c r="B277">
        <v>9</v>
      </c>
      <c r="C277">
        <v>10</v>
      </c>
      <c r="D277">
        <v>3</v>
      </c>
      <c r="E277" t="s">
        <v>21</v>
      </c>
      <c r="F277" s="10">
        <f t="shared" si="24"/>
        <v>108</v>
      </c>
      <c r="G277" s="14">
        <f t="shared" si="25"/>
        <v>120</v>
      </c>
      <c r="H277" s="7">
        <f t="shared" si="26"/>
        <v>1555.33</v>
      </c>
      <c r="I277" s="10">
        <f t="shared" si="27"/>
        <v>1428</v>
      </c>
      <c r="J277">
        <f t="shared" si="28"/>
        <v>1</v>
      </c>
      <c r="K277">
        <f t="shared" si="29"/>
        <v>127.32999999999993</v>
      </c>
    </row>
    <row r="278" spans="1:11" x14ac:dyDescent="0.3">
      <c r="A278" s="7">
        <v>763</v>
      </c>
      <c r="B278">
        <v>10</v>
      </c>
      <c r="C278">
        <v>25</v>
      </c>
      <c r="D278">
        <v>4</v>
      </c>
      <c r="E278" t="s">
        <v>19</v>
      </c>
      <c r="F278" s="10">
        <f t="shared" si="24"/>
        <v>77</v>
      </c>
      <c r="G278" s="14">
        <f t="shared" si="25"/>
        <v>190.75</v>
      </c>
      <c r="H278" s="7">
        <f t="shared" si="26"/>
        <v>1166.5</v>
      </c>
      <c r="I278" s="10">
        <f t="shared" si="27"/>
        <v>1030.75</v>
      </c>
      <c r="J278">
        <f t="shared" si="28"/>
        <v>1</v>
      </c>
      <c r="K278">
        <f t="shared" si="29"/>
        <v>135.75</v>
      </c>
    </row>
    <row r="279" spans="1:11" x14ac:dyDescent="0.3">
      <c r="A279" s="7">
        <v>3180</v>
      </c>
      <c r="B279">
        <v>8</v>
      </c>
      <c r="C279">
        <v>35</v>
      </c>
      <c r="D279">
        <v>1</v>
      </c>
      <c r="E279" t="s">
        <v>17</v>
      </c>
      <c r="F279" s="10">
        <f t="shared" si="24"/>
        <v>255</v>
      </c>
      <c r="G279" s="14">
        <f t="shared" si="25"/>
        <v>1113</v>
      </c>
      <c r="H279" s="7">
        <f t="shared" si="26"/>
        <v>4666</v>
      </c>
      <c r="I279" s="10">
        <f t="shared" si="27"/>
        <v>4548</v>
      </c>
      <c r="J279">
        <f t="shared" si="28"/>
        <v>1</v>
      </c>
      <c r="K279">
        <f t="shared" si="29"/>
        <v>118</v>
      </c>
    </row>
    <row r="280" spans="1:11" x14ac:dyDescent="0.3">
      <c r="A280" s="7">
        <v>1013.3</v>
      </c>
      <c r="B280">
        <v>0</v>
      </c>
      <c r="C280">
        <v>35</v>
      </c>
      <c r="D280">
        <v>3</v>
      </c>
      <c r="E280" t="s">
        <v>21</v>
      </c>
      <c r="F280" s="10">
        <f t="shared" si="24"/>
        <v>0</v>
      </c>
      <c r="G280" s="14">
        <f t="shared" si="25"/>
        <v>354.66</v>
      </c>
      <c r="H280" s="7">
        <f t="shared" si="26"/>
        <v>1555.33</v>
      </c>
      <c r="I280" s="10">
        <f t="shared" si="27"/>
        <v>1367.96</v>
      </c>
      <c r="J280">
        <f t="shared" si="28"/>
        <v>1</v>
      </c>
      <c r="K280">
        <f t="shared" si="29"/>
        <v>187.36999999999989</v>
      </c>
    </row>
    <row r="281" spans="1:11" x14ac:dyDescent="0.3">
      <c r="A281" s="7">
        <v>5100</v>
      </c>
      <c r="B281">
        <v>9</v>
      </c>
      <c r="C281">
        <v>45</v>
      </c>
      <c r="D281">
        <v>1</v>
      </c>
      <c r="E281" t="s">
        <v>17</v>
      </c>
      <c r="F281" s="10">
        <f t="shared" si="24"/>
        <v>459</v>
      </c>
      <c r="G281" s="14">
        <f t="shared" si="25"/>
        <v>2295</v>
      </c>
      <c r="H281" s="7">
        <f t="shared" si="26"/>
        <v>4666</v>
      </c>
      <c r="I281" s="10">
        <f t="shared" si="27"/>
        <v>7854</v>
      </c>
      <c r="J281">
        <f t="shared" si="28"/>
        <v>0</v>
      </c>
      <c r="K281">
        <f t="shared" si="29"/>
        <v>0</v>
      </c>
    </row>
    <row r="282" spans="1:11" x14ac:dyDescent="0.3">
      <c r="A282" s="7">
        <v>1657</v>
      </c>
      <c r="B282">
        <v>3</v>
      </c>
      <c r="C282">
        <v>20</v>
      </c>
      <c r="D282">
        <v>3</v>
      </c>
      <c r="E282" t="s">
        <v>18</v>
      </c>
      <c r="F282" s="10">
        <f t="shared" si="24"/>
        <v>50</v>
      </c>
      <c r="G282" s="14">
        <f t="shared" si="25"/>
        <v>331.4</v>
      </c>
      <c r="H282" s="7">
        <f t="shared" si="26"/>
        <v>1555.33</v>
      </c>
      <c r="I282" s="10">
        <f t="shared" si="27"/>
        <v>2038.4</v>
      </c>
      <c r="J282">
        <f t="shared" si="28"/>
        <v>0</v>
      </c>
      <c r="K282">
        <f t="shared" si="29"/>
        <v>0</v>
      </c>
    </row>
    <row r="283" spans="1:11" x14ac:dyDescent="0.3">
      <c r="A283" s="7">
        <v>5470</v>
      </c>
      <c r="B283">
        <v>15</v>
      </c>
      <c r="C283">
        <v>5</v>
      </c>
      <c r="D283">
        <v>1</v>
      </c>
      <c r="E283" t="s">
        <v>16</v>
      </c>
      <c r="F283" s="10">
        <f t="shared" si="24"/>
        <v>821</v>
      </c>
      <c r="G283" s="14">
        <f t="shared" si="25"/>
        <v>273.5</v>
      </c>
      <c r="H283" s="7">
        <f t="shared" si="26"/>
        <v>4666</v>
      </c>
      <c r="I283" s="10">
        <f t="shared" si="27"/>
        <v>6564.5</v>
      </c>
      <c r="J283">
        <f t="shared" si="28"/>
        <v>0</v>
      </c>
      <c r="K283">
        <f t="shared" si="29"/>
        <v>0</v>
      </c>
    </row>
    <row r="284" spans="1:11" x14ac:dyDescent="0.3">
      <c r="A284" s="7">
        <v>296</v>
      </c>
      <c r="B284">
        <v>20</v>
      </c>
      <c r="C284">
        <v>15</v>
      </c>
      <c r="D284">
        <v>10</v>
      </c>
      <c r="E284" t="s">
        <v>17</v>
      </c>
      <c r="F284" s="10">
        <f t="shared" si="24"/>
        <v>60</v>
      </c>
      <c r="G284" s="14">
        <f t="shared" si="25"/>
        <v>44.4</v>
      </c>
      <c r="H284" s="7">
        <f t="shared" si="26"/>
        <v>466.6</v>
      </c>
      <c r="I284" s="10">
        <f t="shared" si="27"/>
        <v>400.4</v>
      </c>
      <c r="J284">
        <f t="shared" si="28"/>
        <v>1</v>
      </c>
      <c r="K284">
        <f t="shared" si="29"/>
        <v>66.200000000000045</v>
      </c>
    </row>
    <row r="285" spans="1:11" x14ac:dyDescent="0.3">
      <c r="A285" s="7">
        <v>2313</v>
      </c>
      <c r="B285">
        <v>5</v>
      </c>
      <c r="C285">
        <v>25</v>
      </c>
      <c r="D285">
        <v>3</v>
      </c>
      <c r="E285" t="s">
        <v>18</v>
      </c>
      <c r="F285" s="10">
        <f t="shared" si="24"/>
        <v>116</v>
      </c>
      <c r="G285" s="14">
        <f t="shared" si="25"/>
        <v>578.25</v>
      </c>
      <c r="H285" s="7">
        <f t="shared" si="26"/>
        <v>1555.33</v>
      </c>
      <c r="I285" s="10">
        <f t="shared" si="27"/>
        <v>3007.25</v>
      </c>
      <c r="J285">
        <f t="shared" si="28"/>
        <v>0</v>
      </c>
      <c r="K285">
        <f t="shared" si="29"/>
        <v>0</v>
      </c>
    </row>
    <row r="286" spans="1:11" x14ac:dyDescent="0.3">
      <c r="A286" s="7">
        <v>4100</v>
      </c>
      <c r="B286">
        <v>14</v>
      </c>
      <c r="C286">
        <v>30</v>
      </c>
      <c r="D286">
        <v>1</v>
      </c>
      <c r="E286" t="s">
        <v>21</v>
      </c>
      <c r="F286" s="10">
        <f t="shared" si="24"/>
        <v>574</v>
      </c>
      <c r="G286" s="14">
        <f t="shared" si="25"/>
        <v>1230</v>
      </c>
      <c r="H286" s="7">
        <f t="shared" si="26"/>
        <v>4666</v>
      </c>
      <c r="I286" s="10">
        <f t="shared" si="27"/>
        <v>5904</v>
      </c>
      <c r="J286">
        <f t="shared" si="28"/>
        <v>0</v>
      </c>
      <c r="K286">
        <f t="shared" si="29"/>
        <v>0</v>
      </c>
    </row>
    <row r="287" spans="1:11" x14ac:dyDescent="0.3">
      <c r="A287" s="7">
        <v>914</v>
      </c>
      <c r="B287">
        <v>8</v>
      </c>
      <c r="C287">
        <v>30</v>
      </c>
      <c r="D287">
        <v>7</v>
      </c>
      <c r="E287" t="s">
        <v>15</v>
      </c>
      <c r="F287" s="10">
        <f t="shared" si="24"/>
        <v>74</v>
      </c>
      <c r="G287" s="14">
        <f t="shared" si="25"/>
        <v>274.2</v>
      </c>
      <c r="H287" s="7">
        <f t="shared" si="26"/>
        <v>666.57</v>
      </c>
      <c r="I287" s="10">
        <f t="shared" si="27"/>
        <v>1262.2</v>
      </c>
      <c r="J287">
        <f t="shared" si="28"/>
        <v>0</v>
      </c>
      <c r="K287">
        <f t="shared" si="29"/>
        <v>0</v>
      </c>
    </row>
    <row r="288" spans="1:11" x14ac:dyDescent="0.3">
      <c r="A288" s="7">
        <v>4920</v>
      </c>
      <c r="B288">
        <v>6</v>
      </c>
      <c r="C288">
        <v>25</v>
      </c>
      <c r="D288">
        <v>1</v>
      </c>
      <c r="E288" t="s">
        <v>19</v>
      </c>
      <c r="F288" s="10">
        <f t="shared" si="24"/>
        <v>296</v>
      </c>
      <c r="G288" s="14">
        <f t="shared" si="25"/>
        <v>1230</v>
      </c>
      <c r="H288" s="7">
        <f t="shared" si="26"/>
        <v>4666</v>
      </c>
      <c r="I288" s="10">
        <f t="shared" si="27"/>
        <v>6446</v>
      </c>
      <c r="J288">
        <f t="shared" si="28"/>
        <v>0</v>
      </c>
      <c r="K288">
        <f t="shared" si="29"/>
        <v>0</v>
      </c>
    </row>
    <row r="289" spans="1:11" x14ac:dyDescent="0.3">
      <c r="A289" s="7">
        <v>574</v>
      </c>
      <c r="B289">
        <v>5</v>
      </c>
      <c r="C289">
        <v>40</v>
      </c>
      <c r="D289">
        <v>7</v>
      </c>
      <c r="E289" t="s">
        <v>15</v>
      </c>
      <c r="F289" s="10">
        <f t="shared" si="24"/>
        <v>29</v>
      </c>
      <c r="G289" s="14">
        <f t="shared" si="25"/>
        <v>229.6</v>
      </c>
      <c r="H289" s="7">
        <f t="shared" si="26"/>
        <v>666.57</v>
      </c>
      <c r="I289" s="10">
        <f t="shared" si="27"/>
        <v>832.6</v>
      </c>
      <c r="J289">
        <f t="shared" si="28"/>
        <v>0</v>
      </c>
      <c r="K289">
        <f t="shared" si="29"/>
        <v>0</v>
      </c>
    </row>
    <row r="290" spans="1:11" x14ac:dyDescent="0.3">
      <c r="A290" s="7">
        <v>1880</v>
      </c>
      <c r="B290">
        <v>8</v>
      </c>
      <c r="C290">
        <v>50</v>
      </c>
      <c r="D290">
        <v>3</v>
      </c>
      <c r="E290" t="s">
        <v>15</v>
      </c>
      <c r="F290" s="10">
        <f t="shared" si="24"/>
        <v>151</v>
      </c>
      <c r="G290" s="14">
        <f t="shared" si="25"/>
        <v>940</v>
      </c>
      <c r="H290" s="7">
        <f t="shared" si="26"/>
        <v>1555.33</v>
      </c>
      <c r="I290" s="10">
        <f t="shared" si="27"/>
        <v>2971</v>
      </c>
      <c r="J290">
        <f t="shared" si="28"/>
        <v>0</v>
      </c>
      <c r="K290">
        <f t="shared" si="29"/>
        <v>0</v>
      </c>
    </row>
    <row r="291" spans="1:11" x14ac:dyDescent="0.3">
      <c r="A291" s="7">
        <v>5090</v>
      </c>
      <c r="B291">
        <v>11</v>
      </c>
      <c r="C291">
        <v>0</v>
      </c>
      <c r="D291">
        <v>1</v>
      </c>
      <c r="E291" t="s">
        <v>20</v>
      </c>
      <c r="F291" s="10">
        <f t="shared" si="24"/>
        <v>560</v>
      </c>
      <c r="G291" s="14">
        <f t="shared" si="25"/>
        <v>0</v>
      </c>
      <c r="H291" s="7">
        <f t="shared" si="26"/>
        <v>4666</v>
      </c>
      <c r="I291" s="10">
        <f t="shared" si="27"/>
        <v>5650</v>
      </c>
      <c r="J291">
        <f t="shared" si="28"/>
        <v>0</v>
      </c>
      <c r="K291">
        <f t="shared" si="29"/>
        <v>0</v>
      </c>
    </row>
    <row r="292" spans="1:11" x14ac:dyDescent="0.3">
      <c r="A292" s="7">
        <v>2950</v>
      </c>
      <c r="B292">
        <v>10</v>
      </c>
      <c r="C292">
        <v>25</v>
      </c>
      <c r="D292">
        <v>1</v>
      </c>
      <c r="E292" t="s">
        <v>21</v>
      </c>
      <c r="F292" s="10">
        <f t="shared" si="24"/>
        <v>295</v>
      </c>
      <c r="G292" s="14">
        <f t="shared" si="25"/>
        <v>737.5</v>
      </c>
      <c r="H292" s="7">
        <f t="shared" si="26"/>
        <v>4666</v>
      </c>
      <c r="I292" s="10">
        <f t="shared" si="27"/>
        <v>3982.5</v>
      </c>
      <c r="J292">
        <f t="shared" si="28"/>
        <v>1</v>
      </c>
      <c r="K292">
        <f t="shared" si="29"/>
        <v>683.5</v>
      </c>
    </row>
    <row r="293" spans="1:11" x14ac:dyDescent="0.3">
      <c r="A293" s="7">
        <v>409</v>
      </c>
      <c r="B293">
        <v>12</v>
      </c>
      <c r="C293">
        <v>40</v>
      </c>
      <c r="D293">
        <v>10</v>
      </c>
      <c r="E293" t="s">
        <v>21</v>
      </c>
      <c r="F293" s="10">
        <f t="shared" si="24"/>
        <v>50</v>
      </c>
      <c r="G293" s="14">
        <f t="shared" si="25"/>
        <v>163.6</v>
      </c>
      <c r="H293" s="7">
        <f t="shared" si="26"/>
        <v>466.6</v>
      </c>
      <c r="I293" s="10">
        <f t="shared" si="27"/>
        <v>622.6</v>
      </c>
      <c r="J293">
        <f t="shared" si="28"/>
        <v>0</v>
      </c>
      <c r="K293">
        <f t="shared" si="29"/>
        <v>0</v>
      </c>
    </row>
    <row r="294" spans="1:11" x14ac:dyDescent="0.3">
      <c r="A294" s="7">
        <v>997</v>
      </c>
      <c r="B294">
        <v>2</v>
      </c>
      <c r="C294">
        <v>35</v>
      </c>
      <c r="D294">
        <v>3</v>
      </c>
      <c r="E294" t="s">
        <v>19</v>
      </c>
      <c r="F294" s="10">
        <f t="shared" si="24"/>
        <v>20</v>
      </c>
      <c r="G294" s="14">
        <f t="shared" si="25"/>
        <v>348.95</v>
      </c>
      <c r="H294" s="7">
        <f t="shared" si="26"/>
        <v>1555.33</v>
      </c>
      <c r="I294" s="10">
        <f t="shared" si="27"/>
        <v>1365.95</v>
      </c>
      <c r="J294">
        <f t="shared" si="28"/>
        <v>1</v>
      </c>
      <c r="K294">
        <f t="shared" si="29"/>
        <v>189.37999999999988</v>
      </c>
    </row>
    <row r="295" spans="1:11" x14ac:dyDescent="0.3">
      <c r="A295" s="7">
        <v>993</v>
      </c>
      <c r="B295">
        <v>19</v>
      </c>
      <c r="C295">
        <v>10</v>
      </c>
      <c r="D295">
        <v>6</v>
      </c>
      <c r="E295" t="s">
        <v>19</v>
      </c>
      <c r="F295" s="10">
        <f t="shared" si="24"/>
        <v>189</v>
      </c>
      <c r="G295" s="14">
        <f t="shared" si="25"/>
        <v>99.3</v>
      </c>
      <c r="H295" s="7">
        <f t="shared" si="26"/>
        <v>777.67</v>
      </c>
      <c r="I295" s="10">
        <f t="shared" si="27"/>
        <v>1281.3</v>
      </c>
      <c r="J295">
        <f t="shared" si="28"/>
        <v>0</v>
      </c>
      <c r="K295">
        <f t="shared" si="29"/>
        <v>0</v>
      </c>
    </row>
    <row r="296" spans="1:11" x14ac:dyDescent="0.3">
      <c r="A296" s="7">
        <v>1017</v>
      </c>
      <c r="B296">
        <v>4</v>
      </c>
      <c r="C296">
        <v>5</v>
      </c>
      <c r="D296">
        <v>6</v>
      </c>
      <c r="E296" t="s">
        <v>20</v>
      </c>
      <c r="F296" s="10">
        <f t="shared" si="24"/>
        <v>41</v>
      </c>
      <c r="G296" s="14">
        <f t="shared" si="25"/>
        <v>50.85</v>
      </c>
      <c r="H296" s="7">
        <f t="shared" si="26"/>
        <v>777.67</v>
      </c>
      <c r="I296" s="10">
        <f t="shared" si="27"/>
        <v>1108.8499999999999</v>
      </c>
      <c r="J296">
        <f t="shared" si="28"/>
        <v>0</v>
      </c>
      <c r="K296">
        <f t="shared" si="29"/>
        <v>0</v>
      </c>
    </row>
    <row r="297" spans="1:11" x14ac:dyDescent="0.3">
      <c r="A297" s="7">
        <v>683</v>
      </c>
      <c r="B297">
        <v>8</v>
      </c>
      <c r="C297">
        <v>5</v>
      </c>
      <c r="D297">
        <v>10</v>
      </c>
      <c r="E297" t="s">
        <v>20</v>
      </c>
      <c r="F297" s="10">
        <f t="shared" si="24"/>
        <v>55</v>
      </c>
      <c r="G297" s="14">
        <f t="shared" si="25"/>
        <v>34.15</v>
      </c>
      <c r="H297" s="7">
        <f t="shared" si="26"/>
        <v>466.6</v>
      </c>
      <c r="I297" s="10">
        <f t="shared" si="27"/>
        <v>772.15</v>
      </c>
      <c r="J297">
        <f t="shared" si="28"/>
        <v>0</v>
      </c>
      <c r="K297">
        <f t="shared" si="29"/>
        <v>0</v>
      </c>
    </row>
    <row r="298" spans="1:11" x14ac:dyDescent="0.3">
      <c r="A298" s="7">
        <v>880</v>
      </c>
      <c r="B298">
        <v>17</v>
      </c>
      <c r="C298">
        <v>10</v>
      </c>
      <c r="D298">
        <v>7</v>
      </c>
      <c r="E298" t="s">
        <v>20</v>
      </c>
      <c r="F298" s="10">
        <f t="shared" si="24"/>
        <v>150</v>
      </c>
      <c r="G298" s="14">
        <f t="shared" si="25"/>
        <v>88</v>
      </c>
      <c r="H298" s="7">
        <f t="shared" si="26"/>
        <v>666.57</v>
      </c>
      <c r="I298" s="10">
        <f t="shared" si="27"/>
        <v>1118</v>
      </c>
      <c r="J298">
        <f t="shared" si="28"/>
        <v>0</v>
      </c>
      <c r="K298">
        <f t="shared" si="29"/>
        <v>0</v>
      </c>
    </row>
    <row r="299" spans="1:11" x14ac:dyDescent="0.3">
      <c r="A299" s="7">
        <v>576</v>
      </c>
      <c r="B299">
        <v>3</v>
      </c>
      <c r="C299">
        <v>20</v>
      </c>
      <c r="D299">
        <v>8</v>
      </c>
      <c r="E299" t="s">
        <v>19</v>
      </c>
      <c r="F299" s="10">
        <f t="shared" si="24"/>
        <v>18</v>
      </c>
      <c r="G299" s="14">
        <f t="shared" si="25"/>
        <v>115.2</v>
      </c>
      <c r="H299" s="7">
        <f t="shared" si="26"/>
        <v>583.25</v>
      </c>
      <c r="I299" s="10">
        <f t="shared" si="27"/>
        <v>709.2</v>
      </c>
      <c r="J299">
        <f t="shared" si="28"/>
        <v>0</v>
      </c>
      <c r="K299">
        <f t="shared" si="29"/>
        <v>0</v>
      </c>
    </row>
    <row r="300" spans="1:11" x14ac:dyDescent="0.3">
      <c r="A300" s="7">
        <v>281</v>
      </c>
      <c r="B300">
        <v>0</v>
      </c>
      <c r="C300">
        <v>50</v>
      </c>
      <c r="D300">
        <v>10</v>
      </c>
      <c r="E300" t="s">
        <v>19</v>
      </c>
      <c r="F300" s="10">
        <f t="shared" si="24"/>
        <v>0</v>
      </c>
      <c r="G300" s="14">
        <f t="shared" si="25"/>
        <v>140.5</v>
      </c>
      <c r="H300" s="7">
        <f t="shared" si="26"/>
        <v>466.6</v>
      </c>
      <c r="I300" s="10">
        <f t="shared" si="27"/>
        <v>421.5</v>
      </c>
      <c r="J300">
        <f t="shared" si="28"/>
        <v>1</v>
      </c>
      <c r="K300">
        <f t="shared" si="29"/>
        <v>45.100000000000023</v>
      </c>
    </row>
    <row r="301" spans="1:11" x14ac:dyDescent="0.3">
      <c r="A301" s="7">
        <v>434</v>
      </c>
      <c r="B301">
        <v>19</v>
      </c>
      <c r="C301">
        <v>15</v>
      </c>
      <c r="D301">
        <v>9</v>
      </c>
      <c r="E301" t="s">
        <v>15</v>
      </c>
      <c r="F301" s="10">
        <f t="shared" si="24"/>
        <v>83</v>
      </c>
      <c r="G301" s="14">
        <f t="shared" si="25"/>
        <v>65.099999999999994</v>
      </c>
      <c r="H301" s="7">
        <f t="shared" si="26"/>
        <v>518.44000000000005</v>
      </c>
      <c r="I301" s="10">
        <f t="shared" si="27"/>
        <v>582.1</v>
      </c>
      <c r="J301">
        <f t="shared" si="28"/>
        <v>0</v>
      </c>
      <c r="K301">
        <f t="shared" si="29"/>
        <v>0</v>
      </c>
    </row>
    <row r="302" spans="1:11" x14ac:dyDescent="0.3">
      <c r="A302" s="7">
        <v>1473</v>
      </c>
      <c r="B302">
        <v>1</v>
      </c>
      <c r="C302">
        <v>5</v>
      </c>
      <c r="D302">
        <v>4</v>
      </c>
      <c r="E302" t="s">
        <v>21</v>
      </c>
      <c r="F302" s="10">
        <f t="shared" si="24"/>
        <v>15</v>
      </c>
      <c r="G302" s="14">
        <f t="shared" si="25"/>
        <v>73.650000000000006</v>
      </c>
      <c r="H302" s="7">
        <f t="shared" si="26"/>
        <v>1166.5</v>
      </c>
      <c r="I302" s="10">
        <f t="shared" si="27"/>
        <v>1561.65</v>
      </c>
      <c r="J302">
        <f t="shared" si="28"/>
        <v>0</v>
      </c>
      <c r="K302">
        <f t="shared" si="29"/>
        <v>0</v>
      </c>
    </row>
    <row r="303" spans="1:11" x14ac:dyDescent="0.3">
      <c r="A303" s="7">
        <v>618</v>
      </c>
      <c r="B303">
        <v>4</v>
      </c>
      <c r="C303">
        <v>15</v>
      </c>
      <c r="D303">
        <v>9</v>
      </c>
      <c r="E303" t="s">
        <v>18</v>
      </c>
      <c r="F303" s="10">
        <f t="shared" si="24"/>
        <v>25</v>
      </c>
      <c r="G303" s="14">
        <f t="shared" si="25"/>
        <v>92.7</v>
      </c>
      <c r="H303" s="7">
        <f t="shared" si="26"/>
        <v>518.44000000000005</v>
      </c>
      <c r="I303" s="10">
        <f t="shared" si="27"/>
        <v>735.7</v>
      </c>
      <c r="J303">
        <f t="shared" si="28"/>
        <v>0</v>
      </c>
      <c r="K303">
        <f t="shared" si="29"/>
        <v>0</v>
      </c>
    </row>
    <row r="304" spans="1:11" x14ac:dyDescent="0.3">
      <c r="A304" s="7">
        <v>401.9</v>
      </c>
      <c r="B304">
        <v>13</v>
      </c>
      <c r="C304">
        <v>5</v>
      </c>
      <c r="D304">
        <v>10</v>
      </c>
      <c r="E304" t="s">
        <v>20</v>
      </c>
      <c r="F304" s="10">
        <f t="shared" si="24"/>
        <v>53</v>
      </c>
      <c r="G304" s="14">
        <f t="shared" si="25"/>
        <v>20.100000000000001</v>
      </c>
      <c r="H304" s="7">
        <f t="shared" si="26"/>
        <v>466.6</v>
      </c>
      <c r="I304" s="10">
        <f t="shared" si="27"/>
        <v>475</v>
      </c>
      <c r="J304">
        <f t="shared" si="28"/>
        <v>0</v>
      </c>
      <c r="K304">
        <f t="shared" si="29"/>
        <v>0</v>
      </c>
    </row>
    <row r="305" spans="1:11" x14ac:dyDescent="0.3">
      <c r="A305" s="7">
        <v>905</v>
      </c>
      <c r="B305">
        <v>2</v>
      </c>
      <c r="C305">
        <v>15</v>
      </c>
      <c r="D305">
        <v>4</v>
      </c>
      <c r="E305" t="s">
        <v>21</v>
      </c>
      <c r="F305" s="10">
        <f t="shared" si="24"/>
        <v>19</v>
      </c>
      <c r="G305" s="14">
        <f t="shared" si="25"/>
        <v>135.75</v>
      </c>
      <c r="H305" s="7">
        <f t="shared" si="26"/>
        <v>1166.5</v>
      </c>
      <c r="I305" s="10">
        <f t="shared" si="27"/>
        <v>1059.75</v>
      </c>
      <c r="J305">
        <f t="shared" si="28"/>
        <v>1</v>
      </c>
      <c r="K305">
        <f t="shared" si="29"/>
        <v>106.75</v>
      </c>
    </row>
    <row r="306" spans="1:11" x14ac:dyDescent="0.3">
      <c r="A306" s="7">
        <v>1900</v>
      </c>
      <c r="B306">
        <v>15</v>
      </c>
      <c r="C306">
        <v>0</v>
      </c>
      <c r="D306">
        <v>2</v>
      </c>
      <c r="E306" t="s">
        <v>15</v>
      </c>
      <c r="F306" s="10">
        <f t="shared" si="24"/>
        <v>285</v>
      </c>
      <c r="G306" s="14">
        <f t="shared" si="25"/>
        <v>0</v>
      </c>
      <c r="H306" s="7">
        <f t="shared" si="26"/>
        <v>2333</v>
      </c>
      <c r="I306" s="10">
        <f t="shared" si="27"/>
        <v>2185</v>
      </c>
      <c r="J306">
        <f t="shared" si="28"/>
        <v>1</v>
      </c>
      <c r="K306">
        <f t="shared" si="29"/>
        <v>148</v>
      </c>
    </row>
    <row r="307" spans="1:11" x14ac:dyDescent="0.3">
      <c r="A307" s="7">
        <v>2100</v>
      </c>
      <c r="B307">
        <v>17</v>
      </c>
      <c r="C307">
        <v>5</v>
      </c>
      <c r="D307">
        <v>2</v>
      </c>
      <c r="E307" t="s">
        <v>15</v>
      </c>
      <c r="F307" s="10">
        <f t="shared" si="24"/>
        <v>357</v>
      </c>
      <c r="G307" s="14">
        <f t="shared" si="25"/>
        <v>105</v>
      </c>
      <c r="H307" s="7">
        <f t="shared" si="26"/>
        <v>2333</v>
      </c>
      <c r="I307" s="10">
        <f t="shared" si="27"/>
        <v>2562</v>
      </c>
      <c r="J307">
        <f t="shared" si="28"/>
        <v>0</v>
      </c>
      <c r="K307">
        <f t="shared" si="29"/>
        <v>0</v>
      </c>
    </row>
    <row r="308" spans="1:11" x14ac:dyDescent="0.3">
      <c r="A308" s="7">
        <v>1847</v>
      </c>
      <c r="B308">
        <v>16</v>
      </c>
      <c r="C308">
        <v>15</v>
      </c>
      <c r="D308">
        <v>3</v>
      </c>
      <c r="E308" t="s">
        <v>17</v>
      </c>
      <c r="F308" s="10">
        <f t="shared" si="24"/>
        <v>296</v>
      </c>
      <c r="G308" s="14">
        <f t="shared" si="25"/>
        <v>277.05</v>
      </c>
      <c r="H308" s="7">
        <f t="shared" si="26"/>
        <v>1555.33</v>
      </c>
      <c r="I308" s="10">
        <f t="shared" si="27"/>
        <v>2420.0500000000002</v>
      </c>
      <c r="J308">
        <f t="shared" si="28"/>
        <v>0</v>
      </c>
      <c r="K308">
        <f t="shared" si="29"/>
        <v>0</v>
      </c>
    </row>
    <row r="309" spans="1:11" x14ac:dyDescent="0.3">
      <c r="A309" s="7">
        <v>3600</v>
      </c>
      <c r="B309">
        <v>12</v>
      </c>
      <c r="C309">
        <v>5</v>
      </c>
      <c r="D309">
        <v>1</v>
      </c>
      <c r="E309" t="s">
        <v>17</v>
      </c>
      <c r="F309" s="10">
        <f t="shared" si="24"/>
        <v>432</v>
      </c>
      <c r="G309" s="14">
        <f t="shared" si="25"/>
        <v>180</v>
      </c>
      <c r="H309" s="7">
        <f t="shared" si="26"/>
        <v>4666</v>
      </c>
      <c r="I309" s="10">
        <f t="shared" si="27"/>
        <v>4212</v>
      </c>
      <c r="J309">
        <f t="shared" si="28"/>
        <v>1</v>
      </c>
      <c r="K309">
        <f t="shared" si="29"/>
        <v>454</v>
      </c>
    </row>
    <row r="310" spans="1:11" x14ac:dyDescent="0.3">
      <c r="A310" s="7">
        <v>5880</v>
      </c>
      <c r="B310">
        <v>13</v>
      </c>
      <c r="C310">
        <v>25</v>
      </c>
      <c r="D310">
        <v>1</v>
      </c>
      <c r="E310" t="s">
        <v>18</v>
      </c>
      <c r="F310" s="10">
        <f t="shared" si="24"/>
        <v>765</v>
      </c>
      <c r="G310" s="14">
        <f t="shared" si="25"/>
        <v>1470</v>
      </c>
      <c r="H310" s="7">
        <f t="shared" si="26"/>
        <v>4666</v>
      </c>
      <c r="I310" s="10">
        <f t="shared" si="27"/>
        <v>8115</v>
      </c>
      <c r="J310">
        <f t="shared" si="28"/>
        <v>0</v>
      </c>
      <c r="K310">
        <f t="shared" si="29"/>
        <v>0</v>
      </c>
    </row>
    <row r="311" spans="1:11" x14ac:dyDescent="0.3">
      <c r="A311" s="7">
        <v>5140</v>
      </c>
      <c r="B311">
        <v>13</v>
      </c>
      <c r="C311">
        <v>45</v>
      </c>
      <c r="D311">
        <v>1</v>
      </c>
      <c r="E311" t="s">
        <v>16</v>
      </c>
      <c r="F311" s="10">
        <f t="shared" si="24"/>
        <v>669</v>
      </c>
      <c r="G311" s="14">
        <f t="shared" si="25"/>
        <v>2313</v>
      </c>
      <c r="H311" s="7">
        <f t="shared" si="26"/>
        <v>4666</v>
      </c>
      <c r="I311" s="10">
        <f t="shared" si="27"/>
        <v>8122</v>
      </c>
      <c r="J311">
        <f t="shared" si="28"/>
        <v>0</v>
      </c>
      <c r="K311">
        <f t="shared" si="29"/>
        <v>0</v>
      </c>
    </row>
    <row r="312" spans="1:11" x14ac:dyDescent="0.3">
      <c r="A312" s="7">
        <v>320</v>
      </c>
      <c r="B312">
        <v>19</v>
      </c>
      <c r="C312">
        <v>25</v>
      </c>
      <c r="D312">
        <v>9</v>
      </c>
      <c r="E312" t="s">
        <v>21</v>
      </c>
      <c r="F312" s="10">
        <f t="shared" si="24"/>
        <v>61</v>
      </c>
      <c r="G312" s="14">
        <f t="shared" si="25"/>
        <v>80</v>
      </c>
      <c r="H312" s="7">
        <f t="shared" si="26"/>
        <v>518.44000000000005</v>
      </c>
      <c r="I312" s="10">
        <f t="shared" si="27"/>
        <v>461</v>
      </c>
      <c r="J312">
        <f t="shared" si="28"/>
        <v>1</v>
      </c>
      <c r="K312">
        <f t="shared" si="29"/>
        <v>57.440000000000055</v>
      </c>
    </row>
    <row r="313" spans="1:11" x14ac:dyDescent="0.3">
      <c r="A313" s="7">
        <v>819</v>
      </c>
      <c r="B313">
        <v>12</v>
      </c>
      <c r="C313">
        <v>20</v>
      </c>
      <c r="D313">
        <v>7</v>
      </c>
      <c r="E313" t="s">
        <v>16</v>
      </c>
      <c r="F313" s="10">
        <f t="shared" si="24"/>
        <v>99</v>
      </c>
      <c r="G313" s="14">
        <f t="shared" si="25"/>
        <v>163.80000000000001</v>
      </c>
      <c r="H313" s="7">
        <f t="shared" si="26"/>
        <v>666.57</v>
      </c>
      <c r="I313" s="10">
        <f t="shared" si="27"/>
        <v>1081.8</v>
      </c>
      <c r="J313">
        <f t="shared" si="28"/>
        <v>0</v>
      </c>
      <c r="K313">
        <f t="shared" si="29"/>
        <v>0</v>
      </c>
    </row>
    <row r="314" spans="1:11" x14ac:dyDescent="0.3">
      <c r="A314" s="7">
        <v>6370</v>
      </c>
      <c r="B314">
        <v>13</v>
      </c>
      <c r="C314">
        <v>45</v>
      </c>
      <c r="D314">
        <v>1</v>
      </c>
      <c r="E314" t="s">
        <v>20</v>
      </c>
      <c r="F314" s="10">
        <f t="shared" si="24"/>
        <v>829</v>
      </c>
      <c r="G314" s="14">
        <f t="shared" si="25"/>
        <v>2866.5</v>
      </c>
      <c r="H314" s="7">
        <f t="shared" si="26"/>
        <v>4666</v>
      </c>
      <c r="I314" s="10">
        <f t="shared" si="27"/>
        <v>10065.5</v>
      </c>
      <c r="J314">
        <f t="shared" si="28"/>
        <v>0</v>
      </c>
      <c r="K314">
        <f t="shared" si="29"/>
        <v>0</v>
      </c>
    </row>
    <row r="315" spans="1:11" x14ac:dyDescent="0.3">
      <c r="A315" s="7">
        <v>4770</v>
      </c>
      <c r="B315">
        <v>3</v>
      </c>
      <c r="C315">
        <v>35</v>
      </c>
      <c r="D315">
        <v>1</v>
      </c>
      <c r="E315" t="s">
        <v>17</v>
      </c>
      <c r="F315" s="10">
        <f t="shared" si="24"/>
        <v>144</v>
      </c>
      <c r="G315" s="14">
        <f t="shared" si="25"/>
        <v>1669.5</v>
      </c>
      <c r="H315" s="7">
        <f t="shared" si="26"/>
        <v>4666</v>
      </c>
      <c r="I315" s="10">
        <f t="shared" si="27"/>
        <v>6583.5</v>
      </c>
      <c r="J315">
        <f t="shared" si="28"/>
        <v>0</v>
      </c>
      <c r="K315">
        <f t="shared" si="29"/>
        <v>0</v>
      </c>
    </row>
    <row r="316" spans="1:11" x14ac:dyDescent="0.3">
      <c r="A316" s="7">
        <v>377</v>
      </c>
      <c r="B316">
        <v>20</v>
      </c>
      <c r="C316">
        <v>25</v>
      </c>
      <c r="D316">
        <v>9</v>
      </c>
      <c r="E316" t="s">
        <v>18</v>
      </c>
      <c r="F316" s="10">
        <f t="shared" si="24"/>
        <v>76</v>
      </c>
      <c r="G316" s="14">
        <f t="shared" si="25"/>
        <v>94.25</v>
      </c>
      <c r="H316" s="7">
        <f t="shared" si="26"/>
        <v>518.44000000000005</v>
      </c>
      <c r="I316" s="10">
        <f t="shared" si="27"/>
        <v>547.25</v>
      </c>
      <c r="J316">
        <f t="shared" si="28"/>
        <v>0</v>
      </c>
      <c r="K316">
        <f t="shared" si="29"/>
        <v>0</v>
      </c>
    </row>
    <row r="317" spans="1:11" x14ac:dyDescent="0.3">
      <c r="A317" s="7">
        <v>6690</v>
      </c>
      <c r="B317">
        <v>2</v>
      </c>
      <c r="C317">
        <v>20</v>
      </c>
      <c r="D317">
        <v>1</v>
      </c>
      <c r="E317" t="s">
        <v>16</v>
      </c>
      <c r="F317" s="10">
        <f t="shared" si="24"/>
        <v>134</v>
      </c>
      <c r="G317" s="14">
        <f t="shared" si="25"/>
        <v>1338</v>
      </c>
      <c r="H317" s="7">
        <f t="shared" si="26"/>
        <v>4666</v>
      </c>
      <c r="I317" s="10">
        <f t="shared" si="27"/>
        <v>8162</v>
      </c>
      <c r="J317">
        <f t="shared" si="28"/>
        <v>0</v>
      </c>
      <c r="K317">
        <f t="shared" si="29"/>
        <v>0</v>
      </c>
    </row>
    <row r="318" spans="1:11" x14ac:dyDescent="0.3">
      <c r="A318" s="7">
        <v>2790</v>
      </c>
      <c r="B318">
        <v>16</v>
      </c>
      <c r="C318">
        <v>40</v>
      </c>
      <c r="D318">
        <v>1</v>
      </c>
      <c r="E318" t="s">
        <v>20</v>
      </c>
      <c r="F318" s="10">
        <f t="shared" si="24"/>
        <v>447</v>
      </c>
      <c r="G318" s="14">
        <f t="shared" si="25"/>
        <v>1116</v>
      </c>
      <c r="H318" s="7">
        <f t="shared" si="26"/>
        <v>4666</v>
      </c>
      <c r="I318" s="10">
        <f t="shared" si="27"/>
        <v>4353</v>
      </c>
      <c r="J318">
        <f t="shared" si="28"/>
        <v>1</v>
      </c>
      <c r="K318">
        <f t="shared" si="29"/>
        <v>313</v>
      </c>
    </row>
    <row r="319" spans="1:11" x14ac:dyDescent="0.3">
      <c r="A319" s="7">
        <v>6090</v>
      </c>
      <c r="B319">
        <v>17</v>
      </c>
      <c r="C319">
        <v>50</v>
      </c>
      <c r="D319">
        <v>1</v>
      </c>
      <c r="E319" t="s">
        <v>19</v>
      </c>
      <c r="F319" s="10">
        <f t="shared" si="24"/>
        <v>1036</v>
      </c>
      <c r="G319" s="14">
        <f t="shared" si="25"/>
        <v>3045</v>
      </c>
      <c r="H319" s="7">
        <f t="shared" si="26"/>
        <v>4666</v>
      </c>
      <c r="I319" s="10">
        <f t="shared" si="27"/>
        <v>10171</v>
      </c>
      <c r="J319">
        <f t="shared" si="28"/>
        <v>0</v>
      </c>
      <c r="K319">
        <f t="shared" si="29"/>
        <v>0</v>
      </c>
    </row>
    <row r="320" spans="1:11" x14ac:dyDescent="0.3">
      <c r="A320" s="7">
        <v>1158</v>
      </c>
      <c r="B320">
        <v>14</v>
      </c>
      <c r="C320">
        <v>40</v>
      </c>
      <c r="D320">
        <v>4</v>
      </c>
      <c r="E320" t="s">
        <v>18</v>
      </c>
      <c r="F320" s="10">
        <f t="shared" si="24"/>
        <v>163</v>
      </c>
      <c r="G320" s="14">
        <f t="shared" si="25"/>
        <v>463.2</v>
      </c>
      <c r="H320" s="7">
        <f t="shared" si="26"/>
        <v>1166.5</v>
      </c>
      <c r="I320" s="10">
        <f t="shared" si="27"/>
        <v>1784.2</v>
      </c>
      <c r="J320">
        <f t="shared" si="28"/>
        <v>0</v>
      </c>
      <c r="K320">
        <f t="shared" si="29"/>
        <v>0</v>
      </c>
    </row>
    <row r="321" spans="1:11" x14ac:dyDescent="0.3">
      <c r="A321" s="7">
        <v>5440</v>
      </c>
      <c r="B321">
        <v>6</v>
      </c>
      <c r="C321">
        <v>30</v>
      </c>
      <c r="D321">
        <v>1</v>
      </c>
      <c r="E321" t="s">
        <v>17</v>
      </c>
      <c r="F321" s="10">
        <f t="shared" si="24"/>
        <v>327</v>
      </c>
      <c r="G321" s="14">
        <f t="shared" si="25"/>
        <v>1632</v>
      </c>
      <c r="H321" s="7">
        <f t="shared" si="26"/>
        <v>4666</v>
      </c>
      <c r="I321" s="10">
        <f t="shared" si="27"/>
        <v>7399</v>
      </c>
      <c r="J321">
        <f t="shared" si="28"/>
        <v>0</v>
      </c>
      <c r="K321">
        <f t="shared" si="29"/>
        <v>0</v>
      </c>
    </row>
    <row r="322" spans="1:11" x14ac:dyDescent="0.3">
      <c r="A322" s="7">
        <v>471</v>
      </c>
      <c r="B322">
        <v>5</v>
      </c>
      <c r="C322">
        <v>35</v>
      </c>
      <c r="D322">
        <v>10</v>
      </c>
      <c r="E322" t="s">
        <v>20</v>
      </c>
      <c r="F322" s="10">
        <f t="shared" si="24"/>
        <v>24</v>
      </c>
      <c r="G322" s="14">
        <f t="shared" si="25"/>
        <v>164.85</v>
      </c>
      <c r="H322" s="7">
        <f t="shared" si="26"/>
        <v>466.6</v>
      </c>
      <c r="I322" s="10">
        <f t="shared" si="27"/>
        <v>659.85</v>
      </c>
      <c r="J322">
        <f t="shared" si="28"/>
        <v>0</v>
      </c>
      <c r="K322">
        <f t="shared" si="29"/>
        <v>0</v>
      </c>
    </row>
    <row r="323" spans="1:11" x14ac:dyDescent="0.3">
      <c r="A323" s="7">
        <v>340</v>
      </c>
      <c r="B323">
        <v>5</v>
      </c>
      <c r="C323">
        <v>10</v>
      </c>
      <c r="D323">
        <v>10</v>
      </c>
      <c r="E323" t="s">
        <v>15</v>
      </c>
      <c r="F323" s="10">
        <f t="shared" ref="F323:F386" si="30">ROUNDUP(0.01*B323*A323,0)</f>
        <v>17</v>
      </c>
      <c r="G323" s="14">
        <f t="shared" ref="G323:G386" si="31">ROUND(C323/100*A323,2)</f>
        <v>34</v>
      </c>
      <c r="H323" s="7">
        <f t="shared" ref="H323:H386" si="32">ROUND(4666/D323:D822,2)</f>
        <v>466.6</v>
      </c>
      <c r="I323" s="10">
        <f t="shared" ref="I323:I386" si="33">G323+A323+F323</f>
        <v>391</v>
      </c>
      <c r="J323">
        <f t="shared" ref="J323:J386" si="34">IF(H323&gt;I323,1,0)</f>
        <v>1</v>
      </c>
      <c r="K323">
        <f t="shared" ref="K323:K386" si="35">IF(J323=1,H323-I323,0)</f>
        <v>75.600000000000023</v>
      </c>
    </row>
    <row r="324" spans="1:11" x14ac:dyDescent="0.3">
      <c r="A324" s="7">
        <v>1825</v>
      </c>
      <c r="B324">
        <v>19</v>
      </c>
      <c r="C324">
        <v>15</v>
      </c>
      <c r="D324">
        <v>2</v>
      </c>
      <c r="E324" t="s">
        <v>16</v>
      </c>
      <c r="F324" s="10">
        <f t="shared" si="30"/>
        <v>347</v>
      </c>
      <c r="G324" s="14">
        <f t="shared" si="31"/>
        <v>273.75</v>
      </c>
      <c r="H324" s="7">
        <f t="shared" si="32"/>
        <v>2333</v>
      </c>
      <c r="I324" s="10">
        <f t="shared" si="33"/>
        <v>2445.75</v>
      </c>
      <c r="J324">
        <f t="shared" si="34"/>
        <v>0</v>
      </c>
      <c r="K324">
        <f t="shared" si="35"/>
        <v>0</v>
      </c>
    </row>
    <row r="325" spans="1:11" x14ac:dyDescent="0.3">
      <c r="A325" s="7">
        <v>1510</v>
      </c>
      <c r="B325">
        <v>10</v>
      </c>
      <c r="C325">
        <v>20</v>
      </c>
      <c r="D325">
        <v>2</v>
      </c>
      <c r="E325" t="s">
        <v>15</v>
      </c>
      <c r="F325" s="10">
        <f t="shared" si="30"/>
        <v>151</v>
      </c>
      <c r="G325" s="14">
        <f t="shared" si="31"/>
        <v>302</v>
      </c>
      <c r="H325" s="7">
        <f t="shared" si="32"/>
        <v>2333</v>
      </c>
      <c r="I325" s="10">
        <f t="shared" si="33"/>
        <v>1963</v>
      </c>
      <c r="J325">
        <f t="shared" si="34"/>
        <v>1</v>
      </c>
      <c r="K325">
        <f t="shared" si="35"/>
        <v>370</v>
      </c>
    </row>
    <row r="326" spans="1:11" x14ac:dyDescent="0.3">
      <c r="A326" s="7">
        <v>1175</v>
      </c>
      <c r="B326">
        <v>14</v>
      </c>
      <c r="C326">
        <v>30</v>
      </c>
      <c r="D326">
        <v>4</v>
      </c>
      <c r="E326" t="s">
        <v>17</v>
      </c>
      <c r="F326" s="10">
        <f t="shared" si="30"/>
        <v>165</v>
      </c>
      <c r="G326" s="14">
        <f t="shared" si="31"/>
        <v>352.5</v>
      </c>
      <c r="H326" s="7">
        <f t="shared" si="32"/>
        <v>1166.5</v>
      </c>
      <c r="I326" s="10">
        <f t="shared" si="33"/>
        <v>1692.5</v>
      </c>
      <c r="J326">
        <f t="shared" si="34"/>
        <v>0</v>
      </c>
      <c r="K326">
        <f t="shared" si="35"/>
        <v>0</v>
      </c>
    </row>
    <row r="327" spans="1:11" x14ac:dyDescent="0.3">
      <c r="A327" s="7">
        <v>3780</v>
      </c>
      <c r="B327">
        <v>19</v>
      </c>
      <c r="C327">
        <v>15</v>
      </c>
      <c r="D327">
        <v>1</v>
      </c>
      <c r="E327" t="s">
        <v>18</v>
      </c>
      <c r="F327" s="10">
        <f t="shared" si="30"/>
        <v>719</v>
      </c>
      <c r="G327" s="14">
        <f t="shared" si="31"/>
        <v>567</v>
      </c>
      <c r="H327" s="7">
        <f t="shared" si="32"/>
        <v>4666</v>
      </c>
      <c r="I327" s="10">
        <f t="shared" si="33"/>
        <v>5066</v>
      </c>
      <c r="J327">
        <f t="shared" si="34"/>
        <v>0</v>
      </c>
      <c r="K327">
        <f t="shared" si="35"/>
        <v>0</v>
      </c>
    </row>
    <row r="328" spans="1:11" x14ac:dyDescent="0.3">
      <c r="A328" s="7">
        <v>2915</v>
      </c>
      <c r="B328">
        <v>15</v>
      </c>
      <c r="C328">
        <v>45</v>
      </c>
      <c r="D328">
        <v>2</v>
      </c>
      <c r="E328" t="s">
        <v>20</v>
      </c>
      <c r="F328" s="10">
        <f t="shared" si="30"/>
        <v>438</v>
      </c>
      <c r="G328" s="14">
        <f t="shared" si="31"/>
        <v>1311.75</v>
      </c>
      <c r="H328" s="7">
        <f t="shared" si="32"/>
        <v>2333</v>
      </c>
      <c r="I328" s="10">
        <f t="shared" si="33"/>
        <v>4664.75</v>
      </c>
      <c r="J328">
        <f t="shared" si="34"/>
        <v>0</v>
      </c>
      <c r="K328">
        <f t="shared" si="35"/>
        <v>0</v>
      </c>
    </row>
    <row r="329" spans="1:11" x14ac:dyDescent="0.3">
      <c r="A329" s="7">
        <v>4220</v>
      </c>
      <c r="B329">
        <v>6</v>
      </c>
      <c r="C329">
        <v>50</v>
      </c>
      <c r="D329">
        <v>1</v>
      </c>
      <c r="E329" t="s">
        <v>17</v>
      </c>
      <c r="F329" s="10">
        <f t="shared" si="30"/>
        <v>254</v>
      </c>
      <c r="G329" s="14">
        <f t="shared" si="31"/>
        <v>2110</v>
      </c>
      <c r="H329" s="7">
        <f t="shared" si="32"/>
        <v>4666</v>
      </c>
      <c r="I329" s="10">
        <f t="shared" si="33"/>
        <v>6584</v>
      </c>
      <c r="J329">
        <f t="shared" si="34"/>
        <v>0</v>
      </c>
      <c r="K329">
        <f t="shared" si="35"/>
        <v>0</v>
      </c>
    </row>
    <row r="330" spans="1:11" x14ac:dyDescent="0.3">
      <c r="A330" s="7">
        <v>552</v>
      </c>
      <c r="B330">
        <v>18</v>
      </c>
      <c r="C330">
        <v>25</v>
      </c>
      <c r="D330">
        <v>5</v>
      </c>
      <c r="E330" t="s">
        <v>19</v>
      </c>
      <c r="F330" s="10">
        <f t="shared" si="30"/>
        <v>100</v>
      </c>
      <c r="G330" s="14">
        <f t="shared" si="31"/>
        <v>138</v>
      </c>
      <c r="H330" s="7">
        <f t="shared" si="32"/>
        <v>933.2</v>
      </c>
      <c r="I330" s="10">
        <f t="shared" si="33"/>
        <v>790</v>
      </c>
      <c r="J330">
        <f t="shared" si="34"/>
        <v>1</v>
      </c>
      <c r="K330">
        <f t="shared" si="35"/>
        <v>143.20000000000005</v>
      </c>
    </row>
    <row r="331" spans="1:11" x14ac:dyDescent="0.3">
      <c r="A331" s="7">
        <v>6160</v>
      </c>
      <c r="B331">
        <v>5</v>
      </c>
      <c r="C331">
        <v>20</v>
      </c>
      <c r="D331">
        <v>1</v>
      </c>
      <c r="E331" t="s">
        <v>20</v>
      </c>
      <c r="F331" s="10">
        <f t="shared" si="30"/>
        <v>308</v>
      </c>
      <c r="G331" s="14">
        <f t="shared" si="31"/>
        <v>1232</v>
      </c>
      <c r="H331" s="7">
        <f t="shared" si="32"/>
        <v>4666</v>
      </c>
      <c r="I331" s="10">
        <f t="shared" si="33"/>
        <v>7700</v>
      </c>
      <c r="J331">
        <f t="shared" si="34"/>
        <v>0</v>
      </c>
      <c r="K331">
        <f t="shared" si="35"/>
        <v>0</v>
      </c>
    </row>
    <row r="332" spans="1:11" x14ac:dyDescent="0.3">
      <c r="A332" s="7">
        <v>1437</v>
      </c>
      <c r="B332">
        <v>9</v>
      </c>
      <c r="C332">
        <v>40</v>
      </c>
      <c r="D332">
        <v>3</v>
      </c>
      <c r="E332" t="s">
        <v>20</v>
      </c>
      <c r="F332" s="10">
        <f t="shared" si="30"/>
        <v>130</v>
      </c>
      <c r="G332" s="14">
        <f t="shared" si="31"/>
        <v>574.79999999999995</v>
      </c>
      <c r="H332" s="7">
        <f t="shared" si="32"/>
        <v>1555.33</v>
      </c>
      <c r="I332" s="10">
        <f t="shared" si="33"/>
        <v>2141.8000000000002</v>
      </c>
      <c r="J332">
        <f t="shared" si="34"/>
        <v>0</v>
      </c>
      <c r="K332">
        <f t="shared" si="35"/>
        <v>0</v>
      </c>
    </row>
    <row r="333" spans="1:11" x14ac:dyDescent="0.3">
      <c r="A333" s="7">
        <v>952</v>
      </c>
      <c r="B333">
        <v>5</v>
      </c>
      <c r="C333">
        <v>45</v>
      </c>
      <c r="D333">
        <v>6</v>
      </c>
      <c r="E333" t="s">
        <v>19</v>
      </c>
      <c r="F333" s="10">
        <f t="shared" si="30"/>
        <v>48</v>
      </c>
      <c r="G333" s="14">
        <f t="shared" si="31"/>
        <v>428.4</v>
      </c>
      <c r="H333" s="7">
        <f t="shared" si="32"/>
        <v>777.67</v>
      </c>
      <c r="I333" s="10">
        <f t="shared" si="33"/>
        <v>1428.4</v>
      </c>
      <c r="J333">
        <f t="shared" si="34"/>
        <v>0</v>
      </c>
      <c r="K333">
        <f t="shared" si="35"/>
        <v>0</v>
      </c>
    </row>
    <row r="334" spans="1:11" x14ac:dyDescent="0.3">
      <c r="A334" s="7">
        <v>404</v>
      </c>
      <c r="B334">
        <v>14</v>
      </c>
      <c r="C334">
        <v>20</v>
      </c>
      <c r="D334">
        <v>8</v>
      </c>
      <c r="E334" t="s">
        <v>18</v>
      </c>
      <c r="F334" s="10">
        <f t="shared" si="30"/>
        <v>57</v>
      </c>
      <c r="G334" s="14">
        <f t="shared" si="31"/>
        <v>80.8</v>
      </c>
      <c r="H334" s="7">
        <f t="shared" si="32"/>
        <v>583.25</v>
      </c>
      <c r="I334" s="10">
        <f t="shared" si="33"/>
        <v>541.79999999999995</v>
      </c>
      <c r="J334">
        <f t="shared" si="34"/>
        <v>1</v>
      </c>
      <c r="K334">
        <f t="shared" si="35"/>
        <v>41.450000000000045</v>
      </c>
    </row>
    <row r="335" spans="1:11" x14ac:dyDescent="0.3">
      <c r="A335" s="7">
        <v>828</v>
      </c>
      <c r="B335">
        <v>11</v>
      </c>
      <c r="C335">
        <v>40</v>
      </c>
      <c r="D335">
        <v>5</v>
      </c>
      <c r="E335" t="s">
        <v>15</v>
      </c>
      <c r="F335" s="10">
        <f t="shared" si="30"/>
        <v>92</v>
      </c>
      <c r="G335" s="14">
        <f t="shared" si="31"/>
        <v>331.2</v>
      </c>
      <c r="H335" s="7">
        <f t="shared" si="32"/>
        <v>933.2</v>
      </c>
      <c r="I335" s="10">
        <f t="shared" si="33"/>
        <v>1251.2</v>
      </c>
      <c r="J335">
        <f t="shared" si="34"/>
        <v>0</v>
      </c>
      <c r="K335">
        <f t="shared" si="35"/>
        <v>0</v>
      </c>
    </row>
    <row r="336" spans="1:11" x14ac:dyDescent="0.3">
      <c r="A336" s="7">
        <v>906</v>
      </c>
      <c r="B336">
        <v>17</v>
      </c>
      <c r="C336">
        <v>35</v>
      </c>
      <c r="D336">
        <v>7</v>
      </c>
      <c r="E336" t="s">
        <v>20</v>
      </c>
      <c r="F336" s="10">
        <f t="shared" si="30"/>
        <v>155</v>
      </c>
      <c r="G336" s="14">
        <f t="shared" si="31"/>
        <v>317.10000000000002</v>
      </c>
      <c r="H336" s="7">
        <f t="shared" si="32"/>
        <v>666.57</v>
      </c>
      <c r="I336" s="10">
        <f t="shared" si="33"/>
        <v>1378.1</v>
      </c>
      <c r="J336">
        <f t="shared" si="34"/>
        <v>0</v>
      </c>
      <c r="K336">
        <f t="shared" si="35"/>
        <v>0</v>
      </c>
    </row>
    <row r="337" spans="1:11" x14ac:dyDescent="0.3">
      <c r="A337" s="7">
        <v>981</v>
      </c>
      <c r="B337">
        <v>11</v>
      </c>
      <c r="C337">
        <v>0</v>
      </c>
      <c r="D337">
        <v>7</v>
      </c>
      <c r="E337" t="s">
        <v>18</v>
      </c>
      <c r="F337" s="10">
        <f t="shared" si="30"/>
        <v>108</v>
      </c>
      <c r="G337" s="14">
        <f t="shared" si="31"/>
        <v>0</v>
      </c>
      <c r="H337" s="7">
        <f t="shared" si="32"/>
        <v>666.57</v>
      </c>
      <c r="I337" s="10">
        <f t="shared" si="33"/>
        <v>1089</v>
      </c>
      <c r="J337">
        <f t="shared" si="34"/>
        <v>0</v>
      </c>
      <c r="K337">
        <f t="shared" si="35"/>
        <v>0</v>
      </c>
    </row>
    <row r="338" spans="1:11" x14ac:dyDescent="0.3">
      <c r="A338" s="7">
        <v>1510</v>
      </c>
      <c r="B338">
        <v>20</v>
      </c>
      <c r="C338">
        <v>10</v>
      </c>
      <c r="D338">
        <v>3</v>
      </c>
      <c r="E338" t="s">
        <v>20</v>
      </c>
      <c r="F338" s="10">
        <f t="shared" si="30"/>
        <v>302</v>
      </c>
      <c r="G338" s="14">
        <f t="shared" si="31"/>
        <v>151</v>
      </c>
      <c r="H338" s="7">
        <f t="shared" si="32"/>
        <v>1555.33</v>
      </c>
      <c r="I338" s="10">
        <f t="shared" si="33"/>
        <v>1963</v>
      </c>
      <c r="J338">
        <f t="shared" si="34"/>
        <v>0</v>
      </c>
      <c r="K338">
        <f t="shared" si="35"/>
        <v>0</v>
      </c>
    </row>
    <row r="339" spans="1:11" x14ac:dyDescent="0.3">
      <c r="A339" s="7">
        <v>1563</v>
      </c>
      <c r="B339">
        <v>13</v>
      </c>
      <c r="C339">
        <v>35</v>
      </c>
      <c r="D339">
        <v>4</v>
      </c>
      <c r="E339" t="s">
        <v>19</v>
      </c>
      <c r="F339" s="10">
        <f t="shared" si="30"/>
        <v>204</v>
      </c>
      <c r="G339" s="14">
        <f t="shared" si="31"/>
        <v>547.04999999999995</v>
      </c>
      <c r="H339" s="7">
        <f t="shared" si="32"/>
        <v>1166.5</v>
      </c>
      <c r="I339" s="10">
        <f t="shared" si="33"/>
        <v>2314.0500000000002</v>
      </c>
      <c r="J339">
        <f t="shared" si="34"/>
        <v>0</v>
      </c>
      <c r="K339">
        <f t="shared" si="35"/>
        <v>0</v>
      </c>
    </row>
    <row r="340" spans="1:11" x14ac:dyDescent="0.3">
      <c r="A340" s="7">
        <v>531</v>
      </c>
      <c r="B340">
        <v>19</v>
      </c>
      <c r="C340">
        <v>10</v>
      </c>
      <c r="D340">
        <v>7</v>
      </c>
      <c r="E340" t="s">
        <v>17</v>
      </c>
      <c r="F340" s="10">
        <f t="shared" si="30"/>
        <v>101</v>
      </c>
      <c r="G340" s="14">
        <f t="shared" si="31"/>
        <v>53.1</v>
      </c>
      <c r="H340" s="7">
        <f t="shared" si="32"/>
        <v>666.57</v>
      </c>
      <c r="I340" s="10">
        <f t="shared" si="33"/>
        <v>685.1</v>
      </c>
      <c r="J340">
        <f t="shared" si="34"/>
        <v>0</v>
      </c>
      <c r="K340">
        <f t="shared" si="35"/>
        <v>0</v>
      </c>
    </row>
    <row r="341" spans="1:11" x14ac:dyDescent="0.3">
      <c r="A341" s="7">
        <v>839</v>
      </c>
      <c r="B341">
        <v>11</v>
      </c>
      <c r="C341">
        <v>20</v>
      </c>
      <c r="D341">
        <v>8</v>
      </c>
      <c r="E341" t="s">
        <v>16</v>
      </c>
      <c r="F341" s="10">
        <f t="shared" si="30"/>
        <v>93</v>
      </c>
      <c r="G341" s="14">
        <f t="shared" si="31"/>
        <v>167.8</v>
      </c>
      <c r="H341" s="7">
        <f t="shared" si="32"/>
        <v>583.25</v>
      </c>
      <c r="I341" s="10">
        <f t="shared" si="33"/>
        <v>1099.8</v>
      </c>
      <c r="J341">
        <f t="shared" si="34"/>
        <v>0</v>
      </c>
      <c r="K341">
        <f t="shared" si="35"/>
        <v>0</v>
      </c>
    </row>
    <row r="342" spans="1:11" x14ac:dyDescent="0.3">
      <c r="A342" s="7">
        <v>3650</v>
      </c>
      <c r="B342">
        <v>6</v>
      </c>
      <c r="C342">
        <v>5</v>
      </c>
      <c r="D342">
        <v>1</v>
      </c>
      <c r="E342" t="s">
        <v>17</v>
      </c>
      <c r="F342" s="10">
        <f t="shared" si="30"/>
        <v>219</v>
      </c>
      <c r="G342" s="14">
        <f t="shared" si="31"/>
        <v>182.5</v>
      </c>
      <c r="H342" s="7">
        <f t="shared" si="32"/>
        <v>4666</v>
      </c>
      <c r="I342" s="10">
        <f t="shared" si="33"/>
        <v>4051.5</v>
      </c>
      <c r="J342">
        <f t="shared" si="34"/>
        <v>1</v>
      </c>
      <c r="K342">
        <f t="shared" si="35"/>
        <v>614.5</v>
      </c>
    </row>
    <row r="343" spans="1:11" x14ac:dyDescent="0.3">
      <c r="A343" s="7">
        <v>1100</v>
      </c>
      <c r="B343">
        <v>4</v>
      </c>
      <c r="C343">
        <v>5</v>
      </c>
      <c r="D343">
        <v>4</v>
      </c>
      <c r="E343" t="s">
        <v>15</v>
      </c>
      <c r="F343" s="10">
        <f t="shared" si="30"/>
        <v>44</v>
      </c>
      <c r="G343" s="14">
        <f t="shared" si="31"/>
        <v>55</v>
      </c>
      <c r="H343" s="7">
        <f t="shared" si="32"/>
        <v>1166.5</v>
      </c>
      <c r="I343" s="10">
        <f t="shared" si="33"/>
        <v>1199</v>
      </c>
      <c r="J343">
        <f t="shared" si="34"/>
        <v>0</v>
      </c>
      <c r="K343">
        <f t="shared" si="35"/>
        <v>0</v>
      </c>
    </row>
    <row r="344" spans="1:11" x14ac:dyDescent="0.3">
      <c r="A344" s="7">
        <v>584</v>
      </c>
      <c r="B344">
        <v>6</v>
      </c>
      <c r="C344">
        <v>10</v>
      </c>
      <c r="D344">
        <v>8</v>
      </c>
      <c r="E344" t="s">
        <v>16</v>
      </c>
      <c r="F344" s="10">
        <f t="shared" si="30"/>
        <v>36</v>
      </c>
      <c r="G344" s="14">
        <f t="shared" si="31"/>
        <v>58.4</v>
      </c>
      <c r="H344" s="7">
        <f t="shared" si="32"/>
        <v>583.25</v>
      </c>
      <c r="I344" s="10">
        <f t="shared" si="33"/>
        <v>678.4</v>
      </c>
      <c r="J344">
        <f t="shared" si="34"/>
        <v>0</v>
      </c>
      <c r="K344">
        <f t="shared" si="35"/>
        <v>0</v>
      </c>
    </row>
    <row r="345" spans="1:11" x14ac:dyDescent="0.3">
      <c r="A345" s="7">
        <v>5250</v>
      </c>
      <c r="B345">
        <v>16</v>
      </c>
      <c r="C345">
        <v>20</v>
      </c>
      <c r="D345">
        <v>1</v>
      </c>
      <c r="E345" t="s">
        <v>21</v>
      </c>
      <c r="F345" s="10">
        <f t="shared" si="30"/>
        <v>840</v>
      </c>
      <c r="G345" s="14">
        <f t="shared" si="31"/>
        <v>1050</v>
      </c>
      <c r="H345" s="7">
        <f t="shared" si="32"/>
        <v>4666</v>
      </c>
      <c r="I345" s="10">
        <f t="shared" si="33"/>
        <v>7140</v>
      </c>
      <c r="J345">
        <f t="shared" si="34"/>
        <v>0</v>
      </c>
      <c r="K345">
        <f t="shared" si="35"/>
        <v>0</v>
      </c>
    </row>
    <row r="346" spans="1:11" x14ac:dyDescent="0.3">
      <c r="A346" s="7">
        <v>905</v>
      </c>
      <c r="B346">
        <v>11</v>
      </c>
      <c r="C346">
        <v>15</v>
      </c>
      <c r="D346">
        <v>4</v>
      </c>
      <c r="E346" t="s">
        <v>21</v>
      </c>
      <c r="F346" s="10">
        <f t="shared" si="30"/>
        <v>100</v>
      </c>
      <c r="G346" s="14">
        <f t="shared" si="31"/>
        <v>135.75</v>
      </c>
      <c r="H346" s="7">
        <f t="shared" si="32"/>
        <v>1166.5</v>
      </c>
      <c r="I346" s="10">
        <f t="shared" si="33"/>
        <v>1140.75</v>
      </c>
      <c r="J346">
        <f t="shared" si="34"/>
        <v>1</v>
      </c>
      <c r="K346">
        <f t="shared" si="35"/>
        <v>25.75</v>
      </c>
    </row>
    <row r="347" spans="1:11" x14ac:dyDescent="0.3">
      <c r="A347" s="7">
        <v>3800</v>
      </c>
      <c r="B347">
        <v>9</v>
      </c>
      <c r="C347">
        <v>35</v>
      </c>
      <c r="D347">
        <v>1</v>
      </c>
      <c r="E347" t="s">
        <v>19</v>
      </c>
      <c r="F347" s="10">
        <f t="shared" si="30"/>
        <v>342</v>
      </c>
      <c r="G347" s="14">
        <f t="shared" si="31"/>
        <v>1330</v>
      </c>
      <c r="H347" s="7">
        <f t="shared" si="32"/>
        <v>4666</v>
      </c>
      <c r="I347" s="10">
        <f t="shared" si="33"/>
        <v>5472</v>
      </c>
      <c r="J347">
        <f t="shared" si="34"/>
        <v>0</v>
      </c>
      <c r="K347">
        <f t="shared" si="35"/>
        <v>0</v>
      </c>
    </row>
    <row r="348" spans="1:11" x14ac:dyDescent="0.3">
      <c r="A348" s="7">
        <v>2095</v>
      </c>
      <c r="B348">
        <v>9</v>
      </c>
      <c r="C348">
        <v>35</v>
      </c>
      <c r="D348">
        <v>2</v>
      </c>
      <c r="E348" t="s">
        <v>21</v>
      </c>
      <c r="F348" s="10">
        <f t="shared" si="30"/>
        <v>189</v>
      </c>
      <c r="G348" s="14">
        <f t="shared" si="31"/>
        <v>733.25</v>
      </c>
      <c r="H348" s="7">
        <f t="shared" si="32"/>
        <v>2333</v>
      </c>
      <c r="I348" s="10">
        <f t="shared" si="33"/>
        <v>3017.25</v>
      </c>
      <c r="J348">
        <f t="shared" si="34"/>
        <v>0</v>
      </c>
      <c r="K348">
        <f t="shared" si="35"/>
        <v>0</v>
      </c>
    </row>
    <row r="349" spans="1:11" x14ac:dyDescent="0.3">
      <c r="A349" s="7">
        <v>6890</v>
      </c>
      <c r="B349">
        <v>19</v>
      </c>
      <c r="C349">
        <v>0</v>
      </c>
      <c r="D349">
        <v>1</v>
      </c>
      <c r="E349" t="s">
        <v>15</v>
      </c>
      <c r="F349" s="10">
        <f t="shared" si="30"/>
        <v>1310</v>
      </c>
      <c r="G349" s="14">
        <f t="shared" si="31"/>
        <v>0</v>
      </c>
      <c r="H349" s="7">
        <f t="shared" si="32"/>
        <v>4666</v>
      </c>
      <c r="I349" s="10">
        <f t="shared" si="33"/>
        <v>8200</v>
      </c>
      <c r="J349">
        <f t="shared" si="34"/>
        <v>0</v>
      </c>
      <c r="K349">
        <f t="shared" si="35"/>
        <v>0</v>
      </c>
    </row>
    <row r="350" spans="1:11" x14ac:dyDescent="0.3">
      <c r="A350" s="7">
        <v>1117</v>
      </c>
      <c r="B350">
        <v>10</v>
      </c>
      <c r="C350">
        <v>45</v>
      </c>
      <c r="D350">
        <v>3</v>
      </c>
      <c r="E350" t="s">
        <v>19</v>
      </c>
      <c r="F350" s="10">
        <f t="shared" si="30"/>
        <v>112</v>
      </c>
      <c r="G350" s="14">
        <f t="shared" si="31"/>
        <v>502.65</v>
      </c>
      <c r="H350" s="7">
        <f t="shared" si="32"/>
        <v>1555.33</v>
      </c>
      <c r="I350" s="10">
        <f t="shared" si="33"/>
        <v>1731.65</v>
      </c>
      <c r="J350">
        <f t="shared" si="34"/>
        <v>0</v>
      </c>
      <c r="K350">
        <f t="shared" si="35"/>
        <v>0</v>
      </c>
    </row>
    <row r="351" spans="1:11" x14ac:dyDescent="0.3">
      <c r="A351" s="7">
        <v>5900</v>
      </c>
      <c r="B351">
        <v>11</v>
      </c>
      <c r="C351">
        <v>15</v>
      </c>
      <c r="D351">
        <v>1</v>
      </c>
      <c r="E351" t="s">
        <v>17</v>
      </c>
      <c r="F351" s="10">
        <f t="shared" si="30"/>
        <v>649</v>
      </c>
      <c r="G351" s="14">
        <f t="shared" si="31"/>
        <v>885</v>
      </c>
      <c r="H351" s="7">
        <f t="shared" si="32"/>
        <v>4666</v>
      </c>
      <c r="I351" s="10">
        <f t="shared" si="33"/>
        <v>7434</v>
      </c>
      <c r="J351">
        <f t="shared" si="34"/>
        <v>0</v>
      </c>
      <c r="K351">
        <f t="shared" si="35"/>
        <v>0</v>
      </c>
    </row>
    <row r="352" spans="1:11" x14ac:dyDescent="0.3">
      <c r="A352" s="7">
        <v>3240</v>
      </c>
      <c r="B352">
        <v>18</v>
      </c>
      <c r="C352">
        <v>15</v>
      </c>
      <c r="D352">
        <v>2</v>
      </c>
      <c r="E352" t="s">
        <v>19</v>
      </c>
      <c r="F352" s="10">
        <f t="shared" si="30"/>
        <v>584</v>
      </c>
      <c r="G352" s="14">
        <f t="shared" si="31"/>
        <v>486</v>
      </c>
      <c r="H352" s="7">
        <f t="shared" si="32"/>
        <v>2333</v>
      </c>
      <c r="I352" s="10">
        <f t="shared" si="33"/>
        <v>4310</v>
      </c>
      <c r="J352">
        <f t="shared" si="34"/>
        <v>0</v>
      </c>
      <c r="K352">
        <f t="shared" si="35"/>
        <v>0</v>
      </c>
    </row>
    <row r="353" spans="1:11" x14ac:dyDescent="0.3">
      <c r="A353" s="7">
        <v>1530</v>
      </c>
      <c r="B353">
        <v>6</v>
      </c>
      <c r="C353">
        <v>0</v>
      </c>
      <c r="D353">
        <v>3</v>
      </c>
      <c r="E353" t="s">
        <v>15</v>
      </c>
      <c r="F353" s="10">
        <f t="shared" si="30"/>
        <v>92</v>
      </c>
      <c r="G353" s="14">
        <f t="shared" si="31"/>
        <v>0</v>
      </c>
      <c r="H353" s="7">
        <f t="shared" si="32"/>
        <v>1555.33</v>
      </c>
      <c r="I353" s="10">
        <f t="shared" si="33"/>
        <v>1622</v>
      </c>
      <c r="J353">
        <f t="shared" si="34"/>
        <v>0</v>
      </c>
      <c r="K353">
        <f t="shared" si="35"/>
        <v>0</v>
      </c>
    </row>
    <row r="354" spans="1:11" x14ac:dyDescent="0.3">
      <c r="A354" s="7">
        <v>388</v>
      </c>
      <c r="B354">
        <v>18</v>
      </c>
      <c r="C354">
        <v>30</v>
      </c>
      <c r="D354">
        <v>8</v>
      </c>
      <c r="E354" t="s">
        <v>16</v>
      </c>
      <c r="F354" s="10">
        <f t="shared" si="30"/>
        <v>70</v>
      </c>
      <c r="G354" s="14">
        <f t="shared" si="31"/>
        <v>116.4</v>
      </c>
      <c r="H354" s="7">
        <f t="shared" si="32"/>
        <v>583.25</v>
      </c>
      <c r="I354" s="10">
        <f t="shared" si="33"/>
        <v>574.4</v>
      </c>
      <c r="J354">
        <f t="shared" si="34"/>
        <v>1</v>
      </c>
      <c r="K354">
        <f t="shared" si="35"/>
        <v>8.8500000000000227</v>
      </c>
    </row>
    <row r="355" spans="1:11" x14ac:dyDescent="0.3">
      <c r="A355" s="7">
        <v>3360</v>
      </c>
      <c r="B355">
        <v>3</v>
      </c>
      <c r="C355">
        <v>30</v>
      </c>
      <c r="D355">
        <v>1</v>
      </c>
      <c r="E355" t="s">
        <v>19</v>
      </c>
      <c r="F355" s="10">
        <f t="shared" si="30"/>
        <v>101</v>
      </c>
      <c r="G355" s="14">
        <f t="shared" si="31"/>
        <v>1008</v>
      </c>
      <c r="H355" s="7">
        <f t="shared" si="32"/>
        <v>4666</v>
      </c>
      <c r="I355" s="10">
        <f t="shared" si="33"/>
        <v>4469</v>
      </c>
      <c r="J355">
        <f t="shared" si="34"/>
        <v>1</v>
      </c>
      <c r="K355">
        <f t="shared" si="35"/>
        <v>197</v>
      </c>
    </row>
    <row r="356" spans="1:11" x14ac:dyDescent="0.3">
      <c r="A356" s="7">
        <v>608</v>
      </c>
      <c r="B356">
        <v>19</v>
      </c>
      <c r="C356">
        <v>10</v>
      </c>
      <c r="D356">
        <v>9</v>
      </c>
      <c r="E356" t="s">
        <v>20</v>
      </c>
      <c r="F356" s="10">
        <f t="shared" si="30"/>
        <v>116</v>
      </c>
      <c r="G356" s="14">
        <f t="shared" si="31"/>
        <v>60.8</v>
      </c>
      <c r="H356" s="7">
        <f t="shared" si="32"/>
        <v>518.44000000000005</v>
      </c>
      <c r="I356" s="10">
        <f t="shared" si="33"/>
        <v>784.8</v>
      </c>
      <c r="J356">
        <f t="shared" si="34"/>
        <v>0</v>
      </c>
      <c r="K356">
        <f t="shared" si="35"/>
        <v>0</v>
      </c>
    </row>
    <row r="357" spans="1:11" x14ac:dyDescent="0.3">
      <c r="A357" s="7">
        <v>904</v>
      </c>
      <c r="B357">
        <v>9</v>
      </c>
      <c r="C357">
        <v>25</v>
      </c>
      <c r="D357">
        <v>7</v>
      </c>
      <c r="E357" t="s">
        <v>16</v>
      </c>
      <c r="F357" s="10">
        <f t="shared" si="30"/>
        <v>82</v>
      </c>
      <c r="G357" s="14">
        <f t="shared" si="31"/>
        <v>226</v>
      </c>
      <c r="H357" s="7">
        <f t="shared" si="32"/>
        <v>666.57</v>
      </c>
      <c r="I357" s="10">
        <f t="shared" si="33"/>
        <v>1212</v>
      </c>
      <c r="J357">
        <f t="shared" si="34"/>
        <v>0</v>
      </c>
      <c r="K357">
        <f t="shared" si="35"/>
        <v>0</v>
      </c>
    </row>
    <row r="358" spans="1:11" x14ac:dyDescent="0.3">
      <c r="A358" s="7">
        <v>1028</v>
      </c>
      <c r="B358">
        <v>11</v>
      </c>
      <c r="C358">
        <v>5</v>
      </c>
      <c r="D358">
        <v>6</v>
      </c>
      <c r="E358" t="s">
        <v>17</v>
      </c>
      <c r="F358" s="10">
        <f t="shared" si="30"/>
        <v>114</v>
      </c>
      <c r="G358" s="14">
        <f t="shared" si="31"/>
        <v>51.4</v>
      </c>
      <c r="H358" s="7">
        <f t="shared" si="32"/>
        <v>777.67</v>
      </c>
      <c r="I358" s="10">
        <f t="shared" si="33"/>
        <v>1193.4000000000001</v>
      </c>
      <c r="J358">
        <f t="shared" si="34"/>
        <v>0</v>
      </c>
      <c r="K358">
        <f t="shared" si="35"/>
        <v>0</v>
      </c>
    </row>
    <row r="359" spans="1:11" x14ac:dyDescent="0.3">
      <c r="A359" s="7">
        <v>6790</v>
      </c>
      <c r="B359">
        <v>5</v>
      </c>
      <c r="C359">
        <v>10</v>
      </c>
      <c r="D359">
        <v>1</v>
      </c>
      <c r="E359" t="s">
        <v>15</v>
      </c>
      <c r="F359" s="10">
        <f t="shared" si="30"/>
        <v>340</v>
      </c>
      <c r="G359" s="14">
        <f t="shared" si="31"/>
        <v>679</v>
      </c>
      <c r="H359" s="7">
        <f t="shared" si="32"/>
        <v>4666</v>
      </c>
      <c r="I359" s="10">
        <f t="shared" si="33"/>
        <v>7809</v>
      </c>
      <c r="J359">
        <f t="shared" si="34"/>
        <v>0</v>
      </c>
      <c r="K359">
        <f t="shared" si="35"/>
        <v>0</v>
      </c>
    </row>
    <row r="360" spans="1:11" x14ac:dyDescent="0.3">
      <c r="A360" s="7">
        <v>852</v>
      </c>
      <c r="B360">
        <v>18</v>
      </c>
      <c r="C360">
        <v>45</v>
      </c>
      <c r="D360">
        <v>5</v>
      </c>
      <c r="E360" t="s">
        <v>19</v>
      </c>
      <c r="F360" s="10">
        <f t="shared" si="30"/>
        <v>154</v>
      </c>
      <c r="G360" s="14">
        <f t="shared" si="31"/>
        <v>383.4</v>
      </c>
      <c r="H360" s="7">
        <f t="shared" si="32"/>
        <v>933.2</v>
      </c>
      <c r="I360" s="10">
        <f t="shared" si="33"/>
        <v>1389.4</v>
      </c>
      <c r="J360">
        <f t="shared" si="34"/>
        <v>0</v>
      </c>
      <c r="K360">
        <f t="shared" si="35"/>
        <v>0</v>
      </c>
    </row>
    <row r="361" spans="1:11" x14ac:dyDescent="0.3">
      <c r="A361" s="7">
        <v>918</v>
      </c>
      <c r="B361">
        <v>5</v>
      </c>
      <c r="C361">
        <v>10</v>
      </c>
      <c r="D361">
        <v>6</v>
      </c>
      <c r="E361" t="s">
        <v>21</v>
      </c>
      <c r="F361" s="10">
        <f t="shared" si="30"/>
        <v>46</v>
      </c>
      <c r="G361" s="14">
        <f t="shared" si="31"/>
        <v>91.8</v>
      </c>
      <c r="H361" s="7">
        <f t="shared" si="32"/>
        <v>777.67</v>
      </c>
      <c r="I361" s="10">
        <f t="shared" si="33"/>
        <v>1055.8</v>
      </c>
      <c r="J361">
        <f t="shared" si="34"/>
        <v>0</v>
      </c>
      <c r="K361">
        <f t="shared" si="35"/>
        <v>0</v>
      </c>
    </row>
    <row r="362" spans="1:11" x14ac:dyDescent="0.3">
      <c r="A362" s="7">
        <v>1527</v>
      </c>
      <c r="B362">
        <v>10</v>
      </c>
      <c r="C362">
        <v>45</v>
      </c>
      <c r="D362">
        <v>3</v>
      </c>
      <c r="E362" t="s">
        <v>16</v>
      </c>
      <c r="F362" s="10">
        <f t="shared" si="30"/>
        <v>153</v>
      </c>
      <c r="G362" s="14">
        <f t="shared" si="31"/>
        <v>687.15</v>
      </c>
      <c r="H362" s="7">
        <f t="shared" si="32"/>
        <v>1555.33</v>
      </c>
      <c r="I362" s="10">
        <f t="shared" si="33"/>
        <v>2367.15</v>
      </c>
      <c r="J362">
        <f t="shared" si="34"/>
        <v>0</v>
      </c>
      <c r="K362">
        <f t="shared" si="35"/>
        <v>0</v>
      </c>
    </row>
    <row r="363" spans="1:11" x14ac:dyDescent="0.3">
      <c r="A363" s="7">
        <v>6640</v>
      </c>
      <c r="B363">
        <v>18</v>
      </c>
      <c r="C363">
        <v>35</v>
      </c>
      <c r="D363">
        <v>1</v>
      </c>
      <c r="E363" t="s">
        <v>20</v>
      </c>
      <c r="F363" s="10">
        <f t="shared" si="30"/>
        <v>1196</v>
      </c>
      <c r="G363" s="14">
        <f t="shared" si="31"/>
        <v>2324</v>
      </c>
      <c r="H363" s="7">
        <f t="shared" si="32"/>
        <v>4666</v>
      </c>
      <c r="I363" s="10">
        <f t="shared" si="33"/>
        <v>10160</v>
      </c>
      <c r="J363">
        <f t="shared" si="34"/>
        <v>0</v>
      </c>
      <c r="K363">
        <f t="shared" si="35"/>
        <v>0</v>
      </c>
    </row>
    <row r="364" spans="1:11" x14ac:dyDescent="0.3">
      <c r="A364" s="7">
        <v>3200</v>
      </c>
      <c r="B364">
        <v>1</v>
      </c>
      <c r="C364">
        <v>25</v>
      </c>
      <c r="D364">
        <v>1</v>
      </c>
      <c r="E364" t="s">
        <v>21</v>
      </c>
      <c r="F364" s="10">
        <f t="shared" si="30"/>
        <v>32</v>
      </c>
      <c r="G364" s="14">
        <f t="shared" si="31"/>
        <v>800</v>
      </c>
      <c r="H364" s="7">
        <f t="shared" si="32"/>
        <v>4666</v>
      </c>
      <c r="I364" s="10">
        <f t="shared" si="33"/>
        <v>4032</v>
      </c>
      <c r="J364">
        <f t="shared" si="34"/>
        <v>1</v>
      </c>
      <c r="K364">
        <f t="shared" si="35"/>
        <v>634</v>
      </c>
    </row>
    <row r="365" spans="1:11" x14ac:dyDescent="0.3">
      <c r="A365" s="7">
        <v>6310</v>
      </c>
      <c r="B365">
        <v>6</v>
      </c>
      <c r="C365">
        <v>30</v>
      </c>
      <c r="D365">
        <v>1</v>
      </c>
      <c r="E365" t="s">
        <v>20</v>
      </c>
      <c r="F365" s="10">
        <f t="shared" si="30"/>
        <v>379</v>
      </c>
      <c r="G365" s="14">
        <f t="shared" si="31"/>
        <v>1893</v>
      </c>
      <c r="H365" s="7">
        <f t="shared" si="32"/>
        <v>4666</v>
      </c>
      <c r="I365" s="10">
        <f t="shared" si="33"/>
        <v>8582</v>
      </c>
      <c r="J365">
        <f t="shared" si="34"/>
        <v>0</v>
      </c>
      <c r="K365">
        <f t="shared" si="35"/>
        <v>0</v>
      </c>
    </row>
    <row r="366" spans="1:11" x14ac:dyDescent="0.3">
      <c r="A366" s="7">
        <v>403</v>
      </c>
      <c r="B366">
        <v>20</v>
      </c>
      <c r="C366">
        <v>20</v>
      </c>
      <c r="D366">
        <v>8</v>
      </c>
      <c r="E366" t="s">
        <v>21</v>
      </c>
      <c r="F366" s="10">
        <f t="shared" si="30"/>
        <v>81</v>
      </c>
      <c r="G366" s="14">
        <f t="shared" si="31"/>
        <v>80.599999999999994</v>
      </c>
      <c r="H366" s="7">
        <f t="shared" si="32"/>
        <v>583.25</v>
      </c>
      <c r="I366" s="10">
        <f t="shared" si="33"/>
        <v>564.6</v>
      </c>
      <c r="J366">
        <f t="shared" si="34"/>
        <v>1</v>
      </c>
      <c r="K366">
        <f t="shared" si="35"/>
        <v>18.649999999999977</v>
      </c>
    </row>
    <row r="367" spans="1:11" x14ac:dyDescent="0.3">
      <c r="A367" s="7">
        <v>648</v>
      </c>
      <c r="B367">
        <v>18</v>
      </c>
      <c r="C367">
        <v>30</v>
      </c>
      <c r="D367">
        <v>9</v>
      </c>
      <c r="E367" t="s">
        <v>17</v>
      </c>
      <c r="F367" s="10">
        <f t="shared" si="30"/>
        <v>117</v>
      </c>
      <c r="G367" s="14">
        <f t="shared" si="31"/>
        <v>194.4</v>
      </c>
      <c r="H367" s="7">
        <f t="shared" si="32"/>
        <v>518.44000000000005</v>
      </c>
      <c r="I367" s="10">
        <f t="shared" si="33"/>
        <v>959.4</v>
      </c>
      <c r="J367">
        <f t="shared" si="34"/>
        <v>0</v>
      </c>
      <c r="K367">
        <f t="shared" si="35"/>
        <v>0</v>
      </c>
    </row>
    <row r="368" spans="1:11" x14ac:dyDescent="0.3">
      <c r="A368" s="7">
        <v>4930</v>
      </c>
      <c r="B368">
        <v>10</v>
      </c>
      <c r="C368">
        <v>10</v>
      </c>
      <c r="D368">
        <v>1</v>
      </c>
      <c r="E368" t="s">
        <v>18</v>
      </c>
      <c r="F368" s="10">
        <f t="shared" si="30"/>
        <v>493</v>
      </c>
      <c r="G368" s="14">
        <f t="shared" si="31"/>
        <v>493</v>
      </c>
      <c r="H368" s="7">
        <f t="shared" si="32"/>
        <v>4666</v>
      </c>
      <c r="I368" s="10">
        <f t="shared" si="33"/>
        <v>5916</v>
      </c>
      <c r="J368">
        <f t="shared" si="34"/>
        <v>0</v>
      </c>
      <c r="K368">
        <f t="shared" si="35"/>
        <v>0</v>
      </c>
    </row>
    <row r="369" spans="1:11" x14ac:dyDescent="0.3">
      <c r="A369" s="7">
        <v>496</v>
      </c>
      <c r="B369">
        <v>17</v>
      </c>
      <c r="C369">
        <v>35</v>
      </c>
      <c r="D369">
        <v>10</v>
      </c>
      <c r="E369" t="s">
        <v>15</v>
      </c>
      <c r="F369" s="10">
        <f t="shared" si="30"/>
        <v>85</v>
      </c>
      <c r="G369" s="14">
        <f t="shared" si="31"/>
        <v>173.6</v>
      </c>
      <c r="H369" s="7">
        <f t="shared" si="32"/>
        <v>466.6</v>
      </c>
      <c r="I369" s="10">
        <f t="shared" si="33"/>
        <v>754.6</v>
      </c>
      <c r="J369">
        <f t="shared" si="34"/>
        <v>0</v>
      </c>
      <c r="K369">
        <f t="shared" si="35"/>
        <v>0</v>
      </c>
    </row>
    <row r="370" spans="1:11" x14ac:dyDescent="0.3">
      <c r="A370" s="7">
        <v>1338</v>
      </c>
      <c r="B370">
        <v>20</v>
      </c>
      <c r="C370">
        <v>30</v>
      </c>
      <c r="D370">
        <v>4</v>
      </c>
      <c r="E370" t="s">
        <v>18</v>
      </c>
      <c r="F370" s="10">
        <f t="shared" si="30"/>
        <v>268</v>
      </c>
      <c r="G370" s="14">
        <f t="shared" si="31"/>
        <v>401.4</v>
      </c>
      <c r="H370" s="7">
        <f t="shared" si="32"/>
        <v>1166.5</v>
      </c>
      <c r="I370" s="10">
        <f t="shared" si="33"/>
        <v>2007.4</v>
      </c>
      <c r="J370">
        <f t="shared" si="34"/>
        <v>0</v>
      </c>
      <c r="K370">
        <f t="shared" si="35"/>
        <v>0</v>
      </c>
    </row>
    <row r="371" spans="1:11" x14ac:dyDescent="0.3">
      <c r="A371" s="7">
        <v>4190</v>
      </c>
      <c r="B371">
        <v>13</v>
      </c>
      <c r="C371">
        <v>0</v>
      </c>
      <c r="D371">
        <v>1</v>
      </c>
      <c r="E371" t="s">
        <v>19</v>
      </c>
      <c r="F371" s="10">
        <f t="shared" si="30"/>
        <v>545</v>
      </c>
      <c r="G371" s="14">
        <f t="shared" si="31"/>
        <v>0</v>
      </c>
      <c r="H371" s="7">
        <f t="shared" si="32"/>
        <v>4666</v>
      </c>
      <c r="I371" s="10">
        <f t="shared" si="33"/>
        <v>4735</v>
      </c>
      <c r="J371">
        <f t="shared" si="34"/>
        <v>0</v>
      </c>
      <c r="K371">
        <f t="shared" si="35"/>
        <v>0</v>
      </c>
    </row>
    <row r="372" spans="1:11" x14ac:dyDescent="0.3">
      <c r="A372" s="7">
        <v>610</v>
      </c>
      <c r="B372">
        <v>17</v>
      </c>
      <c r="C372">
        <v>0</v>
      </c>
      <c r="D372">
        <v>10</v>
      </c>
      <c r="E372" t="s">
        <v>15</v>
      </c>
      <c r="F372" s="10">
        <f t="shared" si="30"/>
        <v>104</v>
      </c>
      <c r="G372" s="14">
        <f t="shared" si="31"/>
        <v>0</v>
      </c>
      <c r="H372" s="7">
        <f t="shared" si="32"/>
        <v>466.6</v>
      </c>
      <c r="I372" s="10">
        <f t="shared" si="33"/>
        <v>714</v>
      </c>
      <c r="J372">
        <f t="shared" si="34"/>
        <v>0</v>
      </c>
      <c r="K372">
        <f t="shared" si="35"/>
        <v>0</v>
      </c>
    </row>
    <row r="373" spans="1:11" x14ac:dyDescent="0.3">
      <c r="A373" s="7">
        <v>5220</v>
      </c>
      <c r="B373">
        <v>0</v>
      </c>
      <c r="C373">
        <v>15</v>
      </c>
      <c r="D373">
        <v>1</v>
      </c>
      <c r="E373" t="s">
        <v>21</v>
      </c>
      <c r="F373" s="10">
        <f t="shared" si="30"/>
        <v>0</v>
      </c>
      <c r="G373" s="14">
        <f t="shared" si="31"/>
        <v>783</v>
      </c>
      <c r="H373" s="7">
        <f t="shared" si="32"/>
        <v>4666</v>
      </c>
      <c r="I373" s="10">
        <f t="shared" si="33"/>
        <v>6003</v>
      </c>
      <c r="J373">
        <f t="shared" si="34"/>
        <v>0</v>
      </c>
      <c r="K373">
        <f t="shared" si="35"/>
        <v>0</v>
      </c>
    </row>
    <row r="374" spans="1:11" x14ac:dyDescent="0.3">
      <c r="A374" s="7">
        <v>457</v>
      </c>
      <c r="B374">
        <v>7</v>
      </c>
      <c r="C374">
        <v>20</v>
      </c>
      <c r="D374">
        <v>9</v>
      </c>
      <c r="E374" t="s">
        <v>17</v>
      </c>
      <c r="F374" s="10">
        <f t="shared" si="30"/>
        <v>32</v>
      </c>
      <c r="G374" s="14">
        <f t="shared" si="31"/>
        <v>91.4</v>
      </c>
      <c r="H374" s="7">
        <f t="shared" si="32"/>
        <v>518.44000000000005</v>
      </c>
      <c r="I374" s="10">
        <f t="shared" si="33"/>
        <v>580.4</v>
      </c>
      <c r="J374">
        <f t="shared" si="34"/>
        <v>0</v>
      </c>
      <c r="K374">
        <f t="shared" si="35"/>
        <v>0</v>
      </c>
    </row>
    <row r="375" spans="1:11" x14ac:dyDescent="0.3">
      <c r="A375" s="7">
        <v>991</v>
      </c>
      <c r="B375">
        <v>18</v>
      </c>
      <c r="C375">
        <v>5</v>
      </c>
      <c r="D375">
        <v>7</v>
      </c>
      <c r="E375" t="s">
        <v>21</v>
      </c>
      <c r="F375" s="10">
        <f t="shared" si="30"/>
        <v>179</v>
      </c>
      <c r="G375" s="14">
        <f t="shared" si="31"/>
        <v>49.55</v>
      </c>
      <c r="H375" s="7">
        <f t="shared" si="32"/>
        <v>666.57</v>
      </c>
      <c r="I375" s="10">
        <f t="shared" si="33"/>
        <v>1219.55</v>
      </c>
      <c r="J375">
        <f t="shared" si="34"/>
        <v>0</v>
      </c>
      <c r="K375">
        <f t="shared" si="35"/>
        <v>0</v>
      </c>
    </row>
    <row r="376" spans="1:11" x14ac:dyDescent="0.3">
      <c r="A376" s="7">
        <v>1083</v>
      </c>
      <c r="B376">
        <v>2</v>
      </c>
      <c r="C376">
        <v>35</v>
      </c>
      <c r="D376">
        <v>3</v>
      </c>
      <c r="E376" t="s">
        <v>21</v>
      </c>
      <c r="F376" s="10">
        <f t="shared" si="30"/>
        <v>22</v>
      </c>
      <c r="G376" s="14">
        <f t="shared" si="31"/>
        <v>379.05</v>
      </c>
      <c r="H376" s="7">
        <f t="shared" si="32"/>
        <v>1555.33</v>
      </c>
      <c r="I376" s="10">
        <f t="shared" si="33"/>
        <v>1484.05</v>
      </c>
      <c r="J376">
        <f t="shared" si="34"/>
        <v>1</v>
      </c>
      <c r="K376">
        <f t="shared" si="35"/>
        <v>71.279999999999973</v>
      </c>
    </row>
    <row r="377" spans="1:11" x14ac:dyDescent="0.3">
      <c r="A377" s="7">
        <v>380</v>
      </c>
      <c r="B377">
        <v>20</v>
      </c>
      <c r="C377">
        <v>10</v>
      </c>
      <c r="D377">
        <v>8</v>
      </c>
      <c r="E377" t="s">
        <v>16</v>
      </c>
      <c r="F377" s="10">
        <f t="shared" si="30"/>
        <v>76</v>
      </c>
      <c r="G377" s="14">
        <f t="shared" si="31"/>
        <v>38</v>
      </c>
      <c r="H377" s="7">
        <f t="shared" si="32"/>
        <v>583.25</v>
      </c>
      <c r="I377" s="10">
        <f t="shared" si="33"/>
        <v>494</v>
      </c>
      <c r="J377">
        <f t="shared" si="34"/>
        <v>1</v>
      </c>
      <c r="K377">
        <f t="shared" si="35"/>
        <v>89.25</v>
      </c>
    </row>
    <row r="378" spans="1:11" x14ac:dyDescent="0.3">
      <c r="A378" s="7">
        <v>849</v>
      </c>
      <c r="B378">
        <v>13</v>
      </c>
      <c r="C378">
        <v>50</v>
      </c>
      <c r="D378">
        <v>8</v>
      </c>
      <c r="E378" t="s">
        <v>15</v>
      </c>
      <c r="F378" s="10">
        <f t="shared" si="30"/>
        <v>111</v>
      </c>
      <c r="G378" s="14">
        <f t="shared" si="31"/>
        <v>424.5</v>
      </c>
      <c r="H378" s="7">
        <f t="shared" si="32"/>
        <v>583.25</v>
      </c>
      <c r="I378" s="10">
        <f t="shared" si="33"/>
        <v>1384.5</v>
      </c>
      <c r="J378">
        <f t="shared" si="34"/>
        <v>0</v>
      </c>
      <c r="K378">
        <f t="shared" si="35"/>
        <v>0</v>
      </c>
    </row>
    <row r="379" spans="1:11" x14ac:dyDescent="0.3">
      <c r="A379" s="7">
        <v>1453</v>
      </c>
      <c r="B379">
        <v>5</v>
      </c>
      <c r="C379">
        <v>50</v>
      </c>
      <c r="D379">
        <v>3</v>
      </c>
      <c r="E379" t="s">
        <v>15</v>
      </c>
      <c r="F379" s="10">
        <f t="shared" si="30"/>
        <v>73</v>
      </c>
      <c r="G379" s="14">
        <f t="shared" si="31"/>
        <v>726.5</v>
      </c>
      <c r="H379" s="7">
        <f t="shared" si="32"/>
        <v>1555.33</v>
      </c>
      <c r="I379" s="10">
        <f t="shared" si="33"/>
        <v>2252.5</v>
      </c>
      <c r="J379">
        <f t="shared" si="34"/>
        <v>0</v>
      </c>
      <c r="K379">
        <f t="shared" si="35"/>
        <v>0</v>
      </c>
    </row>
    <row r="380" spans="1:11" x14ac:dyDescent="0.3">
      <c r="A380" s="7">
        <v>4060</v>
      </c>
      <c r="B380">
        <v>5</v>
      </c>
      <c r="C380">
        <v>30</v>
      </c>
      <c r="D380">
        <v>1</v>
      </c>
      <c r="E380" t="s">
        <v>18</v>
      </c>
      <c r="F380" s="10">
        <f t="shared" si="30"/>
        <v>203</v>
      </c>
      <c r="G380" s="14">
        <f t="shared" si="31"/>
        <v>1218</v>
      </c>
      <c r="H380" s="7">
        <f t="shared" si="32"/>
        <v>4666</v>
      </c>
      <c r="I380" s="10">
        <f t="shared" si="33"/>
        <v>5481</v>
      </c>
      <c r="J380">
        <f t="shared" si="34"/>
        <v>0</v>
      </c>
      <c r="K380">
        <f t="shared" si="35"/>
        <v>0</v>
      </c>
    </row>
    <row r="381" spans="1:11" x14ac:dyDescent="0.3">
      <c r="A381" s="7">
        <v>997</v>
      </c>
      <c r="B381">
        <v>11</v>
      </c>
      <c r="C381">
        <v>10</v>
      </c>
      <c r="D381">
        <v>6</v>
      </c>
      <c r="E381" t="s">
        <v>16</v>
      </c>
      <c r="F381" s="10">
        <f t="shared" si="30"/>
        <v>110</v>
      </c>
      <c r="G381" s="14">
        <f t="shared" si="31"/>
        <v>99.7</v>
      </c>
      <c r="H381" s="7">
        <f t="shared" si="32"/>
        <v>777.67</v>
      </c>
      <c r="I381" s="10">
        <f t="shared" si="33"/>
        <v>1206.7</v>
      </c>
      <c r="J381">
        <f t="shared" si="34"/>
        <v>0</v>
      </c>
      <c r="K381">
        <f t="shared" si="35"/>
        <v>0</v>
      </c>
    </row>
    <row r="382" spans="1:11" x14ac:dyDescent="0.3">
      <c r="A382" s="7">
        <v>3445</v>
      </c>
      <c r="B382">
        <v>10</v>
      </c>
      <c r="C382">
        <v>50</v>
      </c>
      <c r="D382">
        <v>2</v>
      </c>
      <c r="E382" t="s">
        <v>21</v>
      </c>
      <c r="F382" s="10">
        <f t="shared" si="30"/>
        <v>345</v>
      </c>
      <c r="G382" s="14">
        <f t="shared" si="31"/>
        <v>1722.5</v>
      </c>
      <c r="H382" s="7">
        <f t="shared" si="32"/>
        <v>2333</v>
      </c>
      <c r="I382" s="10">
        <f t="shared" si="33"/>
        <v>5512.5</v>
      </c>
      <c r="J382">
        <f t="shared" si="34"/>
        <v>0</v>
      </c>
      <c r="K382">
        <f t="shared" si="35"/>
        <v>0</v>
      </c>
    </row>
    <row r="383" spans="1:11" x14ac:dyDescent="0.3">
      <c r="A383" s="7">
        <v>1158</v>
      </c>
      <c r="B383">
        <v>12</v>
      </c>
      <c r="C383">
        <v>25</v>
      </c>
      <c r="D383">
        <v>5</v>
      </c>
      <c r="E383" t="s">
        <v>20</v>
      </c>
      <c r="F383" s="10">
        <f t="shared" si="30"/>
        <v>139</v>
      </c>
      <c r="G383" s="14">
        <f t="shared" si="31"/>
        <v>289.5</v>
      </c>
      <c r="H383" s="7">
        <f t="shared" si="32"/>
        <v>933.2</v>
      </c>
      <c r="I383" s="10">
        <f t="shared" si="33"/>
        <v>1586.5</v>
      </c>
      <c r="J383">
        <f t="shared" si="34"/>
        <v>0</v>
      </c>
      <c r="K383">
        <f t="shared" si="35"/>
        <v>0</v>
      </c>
    </row>
    <row r="384" spans="1:11" x14ac:dyDescent="0.3">
      <c r="A384" s="7">
        <v>3250</v>
      </c>
      <c r="B384">
        <v>10</v>
      </c>
      <c r="C384">
        <v>15</v>
      </c>
      <c r="D384">
        <v>1</v>
      </c>
      <c r="E384" t="s">
        <v>18</v>
      </c>
      <c r="F384" s="10">
        <f t="shared" si="30"/>
        <v>325</v>
      </c>
      <c r="G384" s="14">
        <f t="shared" si="31"/>
        <v>487.5</v>
      </c>
      <c r="H384" s="7">
        <f t="shared" si="32"/>
        <v>4666</v>
      </c>
      <c r="I384" s="10">
        <f t="shared" si="33"/>
        <v>4062.5</v>
      </c>
      <c r="J384">
        <f t="shared" si="34"/>
        <v>1</v>
      </c>
      <c r="K384">
        <f t="shared" si="35"/>
        <v>603.5</v>
      </c>
    </row>
    <row r="385" spans="1:11" x14ac:dyDescent="0.3">
      <c r="A385" s="7">
        <v>6940</v>
      </c>
      <c r="B385">
        <v>18</v>
      </c>
      <c r="C385">
        <v>35</v>
      </c>
      <c r="D385">
        <v>1</v>
      </c>
      <c r="E385" t="s">
        <v>21</v>
      </c>
      <c r="F385" s="10">
        <f t="shared" si="30"/>
        <v>1250</v>
      </c>
      <c r="G385" s="14">
        <f t="shared" si="31"/>
        <v>2429</v>
      </c>
      <c r="H385" s="7">
        <f t="shared" si="32"/>
        <v>4666</v>
      </c>
      <c r="I385" s="10">
        <f t="shared" si="33"/>
        <v>10619</v>
      </c>
      <c r="J385">
        <f t="shared" si="34"/>
        <v>0</v>
      </c>
      <c r="K385">
        <f t="shared" si="35"/>
        <v>0</v>
      </c>
    </row>
    <row r="386" spans="1:11" x14ac:dyDescent="0.3">
      <c r="A386" s="7">
        <v>2725</v>
      </c>
      <c r="B386">
        <v>11</v>
      </c>
      <c r="C386">
        <v>45</v>
      </c>
      <c r="D386">
        <v>2</v>
      </c>
      <c r="E386" t="s">
        <v>18</v>
      </c>
      <c r="F386" s="10">
        <f t="shared" si="30"/>
        <v>300</v>
      </c>
      <c r="G386" s="14">
        <f t="shared" si="31"/>
        <v>1226.25</v>
      </c>
      <c r="H386" s="7">
        <f t="shared" si="32"/>
        <v>2333</v>
      </c>
      <c r="I386" s="10">
        <f t="shared" si="33"/>
        <v>4251.25</v>
      </c>
      <c r="J386">
        <f t="shared" si="34"/>
        <v>0</v>
      </c>
      <c r="K386">
        <f t="shared" si="35"/>
        <v>0</v>
      </c>
    </row>
    <row r="387" spans="1:11" x14ac:dyDescent="0.3">
      <c r="A387" s="7">
        <v>6000</v>
      </c>
      <c r="B387">
        <v>19</v>
      </c>
      <c r="C387">
        <v>15</v>
      </c>
      <c r="D387">
        <v>1</v>
      </c>
      <c r="E387" t="s">
        <v>20</v>
      </c>
      <c r="F387" s="10">
        <f t="shared" ref="F387:F450" si="36">ROUNDUP(0.01*B387*A387,0)</f>
        <v>1140</v>
      </c>
      <c r="G387" s="14">
        <f t="shared" ref="G387:G450" si="37">ROUND(C387/100*A387,2)</f>
        <v>900</v>
      </c>
      <c r="H387" s="7">
        <f t="shared" ref="H387:H450" si="38">ROUND(4666/D387:D886,2)</f>
        <v>4666</v>
      </c>
      <c r="I387" s="10">
        <f t="shared" ref="I387:I450" si="39">G387+A387+F387</f>
        <v>8040</v>
      </c>
      <c r="J387">
        <f t="shared" ref="J387:J450" si="40">IF(H387&gt;I387,1,0)</f>
        <v>0</v>
      </c>
      <c r="K387">
        <f t="shared" ref="K387:K450" si="41">IF(J387=1,H387-I387,0)</f>
        <v>0</v>
      </c>
    </row>
    <row r="388" spans="1:11" x14ac:dyDescent="0.3">
      <c r="A388" s="7">
        <v>628</v>
      </c>
      <c r="B388">
        <v>12</v>
      </c>
      <c r="C388">
        <v>15</v>
      </c>
      <c r="D388">
        <v>8</v>
      </c>
      <c r="E388" t="s">
        <v>21</v>
      </c>
      <c r="F388" s="10">
        <f t="shared" si="36"/>
        <v>76</v>
      </c>
      <c r="G388" s="14">
        <f t="shared" si="37"/>
        <v>94.2</v>
      </c>
      <c r="H388" s="7">
        <f t="shared" si="38"/>
        <v>583.25</v>
      </c>
      <c r="I388" s="10">
        <f t="shared" si="39"/>
        <v>798.2</v>
      </c>
      <c r="J388">
        <f t="shared" si="40"/>
        <v>0</v>
      </c>
      <c r="K388">
        <f t="shared" si="41"/>
        <v>0</v>
      </c>
    </row>
    <row r="389" spans="1:11" x14ac:dyDescent="0.3">
      <c r="A389" s="7">
        <v>3250</v>
      </c>
      <c r="B389">
        <v>17</v>
      </c>
      <c r="C389">
        <v>10</v>
      </c>
      <c r="D389">
        <v>2</v>
      </c>
      <c r="E389" t="s">
        <v>16</v>
      </c>
      <c r="F389" s="10">
        <f t="shared" si="36"/>
        <v>553</v>
      </c>
      <c r="G389" s="14">
        <f t="shared" si="37"/>
        <v>325</v>
      </c>
      <c r="H389" s="7">
        <f t="shared" si="38"/>
        <v>2333</v>
      </c>
      <c r="I389" s="10">
        <f t="shared" si="39"/>
        <v>4128</v>
      </c>
      <c r="J389">
        <f t="shared" si="40"/>
        <v>0</v>
      </c>
      <c r="K389">
        <f t="shared" si="41"/>
        <v>0</v>
      </c>
    </row>
    <row r="390" spans="1:11" x14ac:dyDescent="0.3">
      <c r="A390" s="7">
        <v>469</v>
      </c>
      <c r="B390">
        <v>15</v>
      </c>
      <c r="C390">
        <v>15</v>
      </c>
      <c r="D390">
        <v>7</v>
      </c>
      <c r="E390" t="s">
        <v>15</v>
      </c>
      <c r="F390" s="10">
        <f t="shared" si="36"/>
        <v>71</v>
      </c>
      <c r="G390" s="14">
        <f t="shared" si="37"/>
        <v>70.349999999999994</v>
      </c>
      <c r="H390" s="7">
        <f t="shared" si="38"/>
        <v>666.57</v>
      </c>
      <c r="I390" s="10">
        <f t="shared" si="39"/>
        <v>610.35</v>
      </c>
      <c r="J390">
        <f t="shared" si="40"/>
        <v>1</v>
      </c>
      <c r="K390">
        <f t="shared" si="41"/>
        <v>56.220000000000027</v>
      </c>
    </row>
    <row r="391" spans="1:11" x14ac:dyDescent="0.3">
      <c r="A391" s="7">
        <v>5590</v>
      </c>
      <c r="B391">
        <v>13</v>
      </c>
      <c r="C391">
        <v>0</v>
      </c>
      <c r="D391">
        <v>1</v>
      </c>
      <c r="E391" t="s">
        <v>16</v>
      </c>
      <c r="F391" s="10">
        <f t="shared" si="36"/>
        <v>727</v>
      </c>
      <c r="G391" s="14">
        <f t="shared" si="37"/>
        <v>0</v>
      </c>
      <c r="H391" s="7">
        <f t="shared" si="38"/>
        <v>4666</v>
      </c>
      <c r="I391" s="10">
        <f t="shared" si="39"/>
        <v>6317</v>
      </c>
      <c r="J391">
        <f t="shared" si="40"/>
        <v>0</v>
      </c>
      <c r="K391">
        <f t="shared" si="41"/>
        <v>0</v>
      </c>
    </row>
    <row r="392" spans="1:11" x14ac:dyDescent="0.3">
      <c r="A392" s="7">
        <v>1680</v>
      </c>
      <c r="B392">
        <v>10</v>
      </c>
      <c r="C392">
        <v>35</v>
      </c>
      <c r="D392">
        <v>4</v>
      </c>
      <c r="E392" t="s">
        <v>20</v>
      </c>
      <c r="F392" s="10">
        <f t="shared" si="36"/>
        <v>168</v>
      </c>
      <c r="G392" s="14">
        <f t="shared" si="37"/>
        <v>588</v>
      </c>
      <c r="H392" s="7">
        <f t="shared" si="38"/>
        <v>1166.5</v>
      </c>
      <c r="I392" s="10">
        <f t="shared" si="39"/>
        <v>2436</v>
      </c>
      <c r="J392">
        <f t="shared" si="40"/>
        <v>0</v>
      </c>
      <c r="K392">
        <f t="shared" si="41"/>
        <v>0</v>
      </c>
    </row>
    <row r="393" spans="1:11" x14ac:dyDescent="0.3">
      <c r="A393" s="7">
        <v>526</v>
      </c>
      <c r="B393">
        <v>16</v>
      </c>
      <c r="C393">
        <v>45</v>
      </c>
      <c r="D393">
        <v>7</v>
      </c>
      <c r="E393" t="s">
        <v>15</v>
      </c>
      <c r="F393" s="10">
        <f t="shared" si="36"/>
        <v>85</v>
      </c>
      <c r="G393" s="14">
        <f t="shared" si="37"/>
        <v>236.7</v>
      </c>
      <c r="H393" s="7">
        <f t="shared" si="38"/>
        <v>666.57</v>
      </c>
      <c r="I393" s="10">
        <f t="shared" si="39"/>
        <v>847.7</v>
      </c>
      <c r="J393">
        <f t="shared" si="40"/>
        <v>0</v>
      </c>
      <c r="K393">
        <f t="shared" si="41"/>
        <v>0</v>
      </c>
    </row>
    <row r="394" spans="1:11" x14ac:dyDescent="0.3">
      <c r="A394" s="7">
        <v>4240</v>
      </c>
      <c r="B394">
        <v>1</v>
      </c>
      <c r="C394">
        <v>40</v>
      </c>
      <c r="D394">
        <v>1</v>
      </c>
      <c r="E394" t="s">
        <v>21</v>
      </c>
      <c r="F394" s="10">
        <f t="shared" si="36"/>
        <v>43</v>
      </c>
      <c r="G394" s="14">
        <f t="shared" si="37"/>
        <v>1696</v>
      </c>
      <c r="H394" s="7">
        <f t="shared" si="38"/>
        <v>4666</v>
      </c>
      <c r="I394" s="10">
        <f t="shared" si="39"/>
        <v>5979</v>
      </c>
      <c r="J394">
        <f t="shared" si="40"/>
        <v>0</v>
      </c>
      <c r="K394">
        <f t="shared" si="41"/>
        <v>0</v>
      </c>
    </row>
    <row r="395" spans="1:11" x14ac:dyDescent="0.3">
      <c r="A395" s="7">
        <v>622</v>
      </c>
      <c r="B395">
        <v>10</v>
      </c>
      <c r="C395">
        <v>10</v>
      </c>
      <c r="D395">
        <v>10</v>
      </c>
      <c r="E395" t="s">
        <v>16</v>
      </c>
      <c r="F395" s="10">
        <f t="shared" si="36"/>
        <v>63</v>
      </c>
      <c r="G395" s="14">
        <f t="shared" si="37"/>
        <v>62.2</v>
      </c>
      <c r="H395" s="7">
        <f t="shared" si="38"/>
        <v>466.6</v>
      </c>
      <c r="I395" s="10">
        <f t="shared" si="39"/>
        <v>747.2</v>
      </c>
      <c r="J395">
        <f t="shared" si="40"/>
        <v>0</v>
      </c>
      <c r="K395">
        <f t="shared" si="41"/>
        <v>0</v>
      </c>
    </row>
    <row r="396" spans="1:11" x14ac:dyDescent="0.3">
      <c r="A396" s="7">
        <v>372</v>
      </c>
      <c r="B396">
        <v>15</v>
      </c>
      <c r="C396">
        <v>40</v>
      </c>
      <c r="D396">
        <v>9</v>
      </c>
      <c r="E396" t="s">
        <v>16</v>
      </c>
      <c r="F396" s="10">
        <f t="shared" si="36"/>
        <v>56</v>
      </c>
      <c r="G396" s="14">
        <f t="shared" si="37"/>
        <v>148.80000000000001</v>
      </c>
      <c r="H396" s="7">
        <f t="shared" si="38"/>
        <v>518.44000000000005</v>
      </c>
      <c r="I396" s="10">
        <f t="shared" si="39"/>
        <v>576.79999999999995</v>
      </c>
      <c r="J396">
        <f t="shared" si="40"/>
        <v>0</v>
      </c>
      <c r="K396">
        <f t="shared" si="41"/>
        <v>0</v>
      </c>
    </row>
    <row r="397" spans="1:11" x14ac:dyDescent="0.3">
      <c r="A397" s="7">
        <v>509</v>
      </c>
      <c r="B397">
        <v>4</v>
      </c>
      <c r="C397">
        <v>10</v>
      </c>
      <c r="D397">
        <v>10</v>
      </c>
      <c r="E397" t="s">
        <v>20</v>
      </c>
      <c r="F397" s="10">
        <f t="shared" si="36"/>
        <v>21</v>
      </c>
      <c r="G397" s="14">
        <f t="shared" si="37"/>
        <v>50.9</v>
      </c>
      <c r="H397" s="7">
        <f t="shared" si="38"/>
        <v>466.6</v>
      </c>
      <c r="I397" s="10">
        <f t="shared" si="39"/>
        <v>580.9</v>
      </c>
      <c r="J397">
        <f t="shared" si="40"/>
        <v>0</v>
      </c>
      <c r="K397">
        <f t="shared" si="41"/>
        <v>0</v>
      </c>
    </row>
    <row r="398" spans="1:11" x14ac:dyDescent="0.3">
      <c r="A398" s="7">
        <v>1228</v>
      </c>
      <c r="B398">
        <v>0</v>
      </c>
      <c r="C398">
        <v>5</v>
      </c>
      <c r="D398">
        <v>4</v>
      </c>
      <c r="E398" t="s">
        <v>16</v>
      </c>
      <c r="F398" s="10">
        <f t="shared" si="36"/>
        <v>0</v>
      </c>
      <c r="G398" s="14">
        <f t="shared" si="37"/>
        <v>61.4</v>
      </c>
      <c r="H398" s="7">
        <f t="shared" si="38"/>
        <v>1166.5</v>
      </c>
      <c r="I398" s="10">
        <f t="shared" si="39"/>
        <v>1289.4000000000001</v>
      </c>
      <c r="J398">
        <f t="shared" si="40"/>
        <v>0</v>
      </c>
      <c r="K398">
        <f t="shared" si="41"/>
        <v>0</v>
      </c>
    </row>
    <row r="399" spans="1:11" x14ac:dyDescent="0.3">
      <c r="A399" s="7">
        <v>1360</v>
      </c>
      <c r="B399">
        <v>12</v>
      </c>
      <c r="C399">
        <v>25</v>
      </c>
      <c r="D399">
        <v>3</v>
      </c>
      <c r="E399" t="s">
        <v>17</v>
      </c>
      <c r="F399" s="10">
        <f t="shared" si="36"/>
        <v>164</v>
      </c>
      <c r="G399" s="14">
        <f t="shared" si="37"/>
        <v>340</v>
      </c>
      <c r="H399" s="7">
        <f t="shared" si="38"/>
        <v>1555.33</v>
      </c>
      <c r="I399" s="10">
        <f t="shared" si="39"/>
        <v>1864</v>
      </c>
      <c r="J399">
        <f t="shared" si="40"/>
        <v>0</v>
      </c>
      <c r="K399">
        <f t="shared" si="41"/>
        <v>0</v>
      </c>
    </row>
    <row r="400" spans="1:11" x14ac:dyDescent="0.3">
      <c r="A400" s="7">
        <v>4650</v>
      </c>
      <c r="B400">
        <v>2</v>
      </c>
      <c r="C400">
        <v>50</v>
      </c>
      <c r="D400">
        <v>1</v>
      </c>
      <c r="E400" t="s">
        <v>17</v>
      </c>
      <c r="F400" s="10">
        <f t="shared" si="36"/>
        <v>93</v>
      </c>
      <c r="G400" s="14">
        <f t="shared" si="37"/>
        <v>2325</v>
      </c>
      <c r="H400" s="7">
        <f t="shared" si="38"/>
        <v>4666</v>
      </c>
      <c r="I400" s="10">
        <f t="shared" si="39"/>
        <v>7068</v>
      </c>
      <c r="J400">
        <f t="shared" si="40"/>
        <v>0</v>
      </c>
      <c r="K400">
        <f t="shared" si="41"/>
        <v>0</v>
      </c>
    </row>
    <row r="401" spans="1:11" x14ac:dyDescent="0.3">
      <c r="A401" s="7">
        <v>2860</v>
      </c>
      <c r="B401">
        <v>14</v>
      </c>
      <c r="C401">
        <v>35</v>
      </c>
      <c r="D401">
        <v>1</v>
      </c>
      <c r="E401" t="s">
        <v>15</v>
      </c>
      <c r="F401" s="10">
        <f t="shared" si="36"/>
        <v>401</v>
      </c>
      <c r="G401" s="14">
        <f t="shared" si="37"/>
        <v>1001</v>
      </c>
      <c r="H401" s="7">
        <f t="shared" si="38"/>
        <v>4666</v>
      </c>
      <c r="I401" s="10">
        <f t="shared" si="39"/>
        <v>4262</v>
      </c>
      <c r="J401">
        <f t="shared" si="40"/>
        <v>1</v>
      </c>
      <c r="K401">
        <f t="shared" si="41"/>
        <v>404</v>
      </c>
    </row>
    <row r="402" spans="1:11" x14ac:dyDescent="0.3">
      <c r="A402" s="7">
        <v>1615</v>
      </c>
      <c r="B402">
        <v>2</v>
      </c>
      <c r="C402">
        <v>5</v>
      </c>
      <c r="D402">
        <v>4</v>
      </c>
      <c r="E402" t="s">
        <v>19</v>
      </c>
      <c r="F402" s="10">
        <f t="shared" si="36"/>
        <v>33</v>
      </c>
      <c r="G402" s="14">
        <f t="shared" si="37"/>
        <v>80.75</v>
      </c>
      <c r="H402" s="7">
        <f t="shared" si="38"/>
        <v>1166.5</v>
      </c>
      <c r="I402" s="10">
        <f t="shared" si="39"/>
        <v>1728.75</v>
      </c>
      <c r="J402">
        <f t="shared" si="40"/>
        <v>0</v>
      </c>
      <c r="K402">
        <f t="shared" si="41"/>
        <v>0</v>
      </c>
    </row>
    <row r="403" spans="1:11" x14ac:dyDescent="0.3">
      <c r="A403" s="7">
        <v>1650</v>
      </c>
      <c r="B403">
        <v>10</v>
      </c>
      <c r="C403">
        <v>15</v>
      </c>
      <c r="D403">
        <v>2</v>
      </c>
      <c r="E403" t="s">
        <v>15</v>
      </c>
      <c r="F403" s="10">
        <f t="shared" si="36"/>
        <v>165</v>
      </c>
      <c r="G403" s="14">
        <f t="shared" si="37"/>
        <v>247.5</v>
      </c>
      <c r="H403" s="7">
        <f t="shared" si="38"/>
        <v>2333</v>
      </c>
      <c r="I403" s="10">
        <f t="shared" si="39"/>
        <v>2062.5</v>
      </c>
      <c r="J403">
        <f t="shared" si="40"/>
        <v>1</v>
      </c>
      <c r="K403">
        <f t="shared" si="41"/>
        <v>270.5</v>
      </c>
    </row>
    <row r="404" spans="1:11" x14ac:dyDescent="0.3">
      <c r="A404" s="7">
        <v>5870</v>
      </c>
      <c r="B404">
        <v>19</v>
      </c>
      <c r="C404">
        <v>45</v>
      </c>
      <c r="D404">
        <v>1</v>
      </c>
      <c r="E404" t="s">
        <v>20</v>
      </c>
      <c r="F404" s="10">
        <f t="shared" si="36"/>
        <v>1116</v>
      </c>
      <c r="G404" s="14">
        <f t="shared" si="37"/>
        <v>2641.5</v>
      </c>
      <c r="H404" s="7">
        <f t="shared" si="38"/>
        <v>4666</v>
      </c>
      <c r="I404" s="10">
        <f t="shared" si="39"/>
        <v>9627.5</v>
      </c>
      <c r="J404">
        <f t="shared" si="40"/>
        <v>0</v>
      </c>
      <c r="K404">
        <f t="shared" si="41"/>
        <v>0</v>
      </c>
    </row>
    <row r="405" spans="1:11" x14ac:dyDescent="0.3">
      <c r="A405" s="7">
        <v>4450</v>
      </c>
      <c r="B405">
        <v>10</v>
      </c>
      <c r="C405">
        <v>25</v>
      </c>
      <c r="D405">
        <v>1</v>
      </c>
      <c r="E405" t="s">
        <v>17</v>
      </c>
      <c r="F405" s="10">
        <f t="shared" si="36"/>
        <v>445</v>
      </c>
      <c r="G405" s="14">
        <f t="shared" si="37"/>
        <v>1112.5</v>
      </c>
      <c r="H405" s="7">
        <f t="shared" si="38"/>
        <v>4666</v>
      </c>
      <c r="I405" s="10">
        <f t="shared" si="39"/>
        <v>6007.5</v>
      </c>
      <c r="J405">
        <f t="shared" si="40"/>
        <v>0</v>
      </c>
      <c r="K405">
        <f t="shared" si="41"/>
        <v>0</v>
      </c>
    </row>
    <row r="406" spans="1:11" x14ac:dyDescent="0.3">
      <c r="A406" s="7">
        <v>6830</v>
      </c>
      <c r="B406">
        <v>3</v>
      </c>
      <c r="C406">
        <v>25</v>
      </c>
      <c r="D406">
        <v>1</v>
      </c>
      <c r="E406" t="s">
        <v>18</v>
      </c>
      <c r="F406" s="10">
        <f t="shared" si="36"/>
        <v>205</v>
      </c>
      <c r="G406" s="14">
        <f t="shared" si="37"/>
        <v>1707.5</v>
      </c>
      <c r="H406" s="7">
        <f t="shared" si="38"/>
        <v>4666</v>
      </c>
      <c r="I406" s="10">
        <f t="shared" si="39"/>
        <v>8742.5</v>
      </c>
      <c r="J406">
        <f t="shared" si="40"/>
        <v>0</v>
      </c>
      <c r="K406">
        <f t="shared" si="41"/>
        <v>0</v>
      </c>
    </row>
    <row r="407" spans="1:11" x14ac:dyDescent="0.3">
      <c r="A407" s="7">
        <v>3940</v>
      </c>
      <c r="B407">
        <v>9</v>
      </c>
      <c r="C407">
        <v>30</v>
      </c>
      <c r="D407">
        <v>1</v>
      </c>
      <c r="E407" t="s">
        <v>19</v>
      </c>
      <c r="F407" s="10">
        <f t="shared" si="36"/>
        <v>355</v>
      </c>
      <c r="G407" s="14">
        <f t="shared" si="37"/>
        <v>1182</v>
      </c>
      <c r="H407" s="7">
        <f t="shared" si="38"/>
        <v>4666</v>
      </c>
      <c r="I407" s="10">
        <f t="shared" si="39"/>
        <v>5477</v>
      </c>
      <c r="J407">
        <f t="shared" si="40"/>
        <v>0</v>
      </c>
      <c r="K407">
        <f t="shared" si="41"/>
        <v>0</v>
      </c>
    </row>
    <row r="408" spans="1:11" x14ac:dyDescent="0.3">
      <c r="A408" s="7">
        <v>2480</v>
      </c>
      <c r="B408">
        <v>15</v>
      </c>
      <c r="C408">
        <v>35</v>
      </c>
      <c r="D408">
        <v>2</v>
      </c>
      <c r="E408" t="s">
        <v>17</v>
      </c>
      <c r="F408" s="10">
        <f t="shared" si="36"/>
        <v>372</v>
      </c>
      <c r="G408" s="14">
        <f t="shared" si="37"/>
        <v>868</v>
      </c>
      <c r="H408" s="7">
        <f t="shared" si="38"/>
        <v>2333</v>
      </c>
      <c r="I408" s="10">
        <f t="shared" si="39"/>
        <v>3720</v>
      </c>
      <c r="J408">
        <f t="shared" si="40"/>
        <v>0</v>
      </c>
      <c r="K408">
        <f t="shared" si="41"/>
        <v>0</v>
      </c>
    </row>
    <row r="409" spans="1:11" x14ac:dyDescent="0.3">
      <c r="A409" s="7">
        <v>1285</v>
      </c>
      <c r="B409">
        <v>8</v>
      </c>
      <c r="C409">
        <v>40</v>
      </c>
      <c r="D409">
        <v>4</v>
      </c>
      <c r="E409" t="s">
        <v>16</v>
      </c>
      <c r="F409" s="10">
        <f t="shared" si="36"/>
        <v>103</v>
      </c>
      <c r="G409" s="14">
        <f t="shared" si="37"/>
        <v>514</v>
      </c>
      <c r="H409" s="7">
        <f t="shared" si="38"/>
        <v>1166.5</v>
      </c>
      <c r="I409" s="10">
        <f t="shared" si="39"/>
        <v>1902</v>
      </c>
      <c r="J409">
        <f t="shared" si="40"/>
        <v>0</v>
      </c>
      <c r="K409">
        <f t="shared" si="41"/>
        <v>0</v>
      </c>
    </row>
    <row r="410" spans="1:11" x14ac:dyDescent="0.3">
      <c r="A410" s="7">
        <v>2870</v>
      </c>
      <c r="B410">
        <v>17</v>
      </c>
      <c r="C410">
        <v>50</v>
      </c>
      <c r="D410">
        <v>1</v>
      </c>
      <c r="E410" t="s">
        <v>15</v>
      </c>
      <c r="F410" s="10">
        <f t="shared" si="36"/>
        <v>488</v>
      </c>
      <c r="G410" s="14">
        <f t="shared" si="37"/>
        <v>1435</v>
      </c>
      <c r="H410" s="7">
        <f t="shared" si="38"/>
        <v>4666</v>
      </c>
      <c r="I410" s="10">
        <f t="shared" si="39"/>
        <v>4793</v>
      </c>
      <c r="J410">
        <f t="shared" si="40"/>
        <v>0</v>
      </c>
      <c r="K410">
        <f t="shared" si="41"/>
        <v>0</v>
      </c>
    </row>
    <row r="411" spans="1:11" x14ac:dyDescent="0.3">
      <c r="A411" s="7">
        <v>1483.5</v>
      </c>
      <c r="B411">
        <v>1</v>
      </c>
      <c r="C411">
        <v>45</v>
      </c>
      <c r="D411">
        <v>3</v>
      </c>
      <c r="E411" t="s">
        <v>19</v>
      </c>
      <c r="F411" s="10">
        <f t="shared" si="36"/>
        <v>15</v>
      </c>
      <c r="G411" s="14">
        <f t="shared" si="37"/>
        <v>667.58</v>
      </c>
      <c r="H411" s="7">
        <f t="shared" si="38"/>
        <v>1555.33</v>
      </c>
      <c r="I411" s="10">
        <f t="shared" si="39"/>
        <v>2166.08</v>
      </c>
      <c r="J411">
        <f t="shared" si="40"/>
        <v>0</v>
      </c>
      <c r="K411">
        <f t="shared" si="41"/>
        <v>0</v>
      </c>
    </row>
    <row r="412" spans="1:11" x14ac:dyDescent="0.3">
      <c r="A412" s="7">
        <v>4590</v>
      </c>
      <c r="B412">
        <v>1</v>
      </c>
      <c r="C412">
        <v>40</v>
      </c>
      <c r="D412">
        <v>1</v>
      </c>
      <c r="E412" t="s">
        <v>16</v>
      </c>
      <c r="F412" s="10">
        <f t="shared" si="36"/>
        <v>46</v>
      </c>
      <c r="G412" s="14">
        <f t="shared" si="37"/>
        <v>1836</v>
      </c>
      <c r="H412" s="7">
        <f t="shared" si="38"/>
        <v>4666</v>
      </c>
      <c r="I412" s="10">
        <f t="shared" si="39"/>
        <v>6472</v>
      </c>
      <c r="J412">
        <f t="shared" si="40"/>
        <v>0</v>
      </c>
      <c r="K412">
        <f t="shared" si="41"/>
        <v>0</v>
      </c>
    </row>
    <row r="413" spans="1:11" x14ac:dyDescent="0.3">
      <c r="A413" s="7">
        <v>3350</v>
      </c>
      <c r="B413">
        <v>9</v>
      </c>
      <c r="C413">
        <v>45</v>
      </c>
      <c r="D413">
        <v>1</v>
      </c>
      <c r="E413" t="s">
        <v>15</v>
      </c>
      <c r="F413" s="10">
        <f t="shared" si="36"/>
        <v>302</v>
      </c>
      <c r="G413" s="14">
        <f t="shared" si="37"/>
        <v>1507.5</v>
      </c>
      <c r="H413" s="7">
        <f t="shared" si="38"/>
        <v>4666</v>
      </c>
      <c r="I413" s="10">
        <f t="shared" si="39"/>
        <v>5159.5</v>
      </c>
      <c r="J413">
        <f t="shared" si="40"/>
        <v>0</v>
      </c>
      <c r="K413">
        <f t="shared" si="41"/>
        <v>0</v>
      </c>
    </row>
    <row r="414" spans="1:11" x14ac:dyDescent="0.3">
      <c r="A414" s="7">
        <v>5940</v>
      </c>
      <c r="B414">
        <v>8</v>
      </c>
      <c r="C414">
        <v>35</v>
      </c>
      <c r="D414">
        <v>1</v>
      </c>
      <c r="E414" t="s">
        <v>19</v>
      </c>
      <c r="F414" s="10">
        <f t="shared" si="36"/>
        <v>476</v>
      </c>
      <c r="G414" s="14">
        <f t="shared" si="37"/>
        <v>2079</v>
      </c>
      <c r="H414" s="7">
        <f t="shared" si="38"/>
        <v>4666</v>
      </c>
      <c r="I414" s="10">
        <f t="shared" si="39"/>
        <v>8495</v>
      </c>
      <c r="J414">
        <f t="shared" si="40"/>
        <v>0</v>
      </c>
      <c r="K414">
        <f t="shared" si="41"/>
        <v>0</v>
      </c>
    </row>
    <row r="415" spans="1:11" x14ac:dyDescent="0.3">
      <c r="A415" s="7">
        <v>1137</v>
      </c>
      <c r="B415">
        <v>20</v>
      </c>
      <c r="C415">
        <v>30</v>
      </c>
      <c r="D415">
        <v>6</v>
      </c>
      <c r="E415" t="s">
        <v>18</v>
      </c>
      <c r="F415" s="10">
        <f t="shared" si="36"/>
        <v>228</v>
      </c>
      <c r="G415" s="14">
        <f t="shared" si="37"/>
        <v>341.1</v>
      </c>
      <c r="H415" s="7">
        <f t="shared" si="38"/>
        <v>777.67</v>
      </c>
      <c r="I415" s="10">
        <f t="shared" si="39"/>
        <v>1706.1</v>
      </c>
      <c r="J415">
        <f t="shared" si="40"/>
        <v>0</v>
      </c>
      <c r="K415">
        <f t="shared" si="41"/>
        <v>0</v>
      </c>
    </row>
    <row r="416" spans="1:11" x14ac:dyDescent="0.3">
      <c r="A416" s="7">
        <v>1396</v>
      </c>
      <c r="B416">
        <v>2</v>
      </c>
      <c r="C416">
        <v>45</v>
      </c>
      <c r="D416">
        <v>5</v>
      </c>
      <c r="E416" t="s">
        <v>17</v>
      </c>
      <c r="F416" s="10">
        <f t="shared" si="36"/>
        <v>28</v>
      </c>
      <c r="G416" s="14">
        <f t="shared" si="37"/>
        <v>628.20000000000005</v>
      </c>
      <c r="H416" s="7">
        <f t="shared" si="38"/>
        <v>933.2</v>
      </c>
      <c r="I416" s="10">
        <f t="shared" si="39"/>
        <v>2052.1999999999998</v>
      </c>
      <c r="J416">
        <f t="shared" si="40"/>
        <v>0</v>
      </c>
      <c r="K416">
        <f t="shared" si="41"/>
        <v>0</v>
      </c>
    </row>
    <row r="417" spans="1:11" x14ac:dyDescent="0.3">
      <c r="A417" s="7">
        <v>6490</v>
      </c>
      <c r="B417">
        <v>1</v>
      </c>
      <c r="C417">
        <v>50</v>
      </c>
      <c r="D417">
        <v>1</v>
      </c>
      <c r="E417" t="s">
        <v>19</v>
      </c>
      <c r="F417" s="10">
        <f t="shared" si="36"/>
        <v>65</v>
      </c>
      <c r="G417" s="14">
        <f t="shared" si="37"/>
        <v>3245</v>
      </c>
      <c r="H417" s="7">
        <f t="shared" si="38"/>
        <v>4666</v>
      </c>
      <c r="I417" s="10">
        <f t="shared" si="39"/>
        <v>9800</v>
      </c>
      <c r="J417">
        <f t="shared" si="40"/>
        <v>0</v>
      </c>
      <c r="K417">
        <f t="shared" si="41"/>
        <v>0</v>
      </c>
    </row>
    <row r="418" spans="1:11" x14ac:dyDescent="0.3">
      <c r="A418" s="7">
        <v>326</v>
      </c>
      <c r="B418">
        <v>17</v>
      </c>
      <c r="C418">
        <v>40</v>
      </c>
      <c r="D418">
        <v>9</v>
      </c>
      <c r="E418" t="s">
        <v>15</v>
      </c>
      <c r="F418" s="10">
        <f t="shared" si="36"/>
        <v>56</v>
      </c>
      <c r="G418" s="14">
        <f t="shared" si="37"/>
        <v>130.4</v>
      </c>
      <c r="H418" s="7">
        <f t="shared" si="38"/>
        <v>518.44000000000005</v>
      </c>
      <c r="I418" s="10">
        <f t="shared" si="39"/>
        <v>512.4</v>
      </c>
      <c r="J418">
        <f t="shared" si="40"/>
        <v>1</v>
      </c>
      <c r="K418">
        <f t="shared" si="41"/>
        <v>6.0400000000000773</v>
      </c>
    </row>
    <row r="419" spans="1:11" x14ac:dyDescent="0.3">
      <c r="A419" s="7">
        <v>5900</v>
      </c>
      <c r="B419">
        <v>6</v>
      </c>
      <c r="C419">
        <v>5</v>
      </c>
      <c r="D419">
        <v>1</v>
      </c>
      <c r="E419" t="s">
        <v>17</v>
      </c>
      <c r="F419" s="10">
        <f t="shared" si="36"/>
        <v>354</v>
      </c>
      <c r="G419" s="14">
        <f t="shared" si="37"/>
        <v>295</v>
      </c>
      <c r="H419" s="7">
        <f t="shared" si="38"/>
        <v>4666</v>
      </c>
      <c r="I419" s="10">
        <f t="shared" si="39"/>
        <v>6549</v>
      </c>
      <c r="J419">
        <f t="shared" si="40"/>
        <v>0</v>
      </c>
      <c r="K419">
        <f t="shared" si="41"/>
        <v>0</v>
      </c>
    </row>
    <row r="420" spans="1:11" x14ac:dyDescent="0.3">
      <c r="A420" s="7">
        <v>1897</v>
      </c>
      <c r="B420">
        <v>16</v>
      </c>
      <c r="C420">
        <v>5</v>
      </c>
      <c r="D420">
        <v>3</v>
      </c>
      <c r="E420" t="s">
        <v>15</v>
      </c>
      <c r="F420" s="10">
        <f t="shared" si="36"/>
        <v>304</v>
      </c>
      <c r="G420" s="14">
        <f t="shared" si="37"/>
        <v>94.85</v>
      </c>
      <c r="H420" s="7">
        <f t="shared" si="38"/>
        <v>1555.33</v>
      </c>
      <c r="I420" s="10">
        <f t="shared" si="39"/>
        <v>2295.85</v>
      </c>
      <c r="J420">
        <f t="shared" si="40"/>
        <v>0</v>
      </c>
      <c r="K420">
        <f t="shared" si="41"/>
        <v>0</v>
      </c>
    </row>
    <row r="421" spans="1:11" x14ac:dyDescent="0.3">
      <c r="A421" s="7">
        <v>835</v>
      </c>
      <c r="B421">
        <v>15</v>
      </c>
      <c r="C421">
        <v>5</v>
      </c>
      <c r="D421">
        <v>4</v>
      </c>
      <c r="E421" t="s">
        <v>19</v>
      </c>
      <c r="F421" s="10">
        <f t="shared" si="36"/>
        <v>126</v>
      </c>
      <c r="G421" s="14">
        <f t="shared" si="37"/>
        <v>41.75</v>
      </c>
      <c r="H421" s="7">
        <f t="shared" si="38"/>
        <v>1166.5</v>
      </c>
      <c r="I421" s="10">
        <f t="shared" si="39"/>
        <v>1002.75</v>
      </c>
      <c r="J421">
        <f t="shared" si="40"/>
        <v>1</v>
      </c>
      <c r="K421">
        <f t="shared" si="41"/>
        <v>163.75</v>
      </c>
    </row>
    <row r="422" spans="1:11" x14ac:dyDescent="0.3">
      <c r="A422" s="7">
        <v>1022</v>
      </c>
      <c r="B422">
        <v>4</v>
      </c>
      <c r="C422">
        <v>5</v>
      </c>
      <c r="D422">
        <v>6</v>
      </c>
      <c r="E422" t="s">
        <v>18</v>
      </c>
      <c r="F422" s="10">
        <f t="shared" si="36"/>
        <v>41</v>
      </c>
      <c r="G422" s="14">
        <f t="shared" si="37"/>
        <v>51.1</v>
      </c>
      <c r="H422" s="7">
        <f t="shared" si="38"/>
        <v>777.67</v>
      </c>
      <c r="I422" s="10">
        <f t="shared" si="39"/>
        <v>1114.0999999999999</v>
      </c>
      <c r="J422">
        <f t="shared" si="40"/>
        <v>0</v>
      </c>
      <c r="K422">
        <f t="shared" si="41"/>
        <v>0</v>
      </c>
    </row>
    <row r="423" spans="1:11" x14ac:dyDescent="0.3">
      <c r="A423" s="7">
        <v>1680</v>
      </c>
      <c r="B423">
        <v>6</v>
      </c>
      <c r="C423">
        <v>15</v>
      </c>
      <c r="D423">
        <v>3</v>
      </c>
      <c r="E423" t="s">
        <v>15</v>
      </c>
      <c r="F423" s="10">
        <f t="shared" si="36"/>
        <v>101</v>
      </c>
      <c r="G423" s="14">
        <f t="shared" si="37"/>
        <v>252</v>
      </c>
      <c r="H423" s="7">
        <f t="shared" si="38"/>
        <v>1555.33</v>
      </c>
      <c r="I423" s="10">
        <f t="shared" si="39"/>
        <v>2033</v>
      </c>
      <c r="J423">
        <f t="shared" si="40"/>
        <v>0</v>
      </c>
      <c r="K423">
        <f t="shared" si="41"/>
        <v>0</v>
      </c>
    </row>
    <row r="424" spans="1:11" x14ac:dyDescent="0.3">
      <c r="A424" s="7">
        <v>510</v>
      </c>
      <c r="B424">
        <v>5</v>
      </c>
      <c r="C424">
        <v>0</v>
      </c>
      <c r="D424">
        <v>8</v>
      </c>
      <c r="E424" t="s">
        <v>17</v>
      </c>
      <c r="F424" s="10">
        <f t="shared" si="36"/>
        <v>26</v>
      </c>
      <c r="G424" s="14">
        <f t="shared" si="37"/>
        <v>0</v>
      </c>
      <c r="H424" s="7">
        <f t="shared" si="38"/>
        <v>583.25</v>
      </c>
      <c r="I424" s="10">
        <f t="shared" si="39"/>
        <v>536</v>
      </c>
      <c r="J424">
        <f t="shared" si="40"/>
        <v>1</v>
      </c>
      <c r="K424">
        <f t="shared" si="41"/>
        <v>47.25</v>
      </c>
    </row>
    <row r="425" spans="1:11" x14ac:dyDescent="0.3">
      <c r="A425" s="7">
        <v>1893</v>
      </c>
      <c r="B425">
        <v>5</v>
      </c>
      <c r="C425">
        <v>40</v>
      </c>
      <c r="D425">
        <v>3</v>
      </c>
      <c r="E425" t="s">
        <v>20</v>
      </c>
      <c r="F425" s="10">
        <f t="shared" si="36"/>
        <v>95</v>
      </c>
      <c r="G425" s="14">
        <f t="shared" si="37"/>
        <v>757.2</v>
      </c>
      <c r="H425" s="7">
        <f t="shared" si="38"/>
        <v>1555.33</v>
      </c>
      <c r="I425" s="10">
        <f t="shared" si="39"/>
        <v>2745.2</v>
      </c>
      <c r="J425">
        <f t="shared" si="40"/>
        <v>0</v>
      </c>
      <c r="K425">
        <f t="shared" si="41"/>
        <v>0</v>
      </c>
    </row>
    <row r="426" spans="1:11" x14ac:dyDescent="0.3">
      <c r="A426" s="7">
        <v>4620</v>
      </c>
      <c r="B426">
        <v>20</v>
      </c>
      <c r="C426">
        <v>20</v>
      </c>
      <c r="D426">
        <v>1</v>
      </c>
      <c r="E426" t="s">
        <v>18</v>
      </c>
      <c r="F426" s="10">
        <f t="shared" si="36"/>
        <v>924</v>
      </c>
      <c r="G426" s="14">
        <f t="shared" si="37"/>
        <v>924</v>
      </c>
      <c r="H426" s="7">
        <f t="shared" si="38"/>
        <v>4666</v>
      </c>
      <c r="I426" s="10">
        <f t="shared" si="39"/>
        <v>6468</v>
      </c>
      <c r="J426">
        <f t="shared" si="40"/>
        <v>0</v>
      </c>
      <c r="K426">
        <f t="shared" si="41"/>
        <v>0</v>
      </c>
    </row>
    <row r="427" spans="1:11" x14ac:dyDescent="0.3">
      <c r="A427" s="7">
        <v>3500</v>
      </c>
      <c r="B427">
        <v>7</v>
      </c>
      <c r="C427">
        <v>20</v>
      </c>
      <c r="D427">
        <v>1</v>
      </c>
      <c r="E427" t="s">
        <v>15</v>
      </c>
      <c r="F427" s="10">
        <f t="shared" si="36"/>
        <v>245</v>
      </c>
      <c r="G427" s="14">
        <f t="shared" si="37"/>
        <v>700</v>
      </c>
      <c r="H427" s="7">
        <f t="shared" si="38"/>
        <v>4666</v>
      </c>
      <c r="I427" s="10">
        <f t="shared" si="39"/>
        <v>4445</v>
      </c>
      <c r="J427">
        <f t="shared" si="40"/>
        <v>1</v>
      </c>
      <c r="K427">
        <f t="shared" si="41"/>
        <v>221</v>
      </c>
    </row>
    <row r="428" spans="1:11" x14ac:dyDescent="0.3">
      <c r="A428" s="7">
        <v>5890</v>
      </c>
      <c r="B428">
        <v>6</v>
      </c>
      <c r="C428">
        <v>45</v>
      </c>
      <c r="D428">
        <v>1</v>
      </c>
      <c r="E428" t="s">
        <v>21</v>
      </c>
      <c r="F428" s="10">
        <f t="shared" si="36"/>
        <v>354</v>
      </c>
      <c r="G428" s="14">
        <f t="shared" si="37"/>
        <v>2650.5</v>
      </c>
      <c r="H428" s="7">
        <f t="shared" si="38"/>
        <v>4666</v>
      </c>
      <c r="I428" s="10">
        <f t="shared" si="39"/>
        <v>8894.5</v>
      </c>
      <c r="J428">
        <f t="shared" si="40"/>
        <v>0</v>
      </c>
      <c r="K428">
        <f t="shared" si="41"/>
        <v>0</v>
      </c>
    </row>
    <row r="429" spans="1:11" x14ac:dyDescent="0.3">
      <c r="A429" s="7">
        <v>636</v>
      </c>
      <c r="B429">
        <v>20</v>
      </c>
      <c r="C429">
        <v>40</v>
      </c>
      <c r="D429">
        <v>8</v>
      </c>
      <c r="E429" t="s">
        <v>20</v>
      </c>
      <c r="F429" s="10">
        <f t="shared" si="36"/>
        <v>128</v>
      </c>
      <c r="G429" s="14">
        <f t="shared" si="37"/>
        <v>254.4</v>
      </c>
      <c r="H429" s="7">
        <f t="shared" si="38"/>
        <v>583.25</v>
      </c>
      <c r="I429" s="10">
        <f t="shared" si="39"/>
        <v>1018.4</v>
      </c>
      <c r="J429">
        <f t="shared" si="40"/>
        <v>0</v>
      </c>
      <c r="K429">
        <f t="shared" si="41"/>
        <v>0</v>
      </c>
    </row>
    <row r="430" spans="1:11" x14ac:dyDescent="0.3">
      <c r="A430" s="7">
        <v>1543</v>
      </c>
      <c r="B430">
        <v>9</v>
      </c>
      <c r="C430">
        <v>45</v>
      </c>
      <c r="D430">
        <v>4</v>
      </c>
      <c r="E430" t="s">
        <v>19</v>
      </c>
      <c r="F430" s="10">
        <f t="shared" si="36"/>
        <v>139</v>
      </c>
      <c r="G430" s="14">
        <f t="shared" si="37"/>
        <v>694.35</v>
      </c>
      <c r="H430" s="7">
        <f t="shared" si="38"/>
        <v>1166.5</v>
      </c>
      <c r="I430" s="10">
        <f t="shared" si="39"/>
        <v>2376.35</v>
      </c>
      <c r="J430">
        <f t="shared" si="40"/>
        <v>0</v>
      </c>
      <c r="K430">
        <f t="shared" si="41"/>
        <v>0</v>
      </c>
    </row>
    <row r="431" spans="1:11" x14ac:dyDescent="0.3">
      <c r="A431" s="7">
        <v>306</v>
      </c>
      <c r="B431">
        <v>3</v>
      </c>
      <c r="C431">
        <v>45</v>
      </c>
      <c r="D431">
        <v>9</v>
      </c>
      <c r="E431" t="s">
        <v>15</v>
      </c>
      <c r="F431" s="10">
        <f t="shared" si="36"/>
        <v>10</v>
      </c>
      <c r="G431" s="14">
        <f t="shared" si="37"/>
        <v>137.69999999999999</v>
      </c>
      <c r="H431" s="7">
        <f t="shared" si="38"/>
        <v>518.44000000000005</v>
      </c>
      <c r="I431" s="10">
        <f t="shared" si="39"/>
        <v>453.7</v>
      </c>
      <c r="J431">
        <f t="shared" si="40"/>
        <v>1</v>
      </c>
      <c r="K431">
        <f t="shared" si="41"/>
        <v>64.740000000000066</v>
      </c>
    </row>
    <row r="432" spans="1:11" x14ac:dyDescent="0.3">
      <c r="A432" s="7">
        <v>1690</v>
      </c>
      <c r="B432">
        <v>11</v>
      </c>
      <c r="C432">
        <v>40</v>
      </c>
      <c r="D432">
        <v>3</v>
      </c>
      <c r="E432" t="s">
        <v>16</v>
      </c>
      <c r="F432" s="10">
        <f t="shared" si="36"/>
        <v>186</v>
      </c>
      <c r="G432" s="14">
        <f t="shared" si="37"/>
        <v>676</v>
      </c>
      <c r="H432" s="7">
        <f t="shared" si="38"/>
        <v>1555.33</v>
      </c>
      <c r="I432" s="10">
        <f t="shared" si="39"/>
        <v>2552</v>
      </c>
      <c r="J432">
        <f t="shared" si="40"/>
        <v>0</v>
      </c>
      <c r="K432">
        <f t="shared" si="41"/>
        <v>0</v>
      </c>
    </row>
    <row r="433" spans="1:11" x14ac:dyDescent="0.3">
      <c r="A433" s="7">
        <v>606</v>
      </c>
      <c r="B433">
        <v>16</v>
      </c>
      <c r="C433">
        <v>30</v>
      </c>
      <c r="D433">
        <v>7</v>
      </c>
      <c r="E433" t="s">
        <v>21</v>
      </c>
      <c r="F433" s="10">
        <f t="shared" si="36"/>
        <v>97</v>
      </c>
      <c r="G433" s="14">
        <f t="shared" si="37"/>
        <v>181.8</v>
      </c>
      <c r="H433" s="7">
        <f t="shared" si="38"/>
        <v>666.57</v>
      </c>
      <c r="I433" s="10">
        <f t="shared" si="39"/>
        <v>884.8</v>
      </c>
      <c r="J433">
        <f t="shared" si="40"/>
        <v>0</v>
      </c>
      <c r="K433">
        <f t="shared" si="41"/>
        <v>0</v>
      </c>
    </row>
    <row r="434" spans="1:11" x14ac:dyDescent="0.3">
      <c r="A434" s="7">
        <v>5910</v>
      </c>
      <c r="B434">
        <v>17</v>
      </c>
      <c r="C434">
        <v>5</v>
      </c>
      <c r="D434">
        <v>1</v>
      </c>
      <c r="E434" t="s">
        <v>19</v>
      </c>
      <c r="F434" s="10">
        <f t="shared" si="36"/>
        <v>1005</v>
      </c>
      <c r="G434" s="14">
        <f t="shared" si="37"/>
        <v>295.5</v>
      </c>
      <c r="H434" s="7">
        <f t="shared" si="38"/>
        <v>4666</v>
      </c>
      <c r="I434" s="10">
        <f t="shared" si="39"/>
        <v>7210.5</v>
      </c>
      <c r="J434">
        <f t="shared" si="40"/>
        <v>0</v>
      </c>
      <c r="K434">
        <f t="shared" si="41"/>
        <v>0</v>
      </c>
    </row>
    <row r="435" spans="1:11" x14ac:dyDescent="0.3">
      <c r="A435" s="7">
        <v>339</v>
      </c>
      <c r="B435">
        <v>18</v>
      </c>
      <c r="C435">
        <v>25</v>
      </c>
      <c r="D435">
        <v>10</v>
      </c>
      <c r="E435" t="s">
        <v>21</v>
      </c>
      <c r="F435" s="10">
        <f t="shared" si="36"/>
        <v>62</v>
      </c>
      <c r="G435" s="14">
        <f t="shared" si="37"/>
        <v>84.75</v>
      </c>
      <c r="H435" s="7">
        <f t="shared" si="38"/>
        <v>466.6</v>
      </c>
      <c r="I435" s="10">
        <f t="shared" si="39"/>
        <v>485.75</v>
      </c>
      <c r="J435">
        <f t="shared" si="40"/>
        <v>0</v>
      </c>
      <c r="K435">
        <f t="shared" si="41"/>
        <v>0</v>
      </c>
    </row>
    <row r="436" spans="1:11" x14ac:dyDescent="0.3">
      <c r="A436" s="7">
        <v>4060</v>
      </c>
      <c r="B436">
        <v>4</v>
      </c>
      <c r="C436">
        <v>25</v>
      </c>
      <c r="D436">
        <v>1</v>
      </c>
      <c r="E436" t="s">
        <v>19</v>
      </c>
      <c r="F436" s="10">
        <f t="shared" si="36"/>
        <v>163</v>
      </c>
      <c r="G436" s="14">
        <f t="shared" si="37"/>
        <v>1015</v>
      </c>
      <c r="H436" s="7">
        <f t="shared" si="38"/>
        <v>4666</v>
      </c>
      <c r="I436" s="10">
        <f t="shared" si="39"/>
        <v>5238</v>
      </c>
      <c r="J436">
        <f t="shared" si="40"/>
        <v>0</v>
      </c>
      <c r="K436">
        <f t="shared" si="41"/>
        <v>0</v>
      </c>
    </row>
    <row r="437" spans="1:11" x14ac:dyDescent="0.3">
      <c r="A437" s="7">
        <v>1160</v>
      </c>
      <c r="B437">
        <v>0</v>
      </c>
      <c r="C437">
        <v>25</v>
      </c>
      <c r="D437">
        <v>6</v>
      </c>
      <c r="E437" t="s">
        <v>15</v>
      </c>
      <c r="F437" s="10">
        <f t="shared" si="36"/>
        <v>0</v>
      </c>
      <c r="G437" s="14">
        <f t="shared" si="37"/>
        <v>290</v>
      </c>
      <c r="H437" s="7">
        <f t="shared" si="38"/>
        <v>777.67</v>
      </c>
      <c r="I437" s="10">
        <f t="shared" si="39"/>
        <v>1450</v>
      </c>
      <c r="J437">
        <f t="shared" si="40"/>
        <v>0</v>
      </c>
      <c r="K437">
        <f t="shared" si="41"/>
        <v>0</v>
      </c>
    </row>
    <row r="438" spans="1:11" x14ac:dyDescent="0.3">
      <c r="A438" s="7">
        <v>394</v>
      </c>
      <c r="B438">
        <v>12</v>
      </c>
      <c r="C438">
        <v>30</v>
      </c>
      <c r="D438">
        <v>9</v>
      </c>
      <c r="E438" t="s">
        <v>17</v>
      </c>
      <c r="F438" s="10">
        <f t="shared" si="36"/>
        <v>48</v>
      </c>
      <c r="G438" s="14">
        <f t="shared" si="37"/>
        <v>118.2</v>
      </c>
      <c r="H438" s="7">
        <f t="shared" si="38"/>
        <v>518.44000000000005</v>
      </c>
      <c r="I438" s="10">
        <f t="shared" si="39"/>
        <v>560.20000000000005</v>
      </c>
      <c r="J438">
        <f t="shared" si="40"/>
        <v>0</v>
      </c>
      <c r="K438">
        <f t="shared" si="41"/>
        <v>0</v>
      </c>
    </row>
    <row r="439" spans="1:11" x14ac:dyDescent="0.3">
      <c r="A439" s="7">
        <v>930</v>
      </c>
      <c r="B439">
        <v>7</v>
      </c>
      <c r="C439">
        <v>35</v>
      </c>
      <c r="D439">
        <v>7</v>
      </c>
      <c r="E439" t="s">
        <v>19</v>
      </c>
      <c r="F439" s="10">
        <f t="shared" si="36"/>
        <v>66</v>
      </c>
      <c r="G439" s="14">
        <f t="shared" si="37"/>
        <v>325.5</v>
      </c>
      <c r="H439" s="7">
        <f t="shared" si="38"/>
        <v>666.57</v>
      </c>
      <c r="I439" s="10">
        <f t="shared" si="39"/>
        <v>1321.5</v>
      </c>
      <c r="J439">
        <f t="shared" si="40"/>
        <v>0</v>
      </c>
      <c r="K439">
        <f t="shared" si="41"/>
        <v>0</v>
      </c>
    </row>
    <row r="440" spans="1:11" x14ac:dyDescent="0.3">
      <c r="A440" s="7">
        <v>366</v>
      </c>
      <c r="B440">
        <v>7</v>
      </c>
      <c r="C440">
        <v>35</v>
      </c>
      <c r="D440">
        <v>10</v>
      </c>
      <c r="E440" t="s">
        <v>17</v>
      </c>
      <c r="F440" s="10">
        <f t="shared" si="36"/>
        <v>26</v>
      </c>
      <c r="G440" s="14">
        <f t="shared" si="37"/>
        <v>128.1</v>
      </c>
      <c r="H440" s="7">
        <f t="shared" si="38"/>
        <v>466.6</v>
      </c>
      <c r="I440" s="10">
        <f t="shared" si="39"/>
        <v>520.1</v>
      </c>
      <c r="J440">
        <f t="shared" si="40"/>
        <v>0</v>
      </c>
      <c r="K440">
        <f t="shared" si="41"/>
        <v>0</v>
      </c>
    </row>
    <row r="441" spans="1:11" x14ac:dyDescent="0.3">
      <c r="A441" s="7">
        <v>413</v>
      </c>
      <c r="B441">
        <v>11</v>
      </c>
      <c r="C441">
        <v>10</v>
      </c>
      <c r="D441">
        <v>9</v>
      </c>
      <c r="E441" t="s">
        <v>18</v>
      </c>
      <c r="F441" s="10">
        <f t="shared" si="36"/>
        <v>46</v>
      </c>
      <c r="G441" s="14">
        <f t="shared" si="37"/>
        <v>41.3</v>
      </c>
      <c r="H441" s="7">
        <f t="shared" si="38"/>
        <v>518.44000000000005</v>
      </c>
      <c r="I441" s="10">
        <f t="shared" si="39"/>
        <v>500.3</v>
      </c>
      <c r="J441">
        <f t="shared" si="40"/>
        <v>1</v>
      </c>
      <c r="K441">
        <f t="shared" si="41"/>
        <v>18.140000000000043</v>
      </c>
    </row>
    <row r="442" spans="1:11" x14ac:dyDescent="0.3">
      <c r="A442" s="7">
        <v>357.5</v>
      </c>
      <c r="B442">
        <v>10</v>
      </c>
      <c r="C442">
        <v>25</v>
      </c>
      <c r="D442">
        <v>9</v>
      </c>
      <c r="E442" t="s">
        <v>15</v>
      </c>
      <c r="F442" s="10">
        <f t="shared" si="36"/>
        <v>36</v>
      </c>
      <c r="G442" s="14">
        <f t="shared" si="37"/>
        <v>89.38</v>
      </c>
      <c r="H442" s="7">
        <f t="shared" si="38"/>
        <v>518.44000000000005</v>
      </c>
      <c r="I442" s="10">
        <f t="shared" si="39"/>
        <v>482.88</v>
      </c>
      <c r="J442">
        <f t="shared" si="40"/>
        <v>1</v>
      </c>
      <c r="K442">
        <f t="shared" si="41"/>
        <v>35.560000000000059</v>
      </c>
    </row>
    <row r="443" spans="1:11" x14ac:dyDescent="0.3">
      <c r="A443" s="7">
        <v>2825</v>
      </c>
      <c r="B443">
        <v>2</v>
      </c>
      <c r="C443">
        <v>10</v>
      </c>
      <c r="D443">
        <v>2</v>
      </c>
      <c r="E443" t="s">
        <v>21</v>
      </c>
      <c r="F443" s="10">
        <f t="shared" si="36"/>
        <v>57</v>
      </c>
      <c r="G443" s="14">
        <f t="shared" si="37"/>
        <v>282.5</v>
      </c>
      <c r="H443" s="7">
        <f t="shared" si="38"/>
        <v>2333</v>
      </c>
      <c r="I443" s="10">
        <f t="shared" si="39"/>
        <v>3164.5</v>
      </c>
      <c r="J443">
        <f t="shared" si="40"/>
        <v>0</v>
      </c>
      <c r="K443">
        <f t="shared" si="41"/>
        <v>0</v>
      </c>
    </row>
    <row r="444" spans="1:11" x14ac:dyDescent="0.3">
      <c r="A444" s="7">
        <v>608</v>
      </c>
      <c r="B444">
        <v>1</v>
      </c>
      <c r="C444">
        <v>15</v>
      </c>
      <c r="D444">
        <v>6</v>
      </c>
      <c r="E444" t="s">
        <v>16</v>
      </c>
      <c r="F444" s="10">
        <f t="shared" si="36"/>
        <v>7</v>
      </c>
      <c r="G444" s="14">
        <f t="shared" si="37"/>
        <v>91.2</v>
      </c>
      <c r="H444" s="7">
        <f t="shared" si="38"/>
        <v>777.67</v>
      </c>
      <c r="I444" s="10">
        <f t="shared" si="39"/>
        <v>706.2</v>
      </c>
      <c r="J444">
        <f t="shared" si="40"/>
        <v>1</v>
      </c>
      <c r="K444">
        <f t="shared" si="41"/>
        <v>71.469999999999914</v>
      </c>
    </row>
    <row r="445" spans="1:11" x14ac:dyDescent="0.3">
      <c r="A445" s="7">
        <v>4130</v>
      </c>
      <c r="B445">
        <v>18</v>
      </c>
      <c r="C445">
        <v>0</v>
      </c>
      <c r="D445">
        <v>1</v>
      </c>
      <c r="E445" t="s">
        <v>19</v>
      </c>
      <c r="F445" s="10">
        <f t="shared" si="36"/>
        <v>744</v>
      </c>
      <c r="G445" s="14">
        <f t="shared" si="37"/>
        <v>0</v>
      </c>
      <c r="H445" s="7">
        <f t="shared" si="38"/>
        <v>4666</v>
      </c>
      <c r="I445" s="10">
        <f t="shared" si="39"/>
        <v>4874</v>
      </c>
      <c r="J445">
        <f t="shared" si="40"/>
        <v>0</v>
      </c>
      <c r="K445">
        <f t="shared" si="41"/>
        <v>0</v>
      </c>
    </row>
    <row r="446" spans="1:11" x14ac:dyDescent="0.3">
      <c r="A446" s="7">
        <v>851</v>
      </c>
      <c r="B446">
        <v>15</v>
      </c>
      <c r="C446">
        <v>30</v>
      </c>
      <c r="D446">
        <v>8</v>
      </c>
      <c r="E446" t="s">
        <v>17</v>
      </c>
      <c r="F446" s="10">
        <f t="shared" si="36"/>
        <v>128</v>
      </c>
      <c r="G446" s="14">
        <f t="shared" si="37"/>
        <v>255.3</v>
      </c>
      <c r="H446" s="7">
        <f t="shared" si="38"/>
        <v>583.25</v>
      </c>
      <c r="I446" s="10">
        <f t="shared" si="39"/>
        <v>1234.3</v>
      </c>
      <c r="J446">
        <f t="shared" si="40"/>
        <v>0</v>
      </c>
      <c r="K446">
        <f t="shared" si="41"/>
        <v>0</v>
      </c>
    </row>
    <row r="447" spans="1:11" x14ac:dyDescent="0.3">
      <c r="A447" s="7">
        <v>422</v>
      </c>
      <c r="B447">
        <v>20</v>
      </c>
      <c r="C447">
        <v>10</v>
      </c>
      <c r="D447">
        <v>9</v>
      </c>
      <c r="E447" t="s">
        <v>17</v>
      </c>
      <c r="F447" s="10">
        <f t="shared" si="36"/>
        <v>85</v>
      </c>
      <c r="G447" s="14">
        <f t="shared" si="37"/>
        <v>42.2</v>
      </c>
      <c r="H447" s="7">
        <f t="shared" si="38"/>
        <v>518.44000000000005</v>
      </c>
      <c r="I447" s="10">
        <f t="shared" si="39"/>
        <v>549.20000000000005</v>
      </c>
      <c r="J447">
        <f t="shared" si="40"/>
        <v>0</v>
      </c>
      <c r="K447">
        <f t="shared" si="41"/>
        <v>0</v>
      </c>
    </row>
    <row r="448" spans="1:11" x14ac:dyDescent="0.3">
      <c r="A448" s="7">
        <v>698</v>
      </c>
      <c r="B448">
        <v>15</v>
      </c>
      <c r="C448">
        <v>0</v>
      </c>
      <c r="D448">
        <v>9</v>
      </c>
      <c r="E448" t="s">
        <v>20</v>
      </c>
      <c r="F448" s="10">
        <f t="shared" si="36"/>
        <v>105</v>
      </c>
      <c r="G448" s="14">
        <f t="shared" si="37"/>
        <v>0</v>
      </c>
      <c r="H448" s="7">
        <f t="shared" si="38"/>
        <v>518.44000000000005</v>
      </c>
      <c r="I448" s="10">
        <f t="shared" si="39"/>
        <v>803</v>
      </c>
      <c r="J448">
        <f t="shared" si="40"/>
        <v>0</v>
      </c>
      <c r="K448">
        <f t="shared" si="41"/>
        <v>0</v>
      </c>
    </row>
    <row r="449" spans="1:11" x14ac:dyDescent="0.3">
      <c r="A449" s="7">
        <v>657</v>
      </c>
      <c r="B449">
        <v>2</v>
      </c>
      <c r="C449">
        <v>45</v>
      </c>
      <c r="D449">
        <v>7</v>
      </c>
      <c r="E449" t="s">
        <v>18</v>
      </c>
      <c r="F449" s="10">
        <f t="shared" si="36"/>
        <v>14</v>
      </c>
      <c r="G449" s="14">
        <f t="shared" si="37"/>
        <v>295.64999999999998</v>
      </c>
      <c r="H449" s="7">
        <f t="shared" si="38"/>
        <v>666.57</v>
      </c>
      <c r="I449" s="10">
        <f t="shared" si="39"/>
        <v>966.65</v>
      </c>
      <c r="J449">
        <f t="shared" si="40"/>
        <v>0</v>
      </c>
      <c r="K449">
        <f t="shared" si="41"/>
        <v>0</v>
      </c>
    </row>
    <row r="450" spans="1:11" x14ac:dyDescent="0.3">
      <c r="A450" s="7">
        <v>957</v>
      </c>
      <c r="B450">
        <v>5</v>
      </c>
      <c r="C450">
        <v>35</v>
      </c>
      <c r="D450">
        <v>3</v>
      </c>
      <c r="E450" t="s">
        <v>18</v>
      </c>
      <c r="F450" s="10">
        <f t="shared" si="36"/>
        <v>48</v>
      </c>
      <c r="G450" s="14">
        <f t="shared" si="37"/>
        <v>334.95</v>
      </c>
      <c r="H450" s="7">
        <f t="shared" si="38"/>
        <v>1555.33</v>
      </c>
      <c r="I450" s="10">
        <f t="shared" si="39"/>
        <v>1339.95</v>
      </c>
      <c r="J450">
        <f t="shared" si="40"/>
        <v>1</v>
      </c>
      <c r="K450">
        <f t="shared" si="41"/>
        <v>215.37999999999988</v>
      </c>
    </row>
    <row r="451" spans="1:11" x14ac:dyDescent="0.3">
      <c r="A451" s="7">
        <v>2790</v>
      </c>
      <c r="B451">
        <v>18</v>
      </c>
      <c r="C451">
        <v>30</v>
      </c>
      <c r="D451">
        <v>1</v>
      </c>
      <c r="E451" t="s">
        <v>18</v>
      </c>
      <c r="F451" s="10">
        <f t="shared" ref="F451:F501" si="42">ROUNDUP(0.01*B451*A451,0)</f>
        <v>503</v>
      </c>
      <c r="G451" s="14">
        <f t="shared" ref="G451:G501" si="43">ROUND(C451/100*A451,2)</f>
        <v>837</v>
      </c>
      <c r="H451" s="7">
        <f t="shared" ref="H451:H501" si="44">ROUND(4666/D451:D950,2)</f>
        <v>4666</v>
      </c>
      <c r="I451" s="10">
        <f t="shared" ref="I451:I501" si="45">G451+A451+F451</f>
        <v>4130</v>
      </c>
      <c r="J451">
        <f t="shared" ref="J451:J501" si="46">IF(H451&gt;I451,1,0)</f>
        <v>1</v>
      </c>
      <c r="K451">
        <f t="shared" ref="K451:K501" si="47">IF(J451=1,H451-I451,0)</f>
        <v>536</v>
      </c>
    </row>
    <row r="452" spans="1:11" x14ac:dyDescent="0.3">
      <c r="A452" s="7">
        <v>585</v>
      </c>
      <c r="B452">
        <v>6</v>
      </c>
      <c r="C452">
        <v>5</v>
      </c>
      <c r="D452">
        <v>10</v>
      </c>
      <c r="E452" t="s">
        <v>17</v>
      </c>
      <c r="F452" s="10">
        <f t="shared" si="42"/>
        <v>36</v>
      </c>
      <c r="G452" s="14">
        <f t="shared" si="43"/>
        <v>29.25</v>
      </c>
      <c r="H452" s="7">
        <f t="shared" si="44"/>
        <v>466.6</v>
      </c>
      <c r="I452" s="10">
        <f t="shared" si="45"/>
        <v>650.25</v>
      </c>
      <c r="J452">
        <f t="shared" si="46"/>
        <v>0</v>
      </c>
      <c r="K452">
        <f t="shared" si="47"/>
        <v>0</v>
      </c>
    </row>
    <row r="453" spans="1:11" x14ac:dyDescent="0.3">
      <c r="A453" s="7">
        <v>1323</v>
      </c>
      <c r="B453">
        <v>2</v>
      </c>
      <c r="C453">
        <v>50</v>
      </c>
      <c r="D453">
        <v>4</v>
      </c>
      <c r="E453" t="s">
        <v>19</v>
      </c>
      <c r="F453" s="10">
        <f t="shared" si="42"/>
        <v>27</v>
      </c>
      <c r="G453" s="14">
        <f t="shared" si="43"/>
        <v>661.5</v>
      </c>
      <c r="H453" s="7">
        <f t="shared" si="44"/>
        <v>1166.5</v>
      </c>
      <c r="I453" s="10">
        <f t="shared" si="45"/>
        <v>2011.5</v>
      </c>
      <c r="J453">
        <f t="shared" si="46"/>
        <v>0</v>
      </c>
      <c r="K453">
        <f t="shared" si="47"/>
        <v>0</v>
      </c>
    </row>
    <row r="454" spans="1:11" x14ac:dyDescent="0.3">
      <c r="A454" s="7">
        <v>5490</v>
      </c>
      <c r="B454">
        <v>17</v>
      </c>
      <c r="C454">
        <v>0</v>
      </c>
      <c r="D454">
        <v>1</v>
      </c>
      <c r="E454" t="s">
        <v>18</v>
      </c>
      <c r="F454" s="10">
        <f t="shared" si="42"/>
        <v>934</v>
      </c>
      <c r="G454" s="14">
        <f t="shared" si="43"/>
        <v>0</v>
      </c>
      <c r="H454" s="7">
        <f t="shared" si="44"/>
        <v>4666</v>
      </c>
      <c r="I454" s="10">
        <f t="shared" si="45"/>
        <v>6424</v>
      </c>
      <c r="J454">
        <f t="shared" si="46"/>
        <v>0</v>
      </c>
      <c r="K454">
        <f t="shared" si="47"/>
        <v>0</v>
      </c>
    </row>
    <row r="455" spans="1:11" x14ac:dyDescent="0.3">
      <c r="A455" s="7">
        <v>484</v>
      </c>
      <c r="B455">
        <v>8</v>
      </c>
      <c r="C455">
        <v>0</v>
      </c>
      <c r="D455">
        <v>9</v>
      </c>
      <c r="E455" t="s">
        <v>21</v>
      </c>
      <c r="F455" s="10">
        <f t="shared" si="42"/>
        <v>39</v>
      </c>
      <c r="G455" s="14">
        <f t="shared" si="43"/>
        <v>0</v>
      </c>
      <c r="H455" s="7">
        <f t="shared" si="44"/>
        <v>518.44000000000005</v>
      </c>
      <c r="I455" s="10">
        <f t="shared" si="45"/>
        <v>523</v>
      </c>
      <c r="J455">
        <f t="shared" si="46"/>
        <v>0</v>
      </c>
      <c r="K455">
        <f t="shared" si="47"/>
        <v>0</v>
      </c>
    </row>
    <row r="456" spans="1:11" x14ac:dyDescent="0.3">
      <c r="A456" s="7">
        <v>950</v>
      </c>
      <c r="B456">
        <v>8</v>
      </c>
      <c r="C456">
        <v>30</v>
      </c>
      <c r="D456">
        <v>3</v>
      </c>
      <c r="E456" t="s">
        <v>18</v>
      </c>
      <c r="F456" s="10">
        <f t="shared" si="42"/>
        <v>76</v>
      </c>
      <c r="G456" s="14">
        <f t="shared" si="43"/>
        <v>285</v>
      </c>
      <c r="H456" s="7">
        <f t="shared" si="44"/>
        <v>1555.33</v>
      </c>
      <c r="I456" s="10">
        <f t="shared" si="45"/>
        <v>1311</v>
      </c>
      <c r="J456">
        <f t="shared" si="46"/>
        <v>1</v>
      </c>
      <c r="K456">
        <f t="shared" si="47"/>
        <v>244.32999999999993</v>
      </c>
    </row>
    <row r="457" spans="1:11" x14ac:dyDescent="0.3">
      <c r="A457" s="7">
        <v>672</v>
      </c>
      <c r="B457">
        <v>14</v>
      </c>
      <c r="C457">
        <v>20</v>
      </c>
      <c r="D457">
        <v>5</v>
      </c>
      <c r="E457" t="s">
        <v>18</v>
      </c>
      <c r="F457" s="10">
        <f t="shared" si="42"/>
        <v>95</v>
      </c>
      <c r="G457" s="14">
        <f t="shared" si="43"/>
        <v>134.4</v>
      </c>
      <c r="H457" s="7">
        <f t="shared" si="44"/>
        <v>933.2</v>
      </c>
      <c r="I457" s="10">
        <f t="shared" si="45"/>
        <v>901.4</v>
      </c>
      <c r="J457">
        <f t="shared" si="46"/>
        <v>1</v>
      </c>
      <c r="K457">
        <f t="shared" si="47"/>
        <v>31.800000000000068</v>
      </c>
    </row>
    <row r="458" spans="1:11" x14ac:dyDescent="0.3">
      <c r="A458" s="7">
        <v>315</v>
      </c>
      <c r="B458">
        <v>13</v>
      </c>
      <c r="C458">
        <v>15</v>
      </c>
      <c r="D458">
        <v>10</v>
      </c>
      <c r="E458" t="s">
        <v>16</v>
      </c>
      <c r="F458" s="10">
        <f t="shared" si="42"/>
        <v>41</v>
      </c>
      <c r="G458" s="14">
        <f t="shared" si="43"/>
        <v>47.25</v>
      </c>
      <c r="H458" s="7">
        <f t="shared" si="44"/>
        <v>466.6</v>
      </c>
      <c r="I458" s="10">
        <f t="shared" si="45"/>
        <v>403.25</v>
      </c>
      <c r="J458">
        <f t="shared" si="46"/>
        <v>1</v>
      </c>
      <c r="K458">
        <f t="shared" si="47"/>
        <v>63.350000000000023</v>
      </c>
    </row>
    <row r="459" spans="1:11" x14ac:dyDescent="0.3">
      <c r="A459" s="7">
        <v>513</v>
      </c>
      <c r="B459">
        <v>2</v>
      </c>
      <c r="C459">
        <v>50</v>
      </c>
      <c r="D459">
        <v>10</v>
      </c>
      <c r="E459" t="s">
        <v>16</v>
      </c>
      <c r="F459" s="10">
        <f t="shared" si="42"/>
        <v>11</v>
      </c>
      <c r="G459" s="14">
        <f t="shared" si="43"/>
        <v>256.5</v>
      </c>
      <c r="H459" s="7">
        <f t="shared" si="44"/>
        <v>466.6</v>
      </c>
      <c r="I459" s="10">
        <f t="shared" si="45"/>
        <v>780.5</v>
      </c>
      <c r="J459">
        <f t="shared" si="46"/>
        <v>0</v>
      </c>
      <c r="K459">
        <f t="shared" si="47"/>
        <v>0</v>
      </c>
    </row>
    <row r="460" spans="1:11" x14ac:dyDescent="0.3">
      <c r="A460" s="7">
        <v>417</v>
      </c>
      <c r="B460">
        <v>12</v>
      </c>
      <c r="C460">
        <v>0</v>
      </c>
      <c r="D460">
        <v>9</v>
      </c>
      <c r="E460" t="s">
        <v>16</v>
      </c>
      <c r="F460" s="10">
        <f t="shared" si="42"/>
        <v>51</v>
      </c>
      <c r="G460" s="14">
        <f t="shared" si="43"/>
        <v>0</v>
      </c>
      <c r="H460" s="7">
        <f t="shared" si="44"/>
        <v>518.44000000000005</v>
      </c>
      <c r="I460" s="10">
        <f t="shared" si="45"/>
        <v>468</v>
      </c>
      <c r="J460">
        <f t="shared" si="46"/>
        <v>1</v>
      </c>
      <c r="K460">
        <f t="shared" si="47"/>
        <v>50.440000000000055</v>
      </c>
    </row>
    <row r="461" spans="1:11" x14ac:dyDescent="0.3">
      <c r="A461" s="7">
        <v>3485</v>
      </c>
      <c r="B461">
        <v>20</v>
      </c>
      <c r="C461">
        <v>25</v>
      </c>
      <c r="D461">
        <v>2</v>
      </c>
      <c r="E461" t="s">
        <v>16</v>
      </c>
      <c r="F461" s="10">
        <f t="shared" si="42"/>
        <v>697</v>
      </c>
      <c r="G461" s="14">
        <f t="shared" si="43"/>
        <v>871.25</v>
      </c>
      <c r="H461" s="7">
        <f t="shared" si="44"/>
        <v>2333</v>
      </c>
      <c r="I461" s="10">
        <f t="shared" si="45"/>
        <v>5053.25</v>
      </c>
      <c r="J461">
        <f t="shared" si="46"/>
        <v>0</v>
      </c>
      <c r="K461">
        <f t="shared" si="47"/>
        <v>0</v>
      </c>
    </row>
    <row r="462" spans="1:11" x14ac:dyDescent="0.3">
      <c r="A462" s="7">
        <v>2165</v>
      </c>
      <c r="B462">
        <v>16</v>
      </c>
      <c r="C462">
        <v>0</v>
      </c>
      <c r="D462">
        <v>2</v>
      </c>
      <c r="E462" t="s">
        <v>20</v>
      </c>
      <c r="F462" s="10">
        <f t="shared" si="42"/>
        <v>347</v>
      </c>
      <c r="G462" s="14">
        <f t="shared" si="43"/>
        <v>0</v>
      </c>
      <c r="H462" s="7">
        <f t="shared" si="44"/>
        <v>2333</v>
      </c>
      <c r="I462" s="10">
        <f t="shared" si="45"/>
        <v>2512</v>
      </c>
      <c r="J462">
        <f t="shared" si="46"/>
        <v>0</v>
      </c>
      <c r="K462">
        <f t="shared" si="47"/>
        <v>0</v>
      </c>
    </row>
    <row r="463" spans="1:11" x14ac:dyDescent="0.3">
      <c r="A463" s="7">
        <v>4870</v>
      </c>
      <c r="B463">
        <v>11</v>
      </c>
      <c r="C463">
        <v>0</v>
      </c>
      <c r="D463">
        <v>1</v>
      </c>
      <c r="E463" t="s">
        <v>17</v>
      </c>
      <c r="F463" s="10">
        <f t="shared" si="42"/>
        <v>536</v>
      </c>
      <c r="G463" s="14">
        <f t="shared" si="43"/>
        <v>0</v>
      </c>
      <c r="H463" s="7">
        <f t="shared" si="44"/>
        <v>4666</v>
      </c>
      <c r="I463" s="10">
        <f t="shared" si="45"/>
        <v>5406</v>
      </c>
      <c r="J463">
        <f t="shared" si="46"/>
        <v>0</v>
      </c>
      <c r="K463">
        <f t="shared" si="47"/>
        <v>0</v>
      </c>
    </row>
    <row r="464" spans="1:11" x14ac:dyDescent="0.3">
      <c r="A464" s="7">
        <v>3820</v>
      </c>
      <c r="B464">
        <v>14</v>
      </c>
      <c r="C464">
        <v>25</v>
      </c>
      <c r="D464">
        <v>1</v>
      </c>
      <c r="E464" t="s">
        <v>15</v>
      </c>
      <c r="F464" s="10">
        <f t="shared" si="42"/>
        <v>535</v>
      </c>
      <c r="G464" s="14">
        <f t="shared" si="43"/>
        <v>955</v>
      </c>
      <c r="H464" s="7">
        <f t="shared" si="44"/>
        <v>4666</v>
      </c>
      <c r="I464" s="10">
        <f t="shared" si="45"/>
        <v>5310</v>
      </c>
      <c r="J464">
        <f t="shared" si="46"/>
        <v>0</v>
      </c>
      <c r="K464">
        <f t="shared" si="47"/>
        <v>0</v>
      </c>
    </row>
    <row r="465" spans="1:11" x14ac:dyDescent="0.3">
      <c r="A465" s="7">
        <v>822</v>
      </c>
      <c r="B465">
        <v>7</v>
      </c>
      <c r="C465">
        <v>35</v>
      </c>
      <c r="D465">
        <v>6</v>
      </c>
      <c r="E465" t="s">
        <v>15</v>
      </c>
      <c r="F465" s="10">
        <f t="shared" si="42"/>
        <v>58</v>
      </c>
      <c r="G465" s="14">
        <f t="shared" si="43"/>
        <v>287.7</v>
      </c>
      <c r="H465" s="7">
        <f t="shared" si="44"/>
        <v>777.67</v>
      </c>
      <c r="I465" s="10">
        <f t="shared" si="45"/>
        <v>1167.7</v>
      </c>
      <c r="J465">
        <f t="shared" si="46"/>
        <v>0</v>
      </c>
      <c r="K465">
        <f t="shared" si="47"/>
        <v>0</v>
      </c>
    </row>
    <row r="466" spans="1:11" x14ac:dyDescent="0.3">
      <c r="A466" s="7">
        <v>714</v>
      </c>
      <c r="B466">
        <v>2</v>
      </c>
      <c r="C466">
        <v>30</v>
      </c>
      <c r="D466">
        <v>7</v>
      </c>
      <c r="E466" t="s">
        <v>17</v>
      </c>
      <c r="F466" s="10">
        <f t="shared" si="42"/>
        <v>15</v>
      </c>
      <c r="G466" s="14">
        <f t="shared" si="43"/>
        <v>214.2</v>
      </c>
      <c r="H466" s="7">
        <f t="shared" si="44"/>
        <v>666.57</v>
      </c>
      <c r="I466" s="10">
        <f t="shared" si="45"/>
        <v>943.2</v>
      </c>
      <c r="J466">
        <f t="shared" si="46"/>
        <v>0</v>
      </c>
      <c r="K466">
        <f t="shared" si="47"/>
        <v>0</v>
      </c>
    </row>
    <row r="467" spans="1:11" x14ac:dyDescent="0.3">
      <c r="A467" s="7">
        <v>3710</v>
      </c>
      <c r="B467">
        <v>2</v>
      </c>
      <c r="C467">
        <v>40</v>
      </c>
      <c r="D467">
        <v>1</v>
      </c>
      <c r="E467" t="s">
        <v>15</v>
      </c>
      <c r="F467" s="10">
        <f t="shared" si="42"/>
        <v>75</v>
      </c>
      <c r="G467" s="14">
        <f t="shared" si="43"/>
        <v>1484</v>
      </c>
      <c r="H467" s="7">
        <f t="shared" si="44"/>
        <v>4666</v>
      </c>
      <c r="I467" s="10">
        <f t="shared" si="45"/>
        <v>5269</v>
      </c>
      <c r="J467">
        <f t="shared" si="46"/>
        <v>0</v>
      </c>
      <c r="K467">
        <f t="shared" si="47"/>
        <v>0</v>
      </c>
    </row>
    <row r="468" spans="1:11" x14ac:dyDescent="0.3">
      <c r="A468" s="7">
        <v>474</v>
      </c>
      <c r="B468">
        <v>13</v>
      </c>
      <c r="C468">
        <v>40</v>
      </c>
      <c r="D468">
        <v>7</v>
      </c>
      <c r="E468" t="s">
        <v>20</v>
      </c>
      <c r="F468" s="10">
        <f t="shared" si="42"/>
        <v>62</v>
      </c>
      <c r="G468" s="14">
        <f t="shared" si="43"/>
        <v>189.6</v>
      </c>
      <c r="H468" s="7">
        <f t="shared" si="44"/>
        <v>666.57</v>
      </c>
      <c r="I468" s="10">
        <f t="shared" si="45"/>
        <v>725.6</v>
      </c>
      <c r="J468">
        <f t="shared" si="46"/>
        <v>0</v>
      </c>
      <c r="K468">
        <f t="shared" si="47"/>
        <v>0</v>
      </c>
    </row>
    <row r="469" spans="1:11" x14ac:dyDescent="0.3">
      <c r="A469" s="7">
        <v>3220</v>
      </c>
      <c r="B469">
        <v>12</v>
      </c>
      <c r="C469">
        <v>40</v>
      </c>
      <c r="D469">
        <v>1</v>
      </c>
      <c r="E469" t="s">
        <v>15</v>
      </c>
      <c r="F469" s="10">
        <f t="shared" si="42"/>
        <v>387</v>
      </c>
      <c r="G469" s="14">
        <f t="shared" si="43"/>
        <v>1288</v>
      </c>
      <c r="H469" s="7">
        <f t="shared" si="44"/>
        <v>4666</v>
      </c>
      <c r="I469" s="10">
        <f t="shared" si="45"/>
        <v>4895</v>
      </c>
      <c r="J469">
        <f t="shared" si="46"/>
        <v>0</v>
      </c>
      <c r="K469">
        <f t="shared" si="47"/>
        <v>0</v>
      </c>
    </row>
    <row r="470" spans="1:11" x14ac:dyDescent="0.3">
      <c r="A470" s="7">
        <v>6270</v>
      </c>
      <c r="B470">
        <v>14</v>
      </c>
      <c r="C470">
        <v>5</v>
      </c>
      <c r="D470">
        <v>1</v>
      </c>
      <c r="E470" t="s">
        <v>21</v>
      </c>
      <c r="F470" s="10">
        <f t="shared" si="42"/>
        <v>878</v>
      </c>
      <c r="G470" s="14">
        <f t="shared" si="43"/>
        <v>313.5</v>
      </c>
      <c r="H470" s="7">
        <f t="shared" si="44"/>
        <v>4666</v>
      </c>
      <c r="I470" s="10">
        <f t="shared" si="45"/>
        <v>7461.5</v>
      </c>
      <c r="J470">
        <f t="shared" si="46"/>
        <v>0</v>
      </c>
      <c r="K470">
        <f t="shared" si="47"/>
        <v>0</v>
      </c>
    </row>
    <row r="471" spans="1:11" x14ac:dyDescent="0.3">
      <c r="A471" s="7">
        <v>773</v>
      </c>
      <c r="B471">
        <v>12</v>
      </c>
      <c r="C471">
        <v>30</v>
      </c>
      <c r="D471">
        <v>8</v>
      </c>
      <c r="E471" t="s">
        <v>15</v>
      </c>
      <c r="F471" s="10">
        <f t="shared" si="42"/>
        <v>93</v>
      </c>
      <c r="G471" s="14">
        <f t="shared" si="43"/>
        <v>231.9</v>
      </c>
      <c r="H471" s="7">
        <f t="shared" si="44"/>
        <v>583.25</v>
      </c>
      <c r="I471" s="10">
        <f t="shared" si="45"/>
        <v>1097.9000000000001</v>
      </c>
      <c r="J471">
        <f t="shared" si="46"/>
        <v>0</v>
      </c>
      <c r="K471">
        <f t="shared" si="47"/>
        <v>0</v>
      </c>
    </row>
    <row r="472" spans="1:11" x14ac:dyDescent="0.3">
      <c r="A472" s="7">
        <v>590</v>
      </c>
      <c r="B472">
        <v>0</v>
      </c>
      <c r="C472">
        <v>45</v>
      </c>
      <c r="D472">
        <v>10</v>
      </c>
      <c r="E472" t="s">
        <v>21</v>
      </c>
      <c r="F472" s="10">
        <f t="shared" si="42"/>
        <v>0</v>
      </c>
      <c r="G472" s="14">
        <f t="shared" si="43"/>
        <v>265.5</v>
      </c>
      <c r="H472" s="7">
        <f t="shared" si="44"/>
        <v>466.6</v>
      </c>
      <c r="I472" s="10">
        <f t="shared" si="45"/>
        <v>855.5</v>
      </c>
      <c r="J472">
        <f t="shared" si="46"/>
        <v>0</v>
      </c>
      <c r="K472">
        <f t="shared" si="47"/>
        <v>0</v>
      </c>
    </row>
    <row r="473" spans="1:11" x14ac:dyDescent="0.3">
      <c r="A473" s="7">
        <v>569</v>
      </c>
      <c r="B473">
        <v>2</v>
      </c>
      <c r="C473">
        <v>20</v>
      </c>
      <c r="D473">
        <v>10</v>
      </c>
      <c r="E473" t="s">
        <v>17</v>
      </c>
      <c r="F473" s="10">
        <f t="shared" si="42"/>
        <v>12</v>
      </c>
      <c r="G473" s="14">
        <f t="shared" si="43"/>
        <v>113.8</v>
      </c>
      <c r="H473" s="7">
        <f t="shared" si="44"/>
        <v>466.6</v>
      </c>
      <c r="I473" s="10">
        <f t="shared" si="45"/>
        <v>694.8</v>
      </c>
      <c r="J473">
        <f t="shared" si="46"/>
        <v>0</v>
      </c>
      <c r="K473">
        <f t="shared" si="47"/>
        <v>0</v>
      </c>
    </row>
    <row r="474" spans="1:11" x14ac:dyDescent="0.3">
      <c r="A474" s="7">
        <v>3730</v>
      </c>
      <c r="B474">
        <v>17</v>
      </c>
      <c r="C474">
        <v>40</v>
      </c>
      <c r="D474">
        <v>1</v>
      </c>
      <c r="E474" t="s">
        <v>17</v>
      </c>
      <c r="F474" s="10">
        <f t="shared" si="42"/>
        <v>635</v>
      </c>
      <c r="G474" s="14">
        <f t="shared" si="43"/>
        <v>1492</v>
      </c>
      <c r="H474" s="7">
        <f t="shared" si="44"/>
        <v>4666</v>
      </c>
      <c r="I474" s="10">
        <f t="shared" si="45"/>
        <v>5857</v>
      </c>
      <c r="J474">
        <f t="shared" si="46"/>
        <v>0</v>
      </c>
      <c r="K474">
        <f t="shared" si="47"/>
        <v>0</v>
      </c>
    </row>
    <row r="475" spans="1:11" x14ac:dyDescent="0.3">
      <c r="A475" s="7">
        <v>3160</v>
      </c>
      <c r="B475">
        <v>11</v>
      </c>
      <c r="C475">
        <v>20</v>
      </c>
      <c r="D475">
        <v>1</v>
      </c>
      <c r="E475" t="s">
        <v>16</v>
      </c>
      <c r="F475" s="10">
        <f t="shared" si="42"/>
        <v>348</v>
      </c>
      <c r="G475" s="14">
        <f t="shared" si="43"/>
        <v>632</v>
      </c>
      <c r="H475" s="7">
        <f t="shared" si="44"/>
        <v>4666</v>
      </c>
      <c r="I475" s="10">
        <f t="shared" si="45"/>
        <v>4140</v>
      </c>
      <c r="J475">
        <f t="shared" si="46"/>
        <v>1</v>
      </c>
      <c r="K475">
        <f t="shared" si="47"/>
        <v>526</v>
      </c>
    </row>
    <row r="476" spans="1:11" x14ac:dyDescent="0.3">
      <c r="A476" s="7">
        <v>596</v>
      </c>
      <c r="B476">
        <v>6</v>
      </c>
      <c r="C476">
        <v>25</v>
      </c>
      <c r="D476">
        <v>7</v>
      </c>
      <c r="E476" t="s">
        <v>19</v>
      </c>
      <c r="F476" s="10">
        <f t="shared" si="42"/>
        <v>36</v>
      </c>
      <c r="G476" s="14">
        <f t="shared" si="43"/>
        <v>149</v>
      </c>
      <c r="H476" s="7">
        <f t="shared" si="44"/>
        <v>666.57</v>
      </c>
      <c r="I476" s="10">
        <f t="shared" si="45"/>
        <v>781</v>
      </c>
      <c r="J476">
        <f t="shared" si="46"/>
        <v>0</v>
      </c>
      <c r="K476">
        <f t="shared" si="47"/>
        <v>0</v>
      </c>
    </row>
    <row r="477" spans="1:11" x14ac:dyDescent="0.3">
      <c r="A477" s="7">
        <v>6170</v>
      </c>
      <c r="B477">
        <v>14</v>
      </c>
      <c r="C477">
        <v>20</v>
      </c>
      <c r="D477">
        <v>1</v>
      </c>
      <c r="E477" t="s">
        <v>18</v>
      </c>
      <c r="F477" s="10">
        <f t="shared" si="42"/>
        <v>864</v>
      </c>
      <c r="G477" s="14">
        <f t="shared" si="43"/>
        <v>1234</v>
      </c>
      <c r="H477" s="7">
        <f t="shared" si="44"/>
        <v>4666</v>
      </c>
      <c r="I477" s="10">
        <f t="shared" si="45"/>
        <v>8268</v>
      </c>
      <c r="J477">
        <f t="shared" si="46"/>
        <v>0</v>
      </c>
      <c r="K477">
        <f t="shared" si="47"/>
        <v>0</v>
      </c>
    </row>
    <row r="478" spans="1:11" x14ac:dyDescent="0.3">
      <c r="A478" s="7">
        <v>1300</v>
      </c>
      <c r="B478">
        <v>14</v>
      </c>
      <c r="C478">
        <v>40</v>
      </c>
      <c r="D478">
        <v>4</v>
      </c>
      <c r="E478" t="s">
        <v>20</v>
      </c>
      <c r="F478" s="10">
        <f t="shared" si="42"/>
        <v>182</v>
      </c>
      <c r="G478" s="14">
        <f t="shared" si="43"/>
        <v>520</v>
      </c>
      <c r="H478" s="7">
        <f t="shared" si="44"/>
        <v>1166.5</v>
      </c>
      <c r="I478" s="10">
        <f t="shared" si="45"/>
        <v>2002</v>
      </c>
      <c r="J478">
        <f t="shared" si="46"/>
        <v>0</v>
      </c>
      <c r="K478">
        <f t="shared" si="47"/>
        <v>0</v>
      </c>
    </row>
    <row r="479" spans="1:11" x14ac:dyDescent="0.3">
      <c r="A479" s="7">
        <v>345</v>
      </c>
      <c r="B479">
        <v>7</v>
      </c>
      <c r="C479">
        <v>10</v>
      </c>
      <c r="D479">
        <v>10</v>
      </c>
      <c r="E479" t="s">
        <v>20</v>
      </c>
      <c r="F479" s="10">
        <f t="shared" si="42"/>
        <v>25</v>
      </c>
      <c r="G479" s="14">
        <f t="shared" si="43"/>
        <v>34.5</v>
      </c>
      <c r="H479" s="7">
        <f t="shared" si="44"/>
        <v>466.6</v>
      </c>
      <c r="I479" s="10">
        <f t="shared" si="45"/>
        <v>404.5</v>
      </c>
      <c r="J479">
        <f t="shared" si="46"/>
        <v>1</v>
      </c>
      <c r="K479">
        <f t="shared" si="47"/>
        <v>62.100000000000023</v>
      </c>
    </row>
    <row r="480" spans="1:11" x14ac:dyDescent="0.3">
      <c r="A480" s="7">
        <v>1623</v>
      </c>
      <c r="B480">
        <v>6</v>
      </c>
      <c r="C480">
        <v>35</v>
      </c>
      <c r="D480">
        <v>4</v>
      </c>
      <c r="E480" t="s">
        <v>17</v>
      </c>
      <c r="F480" s="10">
        <f t="shared" si="42"/>
        <v>98</v>
      </c>
      <c r="G480" s="14">
        <f t="shared" si="43"/>
        <v>568.04999999999995</v>
      </c>
      <c r="H480" s="7">
        <f t="shared" si="44"/>
        <v>1166.5</v>
      </c>
      <c r="I480" s="10">
        <f t="shared" si="45"/>
        <v>2289.0500000000002</v>
      </c>
      <c r="J480">
        <f t="shared" si="46"/>
        <v>0</v>
      </c>
      <c r="K480">
        <f t="shared" si="47"/>
        <v>0</v>
      </c>
    </row>
    <row r="481" spans="1:11" x14ac:dyDescent="0.3">
      <c r="A481" s="7">
        <v>6450</v>
      </c>
      <c r="B481">
        <v>3</v>
      </c>
      <c r="C481">
        <v>25</v>
      </c>
      <c r="D481">
        <v>1</v>
      </c>
      <c r="E481" t="s">
        <v>21</v>
      </c>
      <c r="F481" s="10">
        <f t="shared" si="42"/>
        <v>194</v>
      </c>
      <c r="G481" s="14">
        <f t="shared" si="43"/>
        <v>1612.5</v>
      </c>
      <c r="H481" s="7">
        <f t="shared" si="44"/>
        <v>4666</v>
      </c>
      <c r="I481" s="10">
        <f t="shared" si="45"/>
        <v>8256.5</v>
      </c>
      <c r="J481">
        <f t="shared" si="46"/>
        <v>0</v>
      </c>
      <c r="K481">
        <f t="shared" si="47"/>
        <v>0</v>
      </c>
    </row>
    <row r="482" spans="1:11" x14ac:dyDescent="0.3">
      <c r="A482" s="7">
        <v>6140</v>
      </c>
      <c r="B482">
        <v>19</v>
      </c>
      <c r="C482">
        <v>45</v>
      </c>
      <c r="D482">
        <v>1</v>
      </c>
      <c r="E482" t="s">
        <v>20</v>
      </c>
      <c r="F482" s="10">
        <f t="shared" si="42"/>
        <v>1167</v>
      </c>
      <c r="G482" s="14">
        <f t="shared" si="43"/>
        <v>2763</v>
      </c>
      <c r="H482" s="7">
        <f t="shared" si="44"/>
        <v>4666</v>
      </c>
      <c r="I482" s="10">
        <f t="shared" si="45"/>
        <v>10070</v>
      </c>
      <c r="J482">
        <f t="shared" si="46"/>
        <v>0</v>
      </c>
      <c r="K482">
        <f t="shared" si="47"/>
        <v>0</v>
      </c>
    </row>
    <row r="483" spans="1:11" x14ac:dyDescent="0.3">
      <c r="A483" s="7">
        <v>1640</v>
      </c>
      <c r="B483">
        <v>5</v>
      </c>
      <c r="C483">
        <v>15</v>
      </c>
      <c r="D483">
        <v>4</v>
      </c>
      <c r="E483" t="s">
        <v>21</v>
      </c>
      <c r="F483" s="10">
        <f t="shared" si="42"/>
        <v>82</v>
      </c>
      <c r="G483" s="14">
        <f t="shared" si="43"/>
        <v>246</v>
      </c>
      <c r="H483" s="7">
        <f t="shared" si="44"/>
        <v>1166.5</v>
      </c>
      <c r="I483" s="10">
        <f t="shared" si="45"/>
        <v>1968</v>
      </c>
      <c r="J483">
        <f t="shared" si="46"/>
        <v>0</v>
      </c>
      <c r="K483">
        <f t="shared" si="47"/>
        <v>0</v>
      </c>
    </row>
    <row r="484" spans="1:11" x14ac:dyDescent="0.3">
      <c r="A484" s="7">
        <v>610</v>
      </c>
      <c r="B484">
        <v>11</v>
      </c>
      <c r="C484">
        <v>35</v>
      </c>
      <c r="D484">
        <v>10</v>
      </c>
      <c r="E484" t="s">
        <v>19</v>
      </c>
      <c r="F484" s="10">
        <f t="shared" si="42"/>
        <v>68</v>
      </c>
      <c r="G484" s="14">
        <f t="shared" si="43"/>
        <v>213.5</v>
      </c>
      <c r="H484" s="7">
        <f t="shared" si="44"/>
        <v>466.6</v>
      </c>
      <c r="I484" s="10">
        <f t="shared" si="45"/>
        <v>891.5</v>
      </c>
      <c r="J484">
        <f t="shared" si="46"/>
        <v>0</v>
      </c>
      <c r="K484">
        <f t="shared" si="47"/>
        <v>0</v>
      </c>
    </row>
    <row r="485" spans="1:11" x14ac:dyDescent="0.3">
      <c r="A485" s="7">
        <v>531</v>
      </c>
      <c r="B485">
        <v>18</v>
      </c>
      <c r="C485">
        <v>30</v>
      </c>
      <c r="D485">
        <v>10</v>
      </c>
      <c r="E485" t="s">
        <v>17</v>
      </c>
      <c r="F485" s="10">
        <f t="shared" si="42"/>
        <v>96</v>
      </c>
      <c r="G485" s="14">
        <f t="shared" si="43"/>
        <v>159.30000000000001</v>
      </c>
      <c r="H485" s="7">
        <f t="shared" si="44"/>
        <v>466.6</v>
      </c>
      <c r="I485" s="10">
        <f t="shared" si="45"/>
        <v>786.3</v>
      </c>
      <c r="J485">
        <f t="shared" si="46"/>
        <v>0</v>
      </c>
      <c r="K485">
        <f t="shared" si="47"/>
        <v>0</v>
      </c>
    </row>
    <row r="486" spans="1:11" x14ac:dyDescent="0.3">
      <c r="A486" s="7">
        <v>588</v>
      </c>
      <c r="B486">
        <v>14</v>
      </c>
      <c r="C486">
        <v>20</v>
      </c>
      <c r="D486">
        <v>5</v>
      </c>
      <c r="E486" t="s">
        <v>16</v>
      </c>
      <c r="F486" s="10">
        <f t="shared" si="42"/>
        <v>83</v>
      </c>
      <c r="G486" s="14">
        <f t="shared" si="43"/>
        <v>117.6</v>
      </c>
      <c r="H486" s="7">
        <f t="shared" si="44"/>
        <v>933.2</v>
      </c>
      <c r="I486" s="10">
        <f t="shared" si="45"/>
        <v>788.6</v>
      </c>
      <c r="J486">
        <f t="shared" si="46"/>
        <v>1</v>
      </c>
      <c r="K486">
        <f t="shared" si="47"/>
        <v>144.60000000000002</v>
      </c>
    </row>
    <row r="487" spans="1:11" x14ac:dyDescent="0.3">
      <c r="A487" s="7">
        <v>4630</v>
      </c>
      <c r="B487">
        <v>18</v>
      </c>
      <c r="C487">
        <v>25</v>
      </c>
      <c r="D487">
        <v>1</v>
      </c>
      <c r="E487" t="s">
        <v>16</v>
      </c>
      <c r="F487" s="10">
        <f t="shared" si="42"/>
        <v>834</v>
      </c>
      <c r="G487" s="14">
        <f t="shared" si="43"/>
        <v>1157.5</v>
      </c>
      <c r="H487" s="7">
        <f t="shared" si="44"/>
        <v>4666</v>
      </c>
      <c r="I487" s="10">
        <f t="shared" si="45"/>
        <v>6621.5</v>
      </c>
      <c r="J487">
        <f t="shared" si="46"/>
        <v>0</v>
      </c>
      <c r="K487">
        <f t="shared" si="47"/>
        <v>0</v>
      </c>
    </row>
    <row r="488" spans="1:11" x14ac:dyDescent="0.3">
      <c r="A488" s="7">
        <v>669.9</v>
      </c>
      <c r="B488">
        <v>6</v>
      </c>
      <c r="C488">
        <v>0</v>
      </c>
      <c r="D488">
        <v>9</v>
      </c>
      <c r="E488" t="s">
        <v>16</v>
      </c>
      <c r="F488" s="10">
        <f t="shared" si="42"/>
        <v>41</v>
      </c>
      <c r="G488" s="14">
        <f t="shared" si="43"/>
        <v>0</v>
      </c>
      <c r="H488" s="7">
        <f t="shared" si="44"/>
        <v>518.44000000000005</v>
      </c>
      <c r="I488" s="10">
        <f t="shared" si="45"/>
        <v>710.9</v>
      </c>
      <c r="J488">
        <f t="shared" si="46"/>
        <v>0</v>
      </c>
      <c r="K488">
        <f t="shared" si="47"/>
        <v>0</v>
      </c>
    </row>
    <row r="489" spans="1:11" x14ac:dyDescent="0.3">
      <c r="A489" s="7">
        <v>4250</v>
      </c>
      <c r="B489">
        <v>19</v>
      </c>
      <c r="C489">
        <v>35</v>
      </c>
      <c r="D489">
        <v>1</v>
      </c>
      <c r="E489" t="s">
        <v>21</v>
      </c>
      <c r="F489" s="10">
        <f t="shared" si="42"/>
        <v>808</v>
      </c>
      <c r="G489" s="14">
        <f t="shared" si="43"/>
        <v>1487.5</v>
      </c>
      <c r="H489" s="7">
        <f t="shared" si="44"/>
        <v>4666</v>
      </c>
      <c r="I489" s="10">
        <f t="shared" si="45"/>
        <v>6545.5</v>
      </c>
      <c r="J489">
        <f t="shared" si="46"/>
        <v>0</v>
      </c>
      <c r="K489">
        <f t="shared" si="47"/>
        <v>0</v>
      </c>
    </row>
    <row r="490" spans="1:11" x14ac:dyDescent="0.3">
      <c r="A490" s="7">
        <v>5970</v>
      </c>
      <c r="B490">
        <v>5</v>
      </c>
      <c r="C490">
        <v>20</v>
      </c>
      <c r="D490">
        <v>1</v>
      </c>
      <c r="E490" t="s">
        <v>20</v>
      </c>
      <c r="F490" s="10">
        <f t="shared" si="42"/>
        <v>299</v>
      </c>
      <c r="G490" s="14">
        <f t="shared" si="43"/>
        <v>1194</v>
      </c>
      <c r="H490" s="7">
        <f t="shared" si="44"/>
        <v>4666</v>
      </c>
      <c r="I490" s="10">
        <f t="shared" si="45"/>
        <v>7463</v>
      </c>
      <c r="J490">
        <f t="shared" si="46"/>
        <v>0</v>
      </c>
      <c r="K490">
        <f t="shared" si="47"/>
        <v>0</v>
      </c>
    </row>
    <row r="491" spans="1:11" x14ac:dyDescent="0.3">
      <c r="A491" s="7">
        <v>386</v>
      </c>
      <c r="B491">
        <v>14</v>
      </c>
      <c r="C491">
        <v>15</v>
      </c>
      <c r="D491">
        <v>10</v>
      </c>
      <c r="E491" t="s">
        <v>16</v>
      </c>
      <c r="F491" s="10">
        <f t="shared" si="42"/>
        <v>55</v>
      </c>
      <c r="G491" s="14">
        <f t="shared" si="43"/>
        <v>57.9</v>
      </c>
      <c r="H491" s="7">
        <f t="shared" si="44"/>
        <v>466.6</v>
      </c>
      <c r="I491" s="10">
        <f t="shared" si="45"/>
        <v>498.9</v>
      </c>
      <c r="J491">
        <f t="shared" si="46"/>
        <v>0</v>
      </c>
      <c r="K491">
        <f t="shared" si="47"/>
        <v>0</v>
      </c>
    </row>
    <row r="492" spans="1:11" x14ac:dyDescent="0.3">
      <c r="A492" s="7">
        <v>510</v>
      </c>
      <c r="B492">
        <v>8</v>
      </c>
      <c r="C492">
        <v>20</v>
      </c>
      <c r="D492">
        <v>10</v>
      </c>
      <c r="E492" t="s">
        <v>17</v>
      </c>
      <c r="F492" s="10">
        <f t="shared" si="42"/>
        <v>41</v>
      </c>
      <c r="G492" s="14">
        <f t="shared" si="43"/>
        <v>102</v>
      </c>
      <c r="H492" s="7">
        <f t="shared" si="44"/>
        <v>466.6</v>
      </c>
      <c r="I492" s="10">
        <f t="shared" si="45"/>
        <v>653</v>
      </c>
      <c r="J492">
        <f t="shared" si="46"/>
        <v>0</v>
      </c>
      <c r="K492">
        <f t="shared" si="47"/>
        <v>0</v>
      </c>
    </row>
    <row r="493" spans="1:11" x14ac:dyDescent="0.3">
      <c r="A493" s="7">
        <v>4490</v>
      </c>
      <c r="B493">
        <v>1</v>
      </c>
      <c r="C493">
        <v>5</v>
      </c>
      <c r="D493">
        <v>1</v>
      </c>
      <c r="E493" t="s">
        <v>18</v>
      </c>
      <c r="F493" s="10">
        <f t="shared" si="42"/>
        <v>45</v>
      </c>
      <c r="G493" s="14">
        <f t="shared" si="43"/>
        <v>224.5</v>
      </c>
      <c r="H493" s="7">
        <f t="shared" si="44"/>
        <v>4666</v>
      </c>
      <c r="I493" s="10">
        <f t="shared" si="45"/>
        <v>4759.5</v>
      </c>
      <c r="J493">
        <f t="shared" si="46"/>
        <v>0</v>
      </c>
      <c r="K493">
        <f t="shared" si="47"/>
        <v>0</v>
      </c>
    </row>
    <row r="494" spans="1:11" x14ac:dyDescent="0.3">
      <c r="A494" s="7">
        <v>6880</v>
      </c>
      <c r="B494">
        <v>0</v>
      </c>
      <c r="C494">
        <v>40</v>
      </c>
      <c r="D494">
        <v>1</v>
      </c>
      <c r="E494" t="s">
        <v>19</v>
      </c>
      <c r="F494" s="10">
        <f t="shared" si="42"/>
        <v>0</v>
      </c>
      <c r="G494" s="14">
        <f t="shared" si="43"/>
        <v>2752</v>
      </c>
      <c r="H494" s="7">
        <f t="shared" si="44"/>
        <v>4666</v>
      </c>
      <c r="I494" s="10">
        <f t="shared" si="45"/>
        <v>9632</v>
      </c>
      <c r="J494">
        <f t="shared" si="46"/>
        <v>0</v>
      </c>
      <c r="K494">
        <f t="shared" si="47"/>
        <v>0</v>
      </c>
    </row>
    <row r="495" spans="1:11" x14ac:dyDescent="0.3">
      <c r="A495" s="7">
        <v>1208</v>
      </c>
      <c r="B495">
        <v>15</v>
      </c>
      <c r="C495">
        <v>0</v>
      </c>
      <c r="D495">
        <v>4</v>
      </c>
      <c r="E495" t="s">
        <v>20</v>
      </c>
      <c r="F495" s="10">
        <f t="shared" si="42"/>
        <v>182</v>
      </c>
      <c r="G495" s="14">
        <f t="shared" si="43"/>
        <v>0</v>
      </c>
      <c r="H495" s="7">
        <f t="shared" si="44"/>
        <v>1166.5</v>
      </c>
      <c r="I495" s="10">
        <f t="shared" si="45"/>
        <v>1390</v>
      </c>
      <c r="J495">
        <f t="shared" si="46"/>
        <v>0</v>
      </c>
      <c r="K495">
        <f t="shared" si="47"/>
        <v>0</v>
      </c>
    </row>
    <row r="496" spans="1:11" x14ac:dyDescent="0.3">
      <c r="A496" s="7">
        <v>5100</v>
      </c>
      <c r="B496">
        <v>13</v>
      </c>
      <c r="C496">
        <v>45</v>
      </c>
      <c r="D496">
        <v>1</v>
      </c>
      <c r="E496" t="s">
        <v>17</v>
      </c>
      <c r="F496" s="10">
        <f t="shared" si="42"/>
        <v>663</v>
      </c>
      <c r="G496" s="14">
        <f t="shared" si="43"/>
        <v>2295</v>
      </c>
      <c r="H496" s="7">
        <f t="shared" si="44"/>
        <v>4666</v>
      </c>
      <c r="I496" s="10">
        <f t="shared" si="45"/>
        <v>8058</v>
      </c>
      <c r="J496">
        <f t="shared" si="46"/>
        <v>0</v>
      </c>
      <c r="K496">
        <f t="shared" si="47"/>
        <v>0</v>
      </c>
    </row>
    <row r="497" spans="1:11" x14ac:dyDescent="0.3">
      <c r="A497" s="7">
        <v>900</v>
      </c>
      <c r="B497">
        <v>0</v>
      </c>
      <c r="C497">
        <v>40</v>
      </c>
      <c r="D497">
        <v>7</v>
      </c>
      <c r="E497" t="s">
        <v>18</v>
      </c>
      <c r="F497" s="10">
        <f t="shared" si="42"/>
        <v>0</v>
      </c>
      <c r="G497" s="14">
        <f t="shared" si="43"/>
        <v>360</v>
      </c>
      <c r="H497" s="7">
        <f t="shared" si="44"/>
        <v>666.57</v>
      </c>
      <c r="I497" s="10">
        <f t="shared" si="45"/>
        <v>1260</v>
      </c>
      <c r="J497">
        <f t="shared" si="46"/>
        <v>0</v>
      </c>
      <c r="K497">
        <f t="shared" si="47"/>
        <v>0</v>
      </c>
    </row>
    <row r="498" spans="1:11" x14ac:dyDescent="0.3">
      <c r="A498" s="7">
        <v>911</v>
      </c>
      <c r="B498">
        <v>5</v>
      </c>
      <c r="C498">
        <v>10</v>
      </c>
      <c r="D498">
        <v>7</v>
      </c>
      <c r="E498" t="s">
        <v>20</v>
      </c>
      <c r="F498" s="10">
        <f t="shared" si="42"/>
        <v>46</v>
      </c>
      <c r="G498" s="14">
        <f t="shared" si="43"/>
        <v>91.1</v>
      </c>
      <c r="H498" s="7">
        <f t="shared" si="44"/>
        <v>666.57</v>
      </c>
      <c r="I498" s="10">
        <f t="shared" si="45"/>
        <v>1048.0999999999999</v>
      </c>
      <c r="J498">
        <f t="shared" si="46"/>
        <v>0</v>
      </c>
      <c r="K498">
        <f t="shared" si="47"/>
        <v>0</v>
      </c>
    </row>
    <row r="499" spans="1:11" x14ac:dyDescent="0.3">
      <c r="A499" s="7">
        <v>463</v>
      </c>
      <c r="B499">
        <v>8</v>
      </c>
      <c r="C499">
        <v>20</v>
      </c>
      <c r="D499">
        <v>7</v>
      </c>
      <c r="E499" t="s">
        <v>16</v>
      </c>
      <c r="F499" s="10">
        <f t="shared" si="42"/>
        <v>38</v>
      </c>
      <c r="G499" s="14">
        <f t="shared" si="43"/>
        <v>92.6</v>
      </c>
      <c r="H499" s="7">
        <f t="shared" si="44"/>
        <v>666.57</v>
      </c>
      <c r="I499" s="10">
        <f t="shared" si="45"/>
        <v>593.6</v>
      </c>
      <c r="J499">
        <f t="shared" si="46"/>
        <v>1</v>
      </c>
      <c r="K499">
        <f t="shared" si="47"/>
        <v>72.970000000000027</v>
      </c>
    </row>
    <row r="500" spans="1:11" x14ac:dyDescent="0.3">
      <c r="A500" s="7">
        <v>641.20000000000005</v>
      </c>
      <c r="B500">
        <v>12</v>
      </c>
      <c r="C500">
        <v>14</v>
      </c>
      <c r="D500">
        <v>6</v>
      </c>
      <c r="E500" t="s">
        <v>19</v>
      </c>
      <c r="F500" s="10">
        <f t="shared" si="42"/>
        <v>77</v>
      </c>
      <c r="G500" s="14">
        <f t="shared" si="43"/>
        <v>89.77</v>
      </c>
      <c r="H500" s="7">
        <f t="shared" si="44"/>
        <v>777.67</v>
      </c>
      <c r="I500" s="10">
        <f t="shared" si="45"/>
        <v>807.97</v>
      </c>
      <c r="J500">
        <f t="shared" si="46"/>
        <v>0</v>
      </c>
      <c r="K500">
        <f t="shared" si="47"/>
        <v>0</v>
      </c>
    </row>
    <row r="501" spans="1:11" x14ac:dyDescent="0.3">
      <c r="A501" s="7">
        <v>550</v>
      </c>
      <c r="B501">
        <v>14</v>
      </c>
      <c r="C501">
        <v>45</v>
      </c>
      <c r="D501">
        <v>7</v>
      </c>
      <c r="E501" t="s">
        <v>21</v>
      </c>
      <c r="F501" s="10">
        <f t="shared" si="42"/>
        <v>77</v>
      </c>
      <c r="G501" s="14">
        <f t="shared" si="43"/>
        <v>247.5</v>
      </c>
      <c r="H501" s="7">
        <f t="shared" si="44"/>
        <v>666.57</v>
      </c>
      <c r="I501" s="10">
        <f t="shared" si="45"/>
        <v>874.5</v>
      </c>
      <c r="J501">
        <f t="shared" si="46"/>
        <v>0</v>
      </c>
      <c r="K501">
        <f t="shared" si="47"/>
        <v>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1"/>
  <sheetViews>
    <sheetView workbookViewId="0">
      <selection activeCell="H26" sqref="A1:I501"/>
    </sheetView>
  </sheetViews>
  <sheetFormatPr defaultRowHeight="14.4" x14ac:dyDescent="0.3"/>
  <cols>
    <col min="1" max="1" width="13.33203125" style="7" bestFit="1" customWidth="1"/>
    <col min="2" max="3" width="7.44140625" customWidth="1"/>
    <col min="4" max="4" width="4.77734375" bestFit="1" customWidth="1"/>
    <col min="5" max="5" width="6.77734375" bestFit="1" customWidth="1"/>
    <col min="6" max="6" width="12" customWidth="1"/>
    <col min="7" max="7" width="10.77734375" customWidth="1"/>
    <col min="8" max="8" width="10.88671875" bestFit="1" customWidth="1"/>
    <col min="9" max="9" width="10.88671875" customWidth="1"/>
  </cols>
  <sheetData>
    <row r="1" spans="1:9" s="13" customFormat="1" ht="28.8" x14ac:dyDescent="0.3">
      <c r="A1" s="11" t="s">
        <v>10</v>
      </c>
      <c r="B1" s="12" t="s">
        <v>29</v>
      </c>
      <c r="C1" s="12" t="s">
        <v>30</v>
      </c>
      <c r="D1" s="12" t="s">
        <v>13</v>
      </c>
      <c r="E1" s="12" t="s">
        <v>14</v>
      </c>
      <c r="F1" s="12" t="s">
        <v>28</v>
      </c>
      <c r="G1" s="12" t="s">
        <v>31</v>
      </c>
      <c r="H1" s="12" t="s">
        <v>32</v>
      </c>
      <c r="I1" s="12" t="s">
        <v>33</v>
      </c>
    </row>
    <row r="2" spans="1:9" x14ac:dyDescent="0.3">
      <c r="A2" s="7">
        <v>1445.5</v>
      </c>
      <c r="B2">
        <v>3</v>
      </c>
      <c r="C2">
        <v>27</v>
      </c>
      <c r="D2">
        <v>4</v>
      </c>
      <c r="E2" t="s">
        <v>15</v>
      </c>
      <c r="F2" s="10">
        <f>ROUNDUP(0.01*B2*A2,0)</f>
        <v>44</v>
      </c>
      <c r="G2" s="14">
        <f>ROUND(C2/100*A2,2)</f>
        <v>390.29</v>
      </c>
      <c r="H2" s="15">
        <f>MAX(F2:F501)</f>
        <v>1396</v>
      </c>
      <c r="I2" s="15">
        <f>MAX(G2:G501)</f>
        <v>3345</v>
      </c>
    </row>
    <row r="3" spans="1:9" x14ac:dyDescent="0.3">
      <c r="A3" s="7">
        <v>2690</v>
      </c>
      <c r="B3">
        <v>1</v>
      </c>
      <c r="C3">
        <v>5</v>
      </c>
      <c r="D3">
        <v>2</v>
      </c>
      <c r="E3" t="s">
        <v>16</v>
      </c>
      <c r="F3" s="10">
        <f t="shared" ref="F3:F66" si="0">ROUNDUP(0.01*B3*A3,0)</f>
        <v>27</v>
      </c>
      <c r="G3" s="14">
        <f t="shared" ref="G3:G66" si="1">ROUND(C3/100*A3,2)</f>
        <v>134.5</v>
      </c>
    </row>
    <row r="4" spans="1:9" x14ac:dyDescent="0.3">
      <c r="A4" s="7">
        <v>3300</v>
      </c>
      <c r="B4">
        <v>19</v>
      </c>
      <c r="C4">
        <v>30</v>
      </c>
      <c r="D4">
        <v>1</v>
      </c>
      <c r="E4" t="s">
        <v>15</v>
      </c>
      <c r="F4" s="10">
        <f t="shared" si="0"/>
        <v>627</v>
      </c>
      <c r="G4" s="14">
        <f t="shared" si="1"/>
        <v>990</v>
      </c>
    </row>
    <row r="5" spans="1:9" x14ac:dyDescent="0.3">
      <c r="A5" s="7">
        <v>3900</v>
      </c>
      <c r="B5">
        <v>1</v>
      </c>
      <c r="C5">
        <v>10</v>
      </c>
      <c r="D5">
        <v>1</v>
      </c>
      <c r="E5" t="s">
        <v>16</v>
      </c>
      <c r="F5" s="10">
        <f t="shared" si="0"/>
        <v>39</v>
      </c>
      <c r="G5" s="14">
        <f t="shared" si="1"/>
        <v>390</v>
      </c>
    </row>
    <row r="6" spans="1:9" x14ac:dyDescent="0.3">
      <c r="A6" s="7">
        <v>3560</v>
      </c>
      <c r="B6">
        <v>17</v>
      </c>
      <c r="C6">
        <v>29</v>
      </c>
      <c r="D6">
        <v>1</v>
      </c>
      <c r="E6" t="s">
        <v>17</v>
      </c>
      <c r="F6" s="10">
        <f t="shared" si="0"/>
        <v>606</v>
      </c>
      <c r="G6" s="14">
        <f t="shared" si="1"/>
        <v>1032.4000000000001</v>
      </c>
    </row>
    <row r="7" spans="1:9" x14ac:dyDescent="0.3">
      <c r="A7" s="7">
        <v>586</v>
      </c>
      <c r="B7">
        <v>10</v>
      </c>
      <c r="C7">
        <v>1</v>
      </c>
      <c r="D7">
        <v>7</v>
      </c>
      <c r="E7" t="s">
        <v>16</v>
      </c>
      <c r="F7" s="10">
        <f t="shared" si="0"/>
        <v>59</v>
      </c>
      <c r="G7" s="14">
        <f t="shared" si="1"/>
        <v>5.86</v>
      </c>
    </row>
    <row r="8" spans="1:9" x14ac:dyDescent="0.3">
      <c r="A8" s="7">
        <v>520</v>
      </c>
      <c r="B8">
        <v>9</v>
      </c>
      <c r="C8">
        <v>40</v>
      </c>
      <c r="D8">
        <v>9</v>
      </c>
      <c r="E8" t="s">
        <v>18</v>
      </c>
      <c r="F8" s="10">
        <f t="shared" si="0"/>
        <v>47</v>
      </c>
      <c r="G8" s="14">
        <f t="shared" si="1"/>
        <v>208</v>
      </c>
    </row>
    <row r="9" spans="1:9" x14ac:dyDescent="0.3">
      <c r="A9" s="7">
        <v>3980</v>
      </c>
      <c r="B9">
        <v>3</v>
      </c>
      <c r="C9">
        <v>25</v>
      </c>
      <c r="D9">
        <v>1</v>
      </c>
      <c r="E9" t="s">
        <v>19</v>
      </c>
      <c r="F9" s="10">
        <f t="shared" si="0"/>
        <v>120</v>
      </c>
      <c r="G9" s="14">
        <f t="shared" si="1"/>
        <v>995</v>
      </c>
    </row>
    <row r="10" spans="1:9" x14ac:dyDescent="0.3">
      <c r="A10" s="7">
        <v>409.5</v>
      </c>
      <c r="B10">
        <v>0</v>
      </c>
      <c r="C10">
        <v>30</v>
      </c>
      <c r="D10">
        <v>9</v>
      </c>
      <c r="E10" t="s">
        <v>16</v>
      </c>
      <c r="F10" s="10">
        <f t="shared" si="0"/>
        <v>0</v>
      </c>
      <c r="G10" s="14">
        <f t="shared" si="1"/>
        <v>122.85</v>
      </c>
    </row>
    <row r="11" spans="1:9" x14ac:dyDescent="0.3">
      <c r="A11" s="7">
        <v>1475</v>
      </c>
      <c r="B11">
        <v>5</v>
      </c>
      <c r="C11">
        <v>15</v>
      </c>
      <c r="D11">
        <v>4</v>
      </c>
      <c r="E11" t="s">
        <v>20</v>
      </c>
      <c r="F11" s="10">
        <f t="shared" si="0"/>
        <v>74</v>
      </c>
      <c r="G11" s="14">
        <f t="shared" si="1"/>
        <v>221.25</v>
      </c>
    </row>
    <row r="12" spans="1:9" x14ac:dyDescent="0.3">
      <c r="A12" s="7">
        <v>906</v>
      </c>
      <c r="B12">
        <v>14</v>
      </c>
      <c r="C12">
        <v>5</v>
      </c>
      <c r="D12">
        <v>5</v>
      </c>
      <c r="E12" t="s">
        <v>17</v>
      </c>
      <c r="F12" s="10">
        <f t="shared" si="0"/>
        <v>127</v>
      </c>
      <c r="G12" s="14">
        <f t="shared" si="1"/>
        <v>45.3</v>
      </c>
    </row>
    <row r="13" spans="1:9" x14ac:dyDescent="0.3">
      <c r="A13" s="7">
        <v>2825</v>
      </c>
      <c r="B13">
        <v>12</v>
      </c>
      <c r="C13">
        <v>15</v>
      </c>
      <c r="D13">
        <v>2</v>
      </c>
      <c r="E13" t="s">
        <v>20</v>
      </c>
      <c r="F13" s="10">
        <f t="shared" si="0"/>
        <v>339</v>
      </c>
      <c r="G13" s="14">
        <f t="shared" si="1"/>
        <v>423.75</v>
      </c>
    </row>
    <row r="14" spans="1:9" x14ac:dyDescent="0.3">
      <c r="A14" s="7">
        <v>5810</v>
      </c>
      <c r="B14">
        <v>2</v>
      </c>
      <c r="C14">
        <v>5</v>
      </c>
      <c r="D14">
        <v>1</v>
      </c>
      <c r="E14" t="s">
        <v>18</v>
      </c>
      <c r="F14" s="10">
        <f t="shared" si="0"/>
        <v>117</v>
      </c>
      <c r="G14" s="14">
        <f t="shared" si="1"/>
        <v>290.5</v>
      </c>
    </row>
    <row r="15" spans="1:9" x14ac:dyDescent="0.3">
      <c r="A15" s="7">
        <v>889.7</v>
      </c>
      <c r="B15">
        <v>3</v>
      </c>
      <c r="C15">
        <v>45</v>
      </c>
      <c r="D15">
        <v>7</v>
      </c>
      <c r="E15" t="s">
        <v>17</v>
      </c>
      <c r="F15" s="10">
        <f t="shared" si="0"/>
        <v>27</v>
      </c>
      <c r="G15" s="14">
        <f t="shared" si="1"/>
        <v>400.37</v>
      </c>
    </row>
    <row r="16" spans="1:9" x14ac:dyDescent="0.3">
      <c r="A16" s="7">
        <v>5410</v>
      </c>
      <c r="B16">
        <v>7</v>
      </c>
      <c r="C16">
        <v>50</v>
      </c>
      <c r="D16">
        <v>1</v>
      </c>
      <c r="E16" t="s">
        <v>15</v>
      </c>
      <c r="F16" s="10">
        <f t="shared" si="0"/>
        <v>379</v>
      </c>
      <c r="G16" s="14">
        <f t="shared" si="1"/>
        <v>2705</v>
      </c>
    </row>
    <row r="17" spans="1:7" x14ac:dyDescent="0.3">
      <c r="A17" s="7">
        <v>533</v>
      </c>
      <c r="B17">
        <v>6</v>
      </c>
      <c r="C17">
        <v>5</v>
      </c>
      <c r="D17">
        <v>8</v>
      </c>
      <c r="E17" t="s">
        <v>17</v>
      </c>
      <c r="F17" s="10">
        <f t="shared" si="0"/>
        <v>32</v>
      </c>
      <c r="G17" s="14">
        <f t="shared" si="1"/>
        <v>26.65</v>
      </c>
    </row>
    <row r="18" spans="1:7" x14ac:dyDescent="0.3">
      <c r="A18" s="7">
        <v>502</v>
      </c>
      <c r="B18">
        <v>1</v>
      </c>
      <c r="C18">
        <v>35</v>
      </c>
      <c r="D18">
        <v>6</v>
      </c>
      <c r="E18" t="s">
        <v>16</v>
      </c>
      <c r="F18" s="10">
        <f t="shared" si="0"/>
        <v>6</v>
      </c>
      <c r="G18" s="14">
        <f t="shared" si="1"/>
        <v>175.7</v>
      </c>
    </row>
    <row r="19" spans="1:7" x14ac:dyDescent="0.3">
      <c r="A19" s="7">
        <v>628</v>
      </c>
      <c r="B19">
        <v>15</v>
      </c>
      <c r="C19">
        <v>15</v>
      </c>
      <c r="D19">
        <v>8</v>
      </c>
      <c r="E19" t="s">
        <v>17</v>
      </c>
      <c r="F19" s="10">
        <f t="shared" si="0"/>
        <v>95</v>
      </c>
      <c r="G19" s="14">
        <f t="shared" si="1"/>
        <v>94.2</v>
      </c>
    </row>
    <row r="20" spans="1:7" x14ac:dyDescent="0.3">
      <c r="A20" s="7">
        <v>5640</v>
      </c>
      <c r="B20">
        <v>12</v>
      </c>
      <c r="C20">
        <v>40</v>
      </c>
      <c r="D20">
        <v>1</v>
      </c>
      <c r="E20" t="s">
        <v>16</v>
      </c>
      <c r="F20" s="10">
        <f t="shared" si="0"/>
        <v>677</v>
      </c>
      <c r="G20" s="14">
        <f t="shared" si="1"/>
        <v>2256</v>
      </c>
    </row>
    <row r="21" spans="1:7" x14ac:dyDescent="0.3">
      <c r="A21" s="7">
        <v>4470</v>
      </c>
      <c r="B21">
        <v>3</v>
      </c>
      <c r="C21">
        <v>40</v>
      </c>
      <c r="D21">
        <v>1</v>
      </c>
      <c r="E21" t="s">
        <v>21</v>
      </c>
      <c r="F21" s="10">
        <f t="shared" si="0"/>
        <v>135</v>
      </c>
      <c r="G21" s="14">
        <f t="shared" si="1"/>
        <v>1788</v>
      </c>
    </row>
    <row r="22" spans="1:7" x14ac:dyDescent="0.3">
      <c r="A22" s="7">
        <v>7000</v>
      </c>
      <c r="B22">
        <v>3</v>
      </c>
      <c r="C22">
        <v>40</v>
      </c>
      <c r="D22">
        <v>1</v>
      </c>
      <c r="E22" t="s">
        <v>19</v>
      </c>
      <c r="F22" s="10">
        <f t="shared" si="0"/>
        <v>210</v>
      </c>
      <c r="G22" s="14">
        <f t="shared" si="1"/>
        <v>2800</v>
      </c>
    </row>
    <row r="23" spans="1:7" x14ac:dyDescent="0.3">
      <c r="A23" s="7">
        <v>1020</v>
      </c>
      <c r="B23">
        <v>15</v>
      </c>
      <c r="C23">
        <v>10</v>
      </c>
      <c r="D23">
        <v>5</v>
      </c>
      <c r="E23" t="s">
        <v>21</v>
      </c>
      <c r="F23" s="10">
        <f t="shared" si="0"/>
        <v>153</v>
      </c>
      <c r="G23" s="14">
        <f t="shared" si="1"/>
        <v>102</v>
      </c>
    </row>
    <row r="24" spans="1:7" x14ac:dyDescent="0.3">
      <c r="A24" s="7">
        <v>534.5</v>
      </c>
      <c r="B24">
        <v>15</v>
      </c>
      <c r="C24">
        <v>35</v>
      </c>
      <c r="D24">
        <v>8</v>
      </c>
      <c r="E24" t="s">
        <v>17</v>
      </c>
      <c r="F24" s="10">
        <f t="shared" si="0"/>
        <v>81</v>
      </c>
      <c r="G24" s="14">
        <f t="shared" si="1"/>
        <v>187.08</v>
      </c>
    </row>
    <row r="25" spans="1:7" x14ac:dyDescent="0.3">
      <c r="A25" s="7">
        <v>2113</v>
      </c>
      <c r="B25">
        <v>4</v>
      </c>
      <c r="C25">
        <v>20</v>
      </c>
      <c r="D25">
        <v>3</v>
      </c>
      <c r="E25" t="s">
        <v>15</v>
      </c>
      <c r="F25" s="10">
        <f t="shared" si="0"/>
        <v>85</v>
      </c>
      <c r="G25" s="14">
        <f t="shared" si="1"/>
        <v>422.6</v>
      </c>
    </row>
    <row r="26" spans="1:7" x14ac:dyDescent="0.3">
      <c r="A26" s="7">
        <v>623</v>
      </c>
      <c r="B26">
        <v>5</v>
      </c>
      <c r="C26">
        <v>5</v>
      </c>
      <c r="D26">
        <v>7</v>
      </c>
      <c r="E26" t="s">
        <v>21</v>
      </c>
      <c r="F26" s="10">
        <f t="shared" si="0"/>
        <v>32</v>
      </c>
      <c r="G26" s="14">
        <f t="shared" si="1"/>
        <v>31.15</v>
      </c>
    </row>
    <row r="27" spans="1:7" x14ac:dyDescent="0.3">
      <c r="A27" s="7">
        <v>530</v>
      </c>
      <c r="B27">
        <v>8</v>
      </c>
      <c r="C27">
        <v>5</v>
      </c>
      <c r="D27">
        <v>9</v>
      </c>
      <c r="E27" t="s">
        <v>18</v>
      </c>
      <c r="F27" s="10">
        <f t="shared" si="0"/>
        <v>43</v>
      </c>
      <c r="G27" s="14">
        <f t="shared" si="1"/>
        <v>26.5</v>
      </c>
    </row>
    <row r="28" spans="1:7" x14ac:dyDescent="0.3">
      <c r="A28" s="7">
        <v>406</v>
      </c>
      <c r="B28">
        <v>15</v>
      </c>
      <c r="C28">
        <v>45</v>
      </c>
      <c r="D28">
        <v>9</v>
      </c>
      <c r="E28" t="s">
        <v>21</v>
      </c>
      <c r="F28" s="10">
        <f t="shared" si="0"/>
        <v>61</v>
      </c>
      <c r="G28" s="14">
        <f t="shared" si="1"/>
        <v>182.7</v>
      </c>
    </row>
    <row r="29" spans="1:7" x14ac:dyDescent="0.3">
      <c r="A29" s="7">
        <v>1047</v>
      </c>
      <c r="B29">
        <v>12</v>
      </c>
      <c r="C29">
        <v>30</v>
      </c>
      <c r="D29">
        <v>6</v>
      </c>
      <c r="E29" t="s">
        <v>17</v>
      </c>
      <c r="F29" s="10">
        <f t="shared" si="0"/>
        <v>126</v>
      </c>
      <c r="G29" s="14">
        <f t="shared" si="1"/>
        <v>314.10000000000002</v>
      </c>
    </row>
    <row r="30" spans="1:7" x14ac:dyDescent="0.3">
      <c r="A30" s="7">
        <v>4450</v>
      </c>
      <c r="B30">
        <v>8</v>
      </c>
      <c r="C30">
        <v>15</v>
      </c>
      <c r="D30">
        <v>1</v>
      </c>
      <c r="E30" t="s">
        <v>18</v>
      </c>
      <c r="F30" s="10">
        <f t="shared" si="0"/>
        <v>356</v>
      </c>
      <c r="G30" s="14">
        <f t="shared" si="1"/>
        <v>667.5</v>
      </c>
    </row>
    <row r="31" spans="1:7" x14ac:dyDescent="0.3">
      <c r="A31" s="7">
        <v>3690</v>
      </c>
      <c r="B31">
        <v>16</v>
      </c>
      <c r="C31">
        <v>5</v>
      </c>
      <c r="D31">
        <v>1</v>
      </c>
      <c r="E31" t="s">
        <v>16</v>
      </c>
      <c r="F31" s="10">
        <f t="shared" si="0"/>
        <v>591</v>
      </c>
      <c r="G31" s="14">
        <f t="shared" si="1"/>
        <v>184.5</v>
      </c>
    </row>
    <row r="32" spans="1:7" x14ac:dyDescent="0.3">
      <c r="A32" s="7">
        <v>688</v>
      </c>
      <c r="B32">
        <v>19</v>
      </c>
      <c r="C32">
        <v>20</v>
      </c>
      <c r="D32">
        <v>9</v>
      </c>
      <c r="E32" t="s">
        <v>19</v>
      </c>
      <c r="F32" s="10">
        <f t="shared" si="0"/>
        <v>131</v>
      </c>
      <c r="G32" s="14">
        <f t="shared" si="1"/>
        <v>137.6</v>
      </c>
    </row>
    <row r="33" spans="1:7" x14ac:dyDescent="0.3">
      <c r="A33" s="7">
        <v>6870</v>
      </c>
      <c r="B33">
        <v>20</v>
      </c>
      <c r="C33">
        <v>5</v>
      </c>
      <c r="D33">
        <v>1</v>
      </c>
      <c r="E33" t="s">
        <v>20</v>
      </c>
      <c r="F33" s="10">
        <f t="shared" si="0"/>
        <v>1374</v>
      </c>
      <c r="G33" s="14">
        <f t="shared" si="1"/>
        <v>343.5</v>
      </c>
    </row>
    <row r="34" spans="1:7" x14ac:dyDescent="0.3">
      <c r="A34" s="7">
        <v>5550</v>
      </c>
      <c r="B34">
        <v>8</v>
      </c>
      <c r="C34">
        <v>40</v>
      </c>
      <c r="D34">
        <v>1</v>
      </c>
      <c r="E34" t="s">
        <v>18</v>
      </c>
      <c r="F34" s="10">
        <f t="shared" si="0"/>
        <v>444</v>
      </c>
      <c r="G34" s="14">
        <f t="shared" si="1"/>
        <v>2220</v>
      </c>
    </row>
    <row r="35" spans="1:7" x14ac:dyDescent="0.3">
      <c r="A35" s="7">
        <v>423</v>
      </c>
      <c r="B35">
        <v>12</v>
      </c>
      <c r="C35">
        <v>25</v>
      </c>
      <c r="D35">
        <v>7</v>
      </c>
      <c r="E35" t="s">
        <v>18</v>
      </c>
      <c r="F35" s="10">
        <f t="shared" si="0"/>
        <v>51</v>
      </c>
      <c r="G35" s="14">
        <f t="shared" si="1"/>
        <v>105.75</v>
      </c>
    </row>
    <row r="36" spans="1:7" x14ac:dyDescent="0.3">
      <c r="A36" s="7">
        <v>4160</v>
      </c>
      <c r="B36">
        <v>6</v>
      </c>
      <c r="C36">
        <v>15</v>
      </c>
      <c r="D36">
        <v>1</v>
      </c>
      <c r="E36" t="s">
        <v>17</v>
      </c>
      <c r="F36" s="10">
        <f t="shared" si="0"/>
        <v>250</v>
      </c>
      <c r="G36" s="14">
        <f t="shared" si="1"/>
        <v>624</v>
      </c>
    </row>
    <row r="37" spans="1:7" x14ac:dyDescent="0.3">
      <c r="A37" s="7">
        <v>1090</v>
      </c>
      <c r="B37">
        <v>16</v>
      </c>
      <c r="C37">
        <v>15</v>
      </c>
      <c r="D37">
        <v>3</v>
      </c>
      <c r="E37" t="s">
        <v>17</v>
      </c>
      <c r="F37" s="10">
        <f t="shared" si="0"/>
        <v>175</v>
      </c>
      <c r="G37" s="14">
        <f t="shared" si="1"/>
        <v>163.5</v>
      </c>
    </row>
    <row r="38" spans="1:7" x14ac:dyDescent="0.3">
      <c r="A38" s="7">
        <v>6460</v>
      </c>
      <c r="B38">
        <v>4</v>
      </c>
      <c r="C38">
        <v>40</v>
      </c>
      <c r="D38">
        <v>1</v>
      </c>
      <c r="E38" t="s">
        <v>15</v>
      </c>
      <c r="F38" s="10">
        <f t="shared" si="0"/>
        <v>259</v>
      </c>
      <c r="G38" s="14">
        <f t="shared" si="1"/>
        <v>2584</v>
      </c>
    </row>
    <row r="39" spans="1:7" x14ac:dyDescent="0.3">
      <c r="A39" s="7">
        <v>332</v>
      </c>
      <c r="B39">
        <v>12</v>
      </c>
      <c r="C39">
        <v>40</v>
      </c>
      <c r="D39">
        <v>9</v>
      </c>
      <c r="E39" t="s">
        <v>19</v>
      </c>
      <c r="F39" s="10">
        <f t="shared" si="0"/>
        <v>40</v>
      </c>
      <c r="G39" s="14">
        <f t="shared" si="1"/>
        <v>132.80000000000001</v>
      </c>
    </row>
    <row r="40" spans="1:7" x14ac:dyDescent="0.3">
      <c r="A40" s="7">
        <v>1950</v>
      </c>
      <c r="B40">
        <v>5</v>
      </c>
      <c r="C40">
        <v>45</v>
      </c>
      <c r="D40">
        <v>3</v>
      </c>
      <c r="E40" t="s">
        <v>18</v>
      </c>
      <c r="F40" s="10">
        <f t="shared" si="0"/>
        <v>98</v>
      </c>
      <c r="G40" s="14">
        <f t="shared" si="1"/>
        <v>877.5</v>
      </c>
    </row>
    <row r="41" spans="1:7" x14ac:dyDescent="0.3">
      <c r="A41" s="7">
        <v>3880</v>
      </c>
      <c r="B41">
        <v>6</v>
      </c>
      <c r="C41">
        <v>40</v>
      </c>
      <c r="D41">
        <v>1</v>
      </c>
      <c r="E41" t="s">
        <v>20</v>
      </c>
      <c r="F41" s="10">
        <f t="shared" si="0"/>
        <v>233</v>
      </c>
      <c r="G41" s="14">
        <f t="shared" si="1"/>
        <v>1552</v>
      </c>
    </row>
    <row r="42" spans="1:7" x14ac:dyDescent="0.3">
      <c r="A42" s="7">
        <v>1063</v>
      </c>
      <c r="B42">
        <v>4</v>
      </c>
      <c r="C42">
        <v>30</v>
      </c>
      <c r="D42">
        <v>6</v>
      </c>
      <c r="E42" t="s">
        <v>20</v>
      </c>
      <c r="F42" s="10">
        <f t="shared" si="0"/>
        <v>43</v>
      </c>
      <c r="G42" s="14">
        <f t="shared" si="1"/>
        <v>318.89999999999998</v>
      </c>
    </row>
    <row r="43" spans="1:7" x14ac:dyDescent="0.3">
      <c r="A43" s="7">
        <v>3660</v>
      </c>
      <c r="B43">
        <v>12</v>
      </c>
      <c r="C43">
        <v>10</v>
      </c>
      <c r="D43">
        <v>1</v>
      </c>
      <c r="E43" t="s">
        <v>20</v>
      </c>
      <c r="F43" s="10">
        <f t="shared" si="0"/>
        <v>440</v>
      </c>
      <c r="G43" s="14">
        <f t="shared" si="1"/>
        <v>366</v>
      </c>
    </row>
    <row r="44" spans="1:7" x14ac:dyDescent="0.3">
      <c r="A44" s="7">
        <v>2165</v>
      </c>
      <c r="B44">
        <v>11</v>
      </c>
      <c r="C44">
        <v>15</v>
      </c>
      <c r="D44">
        <v>2</v>
      </c>
      <c r="E44" t="s">
        <v>15</v>
      </c>
      <c r="F44" s="10">
        <f t="shared" si="0"/>
        <v>239</v>
      </c>
      <c r="G44" s="14">
        <f t="shared" si="1"/>
        <v>324.75</v>
      </c>
    </row>
    <row r="45" spans="1:7" x14ac:dyDescent="0.3">
      <c r="A45" s="7">
        <v>2000</v>
      </c>
      <c r="B45">
        <v>19</v>
      </c>
      <c r="C45">
        <v>0</v>
      </c>
      <c r="D45">
        <v>2</v>
      </c>
      <c r="E45" t="s">
        <v>17</v>
      </c>
      <c r="F45" s="10">
        <f t="shared" si="0"/>
        <v>380</v>
      </c>
      <c r="G45" s="14">
        <f t="shared" si="1"/>
        <v>0</v>
      </c>
    </row>
    <row r="46" spans="1:7" x14ac:dyDescent="0.3">
      <c r="A46" s="7">
        <v>3550</v>
      </c>
      <c r="B46">
        <v>8</v>
      </c>
      <c r="C46">
        <v>10</v>
      </c>
      <c r="D46">
        <v>1</v>
      </c>
      <c r="E46" t="s">
        <v>20</v>
      </c>
      <c r="F46" s="10">
        <f t="shared" si="0"/>
        <v>284</v>
      </c>
      <c r="G46" s="14">
        <f t="shared" si="1"/>
        <v>355</v>
      </c>
    </row>
    <row r="47" spans="1:7" x14ac:dyDescent="0.3">
      <c r="A47" s="7">
        <v>5530</v>
      </c>
      <c r="B47">
        <v>7</v>
      </c>
      <c r="C47">
        <v>35</v>
      </c>
      <c r="D47">
        <v>1</v>
      </c>
      <c r="E47" t="s">
        <v>18</v>
      </c>
      <c r="F47" s="10">
        <f t="shared" si="0"/>
        <v>388</v>
      </c>
      <c r="G47" s="14">
        <f t="shared" si="1"/>
        <v>1935.5</v>
      </c>
    </row>
    <row r="48" spans="1:7" x14ac:dyDescent="0.3">
      <c r="A48" s="7">
        <v>1168</v>
      </c>
      <c r="B48">
        <v>5</v>
      </c>
      <c r="C48">
        <v>0</v>
      </c>
      <c r="D48">
        <v>5</v>
      </c>
      <c r="E48" t="s">
        <v>15</v>
      </c>
      <c r="F48" s="10">
        <f t="shared" si="0"/>
        <v>59</v>
      </c>
      <c r="G48" s="14">
        <f t="shared" si="1"/>
        <v>0</v>
      </c>
    </row>
    <row r="49" spans="1:7" x14ac:dyDescent="0.3">
      <c r="A49" s="7">
        <v>740</v>
      </c>
      <c r="B49">
        <v>0</v>
      </c>
      <c r="C49">
        <v>40</v>
      </c>
      <c r="D49">
        <v>4</v>
      </c>
      <c r="E49" t="s">
        <v>17</v>
      </c>
      <c r="F49" s="10">
        <f t="shared" si="0"/>
        <v>0</v>
      </c>
      <c r="G49" s="14">
        <f t="shared" si="1"/>
        <v>296</v>
      </c>
    </row>
    <row r="50" spans="1:7" x14ac:dyDescent="0.3">
      <c r="A50" s="7">
        <v>651</v>
      </c>
      <c r="B50">
        <v>7</v>
      </c>
      <c r="C50">
        <v>20</v>
      </c>
      <c r="D50">
        <v>10</v>
      </c>
      <c r="E50" t="s">
        <v>15</v>
      </c>
      <c r="F50" s="10">
        <f t="shared" si="0"/>
        <v>46</v>
      </c>
      <c r="G50" s="14">
        <f t="shared" si="1"/>
        <v>130.19999999999999</v>
      </c>
    </row>
    <row r="51" spans="1:7" x14ac:dyDescent="0.3">
      <c r="A51" s="7">
        <v>1055</v>
      </c>
      <c r="B51">
        <v>19</v>
      </c>
      <c r="C51">
        <v>45</v>
      </c>
      <c r="D51">
        <v>4</v>
      </c>
      <c r="E51" t="s">
        <v>20</v>
      </c>
      <c r="F51" s="10">
        <f t="shared" si="0"/>
        <v>201</v>
      </c>
      <c r="G51" s="14">
        <f t="shared" si="1"/>
        <v>474.75</v>
      </c>
    </row>
    <row r="52" spans="1:7" x14ac:dyDescent="0.3">
      <c r="A52" s="7">
        <v>900</v>
      </c>
      <c r="B52">
        <v>6</v>
      </c>
      <c r="C52">
        <v>20</v>
      </c>
      <c r="D52">
        <v>4</v>
      </c>
      <c r="E52" t="s">
        <v>15</v>
      </c>
      <c r="F52" s="10">
        <f t="shared" si="0"/>
        <v>54</v>
      </c>
      <c r="G52" s="14">
        <f t="shared" si="1"/>
        <v>180</v>
      </c>
    </row>
    <row r="53" spans="1:7" x14ac:dyDescent="0.3">
      <c r="A53" s="7">
        <v>2177</v>
      </c>
      <c r="B53">
        <v>6</v>
      </c>
      <c r="C53">
        <v>25</v>
      </c>
      <c r="D53">
        <v>3</v>
      </c>
      <c r="E53" t="s">
        <v>21</v>
      </c>
      <c r="F53" s="10">
        <f t="shared" si="0"/>
        <v>131</v>
      </c>
      <c r="G53" s="14">
        <f t="shared" si="1"/>
        <v>544.25</v>
      </c>
    </row>
    <row r="54" spans="1:7" x14ac:dyDescent="0.3">
      <c r="A54" s="7">
        <v>450</v>
      </c>
      <c r="B54">
        <v>20</v>
      </c>
      <c r="C54">
        <v>30</v>
      </c>
      <c r="D54">
        <v>10</v>
      </c>
      <c r="E54" t="s">
        <v>16</v>
      </c>
      <c r="F54" s="10">
        <f t="shared" si="0"/>
        <v>90</v>
      </c>
      <c r="G54" s="14">
        <f t="shared" si="1"/>
        <v>135</v>
      </c>
    </row>
    <row r="55" spans="1:7" x14ac:dyDescent="0.3">
      <c r="A55" s="7">
        <v>689</v>
      </c>
      <c r="B55">
        <v>7</v>
      </c>
      <c r="C55">
        <v>10</v>
      </c>
      <c r="D55">
        <v>9</v>
      </c>
      <c r="E55" t="s">
        <v>18</v>
      </c>
      <c r="F55" s="10">
        <f t="shared" si="0"/>
        <v>49</v>
      </c>
      <c r="G55" s="14">
        <f t="shared" si="1"/>
        <v>68.900000000000006</v>
      </c>
    </row>
    <row r="56" spans="1:7" x14ac:dyDescent="0.3">
      <c r="A56" s="7">
        <v>478</v>
      </c>
      <c r="B56">
        <v>9</v>
      </c>
      <c r="C56">
        <v>10</v>
      </c>
      <c r="D56">
        <v>8</v>
      </c>
      <c r="E56" t="s">
        <v>16</v>
      </c>
      <c r="F56" s="10">
        <f t="shared" si="0"/>
        <v>44</v>
      </c>
      <c r="G56" s="14">
        <f t="shared" si="1"/>
        <v>47.8</v>
      </c>
    </row>
    <row r="57" spans="1:7" x14ac:dyDescent="0.3">
      <c r="A57" s="7">
        <v>788</v>
      </c>
      <c r="B57">
        <v>9</v>
      </c>
      <c r="C57">
        <v>10</v>
      </c>
      <c r="D57">
        <v>5</v>
      </c>
      <c r="E57" t="s">
        <v>16</v>
      </c>
      <c r="F57" s="10">
        <f t="shared" si="0"/>
        <v>71</v>
      </c>
      <c r="G57" s="14">
        <f t="shared" si="1"/>
        <v>78.8</v>
      </c>
    </row>
    <row r="58" spans="1:7" x14ac:dyDescent="0.3">
      <c r="A58" s="7">
        <v>500</v>
      </c>
      <c r="B58">
        <v>7</v>
      </c>
      <c r="C58">
        <v>25</v>
      </c>
      <c r="D58">
        <v>9</v>
      </c>
      <c r="E58" t="s">
        <v>17</v>
      </c>
      <c r="F58" s="10">
        <f t="shared" si="0"/>
        <v>35</v>
      </c>
      <c r="G58" s="14">
        <f t="shared" si="1"/>
        <v>125</v>
      </c>
    </row>
    <row r="59" spans="1:7" x14ac:dyDescent="0.3">
      <c r="A59" s="7">
        <v>1347</v>
      </c>
      <c r="B59">
        <v>20</v>
      </c>
      <c r="C59">
        <v>45</v>
      </c>
      <c r="D59">
        <v>3</v>
      </c>
      <c r="E59" t="s">
        <v>16</v>
      </c>
      <c r="F59" s="10">
        <f t="shared" si="0"/>
        <v>270</v>
      </c>
      <c r="G59" s="14">
        <f t="shared" si="1"/>
        <v>606.15</v>
      </c>
    </row>
    <row r="60" spans="1:7" x14ac:dyDescent="0.3">
      <c r="A60" s="7">
        <v>4460</v>
      </c>
      <c r="B60">
        <v>18</v>
      </c>
      <c r="C60">
        <v>35</v>
      </c>
      <c r="D60">
        <v>1</v>
      </c>
      <c r="E60" t="s">
        <v>18</v>
      </c>
      <c r="F60" s="10">
        <f t="shared" si="0"/>
        <v>803</v>
      </c>
      <c r="G60" s="14">
        <f t="shared" si="1"/>
        <v>1561</v>
      </c>
    </row>
    <row r="61" spans="1:7" x14ac:dyDescent="0.3">
      <c r="A61" s="7">
        <v>796.5</v>
      </c>
      <c r="B61">
        <v>9</v>
      </c>
      <c r="C61">
        <v>7</v>
      </c>
      <c r="D61">
        <v>7</v>
      </c>
      <c r="E61" t="s">
        <v>15</v>
      </c>
      <c r="F61" s="10">
        <f t="shared" si="0"/>
        <v>72</v>
      </c>
      <c r="G61" s="14">
        <f t="shared" si="1"/>
        <v>55.76</v>
      </c>
    </row>
    <row r="62" spans="1:7" x14ac:dyDescent="0.3">
      <c r="A62" s="7">
        <v>4210</v>
      </c>
      <c r="B62">
        <v>19</v>
      </c>
      <c r="C62">
        <v>20</v>
      </c>
      <c r="D62">
        <v>1</v>
      </c>
      <c r="E62" t="s">
        <v>15</v>
      </c>
      <c r="F62" s="10">
        <f t="shared" si="0"/>
        <v>800</v>
      </c>
      <c r="G62" s="14">
        <f t="shared" si="1"/>
        <v>842</v>
      </c>
    </row>
    <row r="63" spans="1:7" x14ac:dyDescent="0.3">
      <c r="A63" s="7">
        <v>460</v>
      </c>
      <c r="B63">
        <v>11</v>
      </c>
      <c r="C63">
        <v>40</v>
      </c>
      <c r="D63">
        <v>7</v>
      </c>
      <c r="E63" t="s">
        <v>20</v>
      </c>
      <c r="F63" s="10">
        <f t="shared" si="0"/>
        <v>51</v>
      </c>
      <c r="G63" s="14">
        <f t="shared" si="1"/>
        <v>184</v>
      </c>
    </row>
    <row r="64" spans="1:7" x14ac:dyDescent="0.3">
      <c r="A64" s="7">
        <v>1548</v>
      </c>
      <c r="B64">
        <v>17</v>
      </c>
      <c r="C64">
        <v>50</v>
      </c>
      <c r="D64">
        <v>4</v>
      </c>
      <c r="E64" t="s">
        <v>17</v>
      </c>
      <c r="F64" s="10">
        <f t="shared" si="0"/>
        <v>264</v>
      </c>
      <c r="G64" s="14">
        <f t="shared" si="1"/>
        <v>774</v>
      </c>
    </row>
    <row r="65" spans="1:7" x14ac:dyDescent="0.3">
      <c r="A65" s="7">
        <v>870</v>
      </c>
      <c r="B65">
        <v>18</v>
      </c>
      <c r="C65">
        <v>40</v>
      </c>
      <c r="D65">
        <v>6</v>
      </c>
      <c r="E65" t="s">
        <v>19</v>
      </c>
      <c r="F65" s="10">
        <f t="shared" si="0"/>
        <v>157</v>
      </c>
      <c r="G65" s="14">
        <f t="shared" si="1"/>
        <v>348</v>
      </c>
    </row>
    <row r="66" spans="1:7" x14ac:dyDescent="0.3">
      <c r="A66" s="7">
        <v>2950</v>
      </c>
      <c r="B66">
        <v>5</v>
      </c>
      <c r="C66">
        <v>50</v>
      </c>
      <c r="D66">
        <v>1</v>
      </c>
      <c r="E66" t="s">
        <v>15</v>
      </c>
      <c r="F66" s="10">
        <f t="shared" si="0"/>
        <v>148</v>
      </c>
      <c r="G66" s="14">
        <f t="shared" si="1"/>
        <v>1475</v>
      </c>
    </row>
    <row r="67" spans="1:7" x14ac:dyDescent="0.3">
      <c r="A67" s="7">
        <v>6490</v>
      </c>
      <c r="B67">
        <v>9</v>
      </c>
      <c r="C67">
        <v>25</v>
      </c>
      <c r="D67">
        <v>1</v>
      </c>
      <c r="E67" t="s">
        <v>21</v>
      </c>
      <c r="F67" s="10">
        <f t="shared" ref="F67:F130" si="2">ROUNDUP(0.01*B67*A67,0)</f>
        <v>585</v>
      </c>
      <c r="G67" s="14">
        <f t="shared" ref="G67:G130" si="3">ROUND(C67/100*A67,2)</f>
        <v>1622.5</v>
      </c>
    </row>
    <row r="68" spans="1:7" x14ac:dyDescent="0.3">
      <c r="A68" s="7">
        <v>4480</v>
      </c>
      <c r="B68">
        <v>4</v>
      </c>
      <c r="C68">
        <v>40</v>
      </c>
      <c r="D68">
        <v>1</v>
      </c>
      <c r="E68" t="s">
        <v>15</v>
      </c>
      <c r="F68" s="10">
        <f t="shared" si="2"/>
        <v>180</v>
      </c>
      <c r="G68" s="14">
        <f t="shared" si="3"/>
        <v>1792</v>
      </c>
    </row>
    <row r="69" spans="1:7" x14ac:dyDescent="0.3">
      <c r="A69" s="7">
        <v>6590</v>
      </c>
      <c r="B69">
        <v>19</v>
      </c>
      <c r="C69">
        <v>5</v>
      </c>
      <c r="D69">
        <v>1</v>
      </c>
      <c r="E69" t="s">
        <v>20</v>
      </c>
      <c r="F69" s="10">
        <f t="shared" si="2"/>
        <v>1253</v>
      </c>
      <c r="G69" s="14">
        <f t="shared" si="3"/>
        <v>329.5</v>
      </c>
    </row>
    <row r="70" spans="1:7" x14ac:dyDescent="0.3">
      <c r="A70" s="7">
        <v>3380</v>
      </c>
      <c r="B70">
        <v>15</v>
      </c>
      <c r="C70">
        <v>50</v>
      </c>
      <c r="D70">
        <v>1</v>
      </c>
      <c r="E70" t="s">
        <v>21</v>
      </c>
      <c r="F70" s="10">
        <f t="shared" si="2"/>
        <v>507</v>
      </c>
      <c r="G70" s="14">
        <f t="shared" si="3"/>
        <v>1690</v>
      </c>
    </row>
    <row r="71" spans="1:7" x14ac:dyDescent="0.3">
      <c r="A71" s="7">
        <v>1085</v>
      </c>
      <c r="B71">
        <v>6</v>
      </c>
      <c r="C71">
        <v>35</v>
      </c>
      <c r="D71">
        <v>6</v>
      </c>
      <c r="E71" t="s">
        <v>15</v>
      </c>
      <c r="F71" s="10">
        <f t="shared" si="2"/>
        <v>66</v>
      </c>
      <c r="G71" s="14">
        <f t="shared" si="3"/>
        <v>379.75</v>
      </c>
    </row>
    <row r="72" spans="1:7" x14ac:dyDescent="0.3">
      <c r="A72" s="7">
        <v>546</v>
      </c>
      <c r="B72">
        <v>19</v>
      </c>
      <c r="C72">
        <v>45</v>
      </c>
      <c r="D72">
        <v>9</v>
      </c>
      <c r="E72" t="s">
        <v>20</v>
      </c>
      <c r="F72" s="10">
        <f t="shared" si="2"/>
        <v>104</v>
      </c>
      <c r="G72" s="14">
        <f t="shared" si="3"/>
        <v>245.7</v>
      </c>
    </row>
    <row r="73" spans="1:7" x14ac:dyDescent="0.3">
      <c r="A73" s="7">
        <v>5900</v>
      </c>
      <c r="B73">
        <v>14</v>
      </c>
      <c r="C73">
        <v>45</v>
      </c>
      <c r="D73">
        <v>1</v>
      </c>
      <c r="E73" t="s">
        <v>20</v>
      </c>
      <c r="F73" s="10">
        <f t="shared" si="2"/>
        <v>826</v>
      </c>
      <c r="G73" s="14">
        <f t="shared" si="3"/>
        <v>2655</v>
      </c>
    </row>
    <row r="74" spans="1:7" x14ac:dyDescent="0.3">
      <c r="A74" s="7">
        <v>5000</v>
      </c>
      <c r="B74">
        <v>14</v>
      </c>
      <c r="C74">
        <v>40</v>
      </c>
      <c r="D74">
        <v>1</v>
      </c>
      <c r="E74" t="s">
        <v>17</v>
      </c>
      <c r="F74" s="10">
        <f t="shared" si="2"/>
        <v>700</v>
      </c>
      <c r="G74" s="14">
        <f t="shared" si="3"/>
        <v>2000</v>
      </c>
    </row>
    <row r="75" spans="1:7" x14ac:dyDescent="0.3">
      <c r="A75" s="7">
        <v>6980</v>
      </c>
      <c r="B75">
        <v>20</v>
      </c>
      <c r="C75">
        <v>15</v>
      </c>
      <c r="D75">
        <v>1</v>
      </c>
      <c r="E75" t="s">
        <v>16</v>
      </c>
      <c r="F75" s="10">
        <f t="shared" si="2"/>
        <v>1396</v>
      </c>
      <c r="G75" s="14">
        <f t="shared" si="3"/>
        <v>1047</v>
      </c>
    </row>
    <row r="76" spans="1:7" x14ac:dyDescent="0.3">
      <c r="A76" s="7">
        <v>1120</v>
      </c>
      <c r="B76">
        <v>7</v>
      </c>
      <c r="C76">
        <v>0</v>
      </c>
      <c r="D76">
        <v>6</v>
      </c>
      <c r="E76" t="s">
        <v>18</v>
      </c>
      <c r="F76" s="10">
        <f t="shared" si="2"/>
        <v>79</v>
      </c>
      <c r="G76" s="14">
        <f t="shared" si="3"/>
        <v>0</v>
      </c>
    </row>
    <row r="77" spans="1:7" x14ac:dyDescent="0.3">
      <c r="A77" s="7">
        <v>410</v>
      </c>
      <c r="B77">
        <v>7</v>
      </c>
      <c r="C77">
        <v>30</v>
      </c>
      <c r="D77">
        <v>10</v>
      </c>
      <c r="E77" t="s">
        <v>20</v>
      </c>
      <c r="F77" s="10">
        <f t="shared" si="2"/>
        <v>29</v>
      </c>
      <c r="G77" s="14">
        <f t="shared" si="3"/>
        <v>123</v>
      </c>
    </row>
    <row r="78" spans="1:7" x14ac:dyDescent="0.3">
      <c r="A78" s="7">
        <v>1098</v>
      </c>
      <c r="B78">
        <v>0</v>
      </c>
      <c r="C78">
        <v>15</v>
      </c>
      <c r="D78">
        <v>5</v>
      </c>
      <c r="E78" t="s">
        <v>15</v>
      </c>
      <c r="F78" s="10">
        <f t="shared" si="2"/>
        <v>0</v>
      </c>
      <c r="G78" s="14">
        <f t="shared" si="3"/>
        <v>164.7</v>
      </c>
    </row>
    <row r="79" spans="1:7" x14ac:dyDescent="0.3">
      <c r="A79" s="7">
        <v>696</v>
      </c>
      <c r="B79">
        <v>4</v>
      </c>
      <c r="C79">
        <v>40</v>
      </c>
      <c r="D79">
        <v>10</v>
      </c>
      <c r="E79" t="s">
        <v>21</v>
      </c>
      <c r="F79" s="10">
        <f t="shared" si="2"/>
        <v>28</v>
      </c>
      <c r="G79" s="14">
        <f t="shared" si="3"/>
        <v>278.39999999999998</v>
      </c>
    </row>
    <row r="80" spans="1:7" x14ac:dyDescent="0.3">
      <c r="A80" s="7">
        <v>860</v>
      </c>
      <c r="B80">
        <v>5</v>
      </c>
      <c r="C80">
        <v>15</v>
      </c>
      <c r="D80">
        <v>6</v>
      </c>
      <c r="E80" t="s">
        <v>19</v>
      </c>
      <c r="F80" s="10">
        <f t="shared" si="2"/>
        <v>43</v>
      </c>
      <c r="G80" s="14">
        <f t="shared" si="3"/>
        <v>129</v>
      </c>
    </row>
    <row r="81" spans="1:7" x14ac:dyDescent="0.3">
      <c r="A81" s="7">
        <v>6400</v>
      </c>
      <c r="B81">
        <v>3</v>
      </c>
      <c r="C81">
        <v>5</v>
      </c>
      <c r="D81">
        <v>1</v>
      </c>
      <c r="E81" t="s">
        <v>15</v>
      </c>
      <c r="F81" s="10">
        <f t="shared" si="2"/>
        <v>192</v>
      </c>
      <c r="G81" s="14">
        <f t="shared" si="3"/>
        <v>320</v>
      </c>
    </row>
    <row r="82" spans="1:7" x14ac:dyDescent="0.3">
      <c r="A82" s="7">
        <v>4590</v>
      </c>
      <c r="B82">
        <v>18</v>
      </c>
      <c r="C82">
        <v>5</v>
      </c>
      <c r="D82">
        <v>1</v>
      </c>
      <c r="E82" t="s">
        <v>15</v>
      </c>
      <c r="F82" s="10">
        <f t="shared" si="2"/>
        <v>827</v>
      </c>
      <c r="G82" s="14">
        <f t="shared" si="3"/>
        <v>229.5</v>
      </c>
    </row>
    <row r="83" spans="1:7" x14ac:dyDescent="0.3">
      <c r="A83" s="7">
        <v>505</v>
      </c>
      <c r="B83">
        <v>1</v>
      </c>
      <c r="C83">
        <v>50</v>
      </c>
      <c r="D83">
        <v>6</v>
      </c>
      <c r="E83" t="s">
        <v>19</v>
      </c>
      <c r="F83" s="10">
        <f t="shared" si="2"/>
        <v>6</v>
      </c>
      <c r="G83" s="14">
        <f t="shared" si="3"/>
        <v>252.5</v>
      </c>
    </row>
    <row r="84" spans="1:7" x14ac:dyDescent="0.3">
      <c r="A84" s="7">
        <v>4620</v>
      </c>
      <c r="B84">
        <v>0</v>
      </c>
      <c r="C84">
        <v>45</v>
      </c>
      <c r="D84">
        <v>1</v>
      </c>
      <c r="E84" t="s">
        <v>19</v>
      </c>
      <c r="F84" s="10">
        <f t="shared" si="2"/>
        <v>0</v>
      </c>
      <c r="G84" s="14">
        <f t="shared" si="3"/>
        <v>2079</v>
      </c>
    </row>
    <row r="85" spans="1:7" x14ac:dyDescent="0.3">
      <c r="A85" s="7">
        <v>3810</v>
      </c>
      <c r="B85">
        <v>20</v>
      </c>
      <c r="C85">
        <v>30</v>
      </c>
      <c r="D85">
        <v>1</v>
      </c>
      <c r="E85" t="s">
        <v>20</v>
      </c>
      <c r="F85" s="10">
        <f t="shared" si="2"/>
        <v>762</v>
      </c>
      <c r="G85" s="14">
        <f t="shared" si="3"/>
        <v>1143</v>
      </c>
    </row>
    <row r="86" spans="1:7" x14ac:dyDescent="0.3">
      <c r="A86" s="7">
        <v>1588</v>
      </c>
      <c r="B86">
        <v>3</v>
      </c>
      <c r="C86">
        <v>10</v>
      </c>
      <c r="D86">
        <v>4</v>
      </c>
      <c r="E86" t="s">
        <v>21</v>
      </c>
      <c r="F86" s="10">
        <f t="shared" si="2"/>
        <v>48</v>
      </c>
      <c r="G86" s="14">
        <f t="shared" si="3"/>
        <v>158.80000000000001</v>
      </c>
    </row>
    <row r="87" spans="1:7" x14ac:dyDescent="0.3">
      <c r="A87" s="7">
        <v>5730</v>
      </c>
      <c r="B87">
        <v>12</v>
      </c>
      <c r="C87">
        <v>50</v>
      </c>
      <c r="D87">
        <v>1</v>
      </c>
      <c r="E87" t="s">
        <v>21</v>
      </c>
      <c r="F87" s="10">
        <f t="shared" si="2"/>
        <v>688</v>
      </c>
      <c r="G87" s="14">
        <f t="shared" si="3"/>
        <v>2865</v>
      </c>
    </row>
    <row r="88" spans="1:7" x14ac:dyDescent="0.3">
      <c r="A88" s="7">
        <v>909</v>
      </c>
      <c r="B88">
        <v>11</v>
      </c>
      <c r="C88">
        <v>45</v>
      </c>
      <c r="D88">
        <v>7</v>
      </c>
      <c r="E88" t="s">
        <v>16</v>
      </c>
      <c r="F88" s="10">
        <f t="shared" si="2"/>
        <v>100</v>
      </c>
      <c r="G88" s="14">
        <f t="shared" si="3"/>
        <v>409.05</v>
      </c>
    </row>
    <row r="89" spans="1:7" x14ac:dyDescent="0.3">
      <c r="A89" s="7">
        <v>968</v>
      </c>
      <c r="B89">
        <v>10</v>
      </c>
      <c r="C89">
        <v>5</v>
      </c>
      <c r="D89">
        <v>6</v>
      </c>
      <c r="E89" t="s">
        <v>15</v>
      </c>
      <c r="F89" s="10">
        <f t="shared" si="2"/>
        <v>97</v>
      </c>
      <c r="G89" s="14">
        <f t="shared" si="3"/>
        <v>48.4</v>
      </c>
    </row>
    <row r="90" spans="1:7" x14ac:dyDescent="0.3">
      <c r="A90" s="7">
        <v>691</v>
      </c>
      <c r="B90">
        <v>17</v>
      </c>
      <c r="C90">
        <v>5</v>
      </c>
      <c r="D90">
        <v>10</v>
      </c>
      <c r="E90" t="s">
        <v>16</v>
      </c>
      <c r="F90" s="10">
        <f t="shared" si="2"/>
        <v>118</v>
      </c>
      <c r="G90" s="14">
        <f t="shared" si="3"/>
        <v>34.549999999999997</v>
      </c>
    </row>
    <row r="91" spans="1:7" x14ac:dyDescent="0.3">
      <c r="A91" s="7">
        <v>555</v>
      </c>
      <c r="B91">
        <v>18</v>
      </c>
      <c r="C91">
        <v>5</v>
      </c>
      <c r="D91">
        <v>8</v>
      </c>
      <c r="E91" t="s">
        <v>19</v>
      </c>
      <c r="F91" s="10">
        <f t="shared" si="2"/>
        <v>100</v>
      </c>
      <c r="G91" s="14">
        <f t="shared" si="3"/>
        <v>27.75</v>
      </c>
    </row>
    <row r="92" spans="1:7" x14ac:dyDescent="0.3">
      <c r="A92" s="7">
        <v>4350</v>
      </c>
      <c r="B92">
        <v>2</v>
      </c>
      <c r="C92">
        <v>5</v>
      </c>
      <c r="D92">
        <v>1</v>
      </c>
      <c r="E92" t="s">
        <v>17</v>
      </c>
      <c r="F92" s="10">
        <f t="shared" si="2"/>
        <v>87</v>
      </c>
      <c r="G92" s="14">
        <f t="shared" si="3"/>
        <v>217.5</v>
      </c>
    </row>
    <row r="93" spans="1:7" x14ac:dyDescent="0.3">
      <c r="A93" s="7">
        <v>930</v>
      </c>
      <c r="B93">
        <v>2</v>
      </c>
      <c r="C93">
        <v>15</v>
      </c>
      <c r="D93">
        <v>5</v>
      </c>
      <c r="E93" t="s">
        <v>16</v>
      </c>
      <c r="F93" s="10">
        <f t="shared" si="2"/>
        <v>19</v>
      </c>
      <c r="G93" s="14">
        <f t="shared" si="3"/>
        <v>139.5</v>
      </c>
    </row>
    <row r="94" spans="1:7" x14ac:dyDescent="0.3">
      <c r="A94" s="7">
        <v>1907</v>
      </c>
      <c r="B94">
        <v>11</v>
      </c>
      <c r="C94">
        <v>45</v>
      </c>
      <c r="D94">
        <v>3</v>
      </c>
      <c r="E94" t="s">
        <v>20</v>
      </c>
      <c r="F94" s="10">
        <f t="shared" si="2"/>
        <v>210</v>
      </c>
      <c r="G94" s="14">
        <f t="shared" si="3"/>
        <v>858.15</v>
      </c>
    </row>
    <row r="95" spans="1:7" x14ac:dyDescent="0.3">
      <c r="A95" s="7">
        <v>393</v>
      </c>
      <c r="B95">
        <v>2</v>
      </c>
      <c r="C95">
        <v>20</v>
      </c>
      <c r="D95">
        <v>9</v>
      </c>
      <c r="E95" t="s">
        <v>18</v>
      </c>
      <c r="F95" s="10">
        <f t="shared" si="2"/>
        <v>8</v>
      </c>
      <c r="G95" s="14">
        <f t="shared" si="3"/>
        <v>78.599999999999994</v>
      </c>
    </row>
    <row r="96" spans="1:7" x14ac:dyDescent="0.3">
      <c r="A96" s="7">
        <v>5760</v>
      </c>
      <c r="B96">
        <v>14</v>
      </c>
      <c r="C96">
        <v>20</v>
      </c>
      <c r="D96">
        <v>1</v>
      </c>
      <c r="E96" t="s">
        <v>18</v>
      </c>
      <c r="F96" s="10">
        <f t="shared" si="2"/>
        <v>807</v>
      </c>
      <c r="G96" s="14">
        <f t="shared" si="3"/>
        <v>1152</v>
      </c>
    </row>
    <row r="97" spans="1:7" x14ac:dyDescent="0.3">
      <c r="A97" s="7">
        <v>1807</v>
      </c>
      <c r="B97">
        <v>11</v>
      </c>
      <c r="C97">
        <v>15</v>
      </c>
      <c r="D97">
        <v>3</v>
      </c>
      <c r="E97" t="s">
        <v>19</v>
      </c>
      <c r="F97" s="10">
        <f t="shared" si="2"/>
        <v>199</v>
      </c>
      <c r="G97" s="14">
        <f t="shared" si="3"/>
        <v>271.05</v>
      </c>
    </row>
    <row r="98" spans="1:7" x14ac:dyDescent="0.3">
      <c r="A98" s="7">
        <v>1107</v>
      </c>
      <c r="B98">
        <v>15</v>
      </c>
      <c r="C98">
        <v>10</v>
      </c>
      <c r="D98">
        <v>3</v>
      </c>
      <c r="E98" t="s">
        <v>18</v>
      </c>
      <c r="F98" s="10">
        <f t="shared" si="2"/>
        <v>167</v>
      </c>
      <c r="G98" s="14">
        <f t="shared" si="3"/>
        <v>110.7</v>
      </c>
    </row>
    <row r="99" spans="1:7" x14ac:dyDescent="0.3">
      <c r="A99" s="7">
        <v>370</v>
      </c>
      <c r="B99">
        <v>15</v>
      </c>
      <c r="C99">
        <v>10</v>
      </c>
      <c r="D99">
        <v>9</v>
      </c>
      <c r="E99" t="s">
        <v>17</v>
      </c>
      <c r="F99" s="10">
        <f t="shared" si="2"/>
        <v>56</v>
      </c>
      <c r="G99" s="14">
        <f t="shared" si="3"/>
        <v>37</v>
      </c>
    </row>
    <row r="100" spans="1:7" x14ac:dyDescent="0.3">
      <c r="A100" s="7">
        <v>3275</v>
      </c>
      <c r="B100">
        <v>10</v>
      </c>
      <c r="C100">
        <v>45</v>
      </c>
      <c r="D100">
        <v>2</v>
      </c>
      <c r="E100" t="s">
        <v>21</v>
      </c>
      <c r="F100" s="10">
        <f t="shared" si="2"/>
        <v>328</v>
      </c>
      <c r="G100" s="14">
        <f t="shared" si="3"/>
        <v>1473.75</v>
      </c>
    </row>
    <row r="101" spans="1:7" x14ac:dyDescent="0.3">
      <c r="A101" s="7">
        <v>5960</v>
      </c>
      <c r="B101">
        <v>15</v>
      </c>
      <c r="C101">
        <v>35</v>
      </c>
      <c r="D101">
        <v>1</v>
      </c>
      <c r="E101" t="s">
        <v>15</v>
      </c>
      <c r="F101" s="10">
        <f t="shared" si="2"/>
        <v>894</v>
      </c>
      <c r="G101" s="14">
        <f t="shared" si="3"/>
        <v>2086</v>
      </c>
    </row>
    <row r="102" spans="1:7" x14ac:dyDescent="0.3">
      <c r="A102" s="7">
        <v>4650</v>
      </c>
      <c r="B102">
        <v>5</v>
      </c>
      <c r="C102">
        <v>35</v>
      </c>
      <c r="D102">
        <v>1</v>
      </c>
      <c r="E102" t="s">
        <v>20</v>
      </c>
      <c r="F102" s="10">
        <f t="shared" si="2"/>
        <v>233</v>
      </c>
      <c r="G102" s="14">
        <f t="shared" si="3"/>
        <v>1627.5</v>
      </c>
    </row>
    <row r="103" spans="1:7" x14ac:dyDescent="0.3">
      <c r="A103" s="7">
        <v>435</v>
      </c>
      <c r="B103">
        <v>7</v>
      </c>
      <c r="C103">
        <v>35</v>
      </c>
      <c r="D103">
        <v>10</v>
      </c>
      <c r="E103" t="s">
        <v>17</v>
      </c>
      <c r="F103" s="10">
        <f t="shared" si="2"/>
        <v>31</v>
      </c>
      <c r="G103" s="14">
        <f t="shared" si="3"/>
        <v>152.25</v>
      </c>
    </row>
    <row r="104" spans="1:7" x14ac:dyDescent="0.3">
      <c r="A104" s="7">
        <v>736</v>
      </c>
      <c r="B104">
        <v>19</v>
      </c>
      <c r="C104">
        <v>15</v>
      </c>
      <c r="D104">
        <v>7</v>
      </c>
      <c r="E104" t="s">
        <v>16</v>
      </c>
      <c r="F104" s="10">
        <f t="shared" si="2"/>
        <v>140</v>
      </c>
      <c r="G104" s="14">
        <f t="shared" si="3"/>
        <v>110.4</v>
      </c>
    </row>
    <row r="105" spans="1:7" x14ac:dyDescent="0.3">
      <c r="A105" s="7">
        <v>4230</v>
      </c>
      <c r="B105">
        <v>20</v>
      </c>
      <c r="C105">
        <v>35</v>
      </c>
      <c r="D105">
        <v>1</v>
      </c>
      <c r="E105" t="s">
        <v>18</v>
      </c>
      <c r="F105" s="10">
        <f t="shared" si="2"/>
        <v>846</v>
      </c>
      <c r="G105" s="14">
        <f t="shared" si="3"/>
        <v>1480.5</v>
      </c>
    </row>
    <row r="106" spans="1:7" x14ac:dyDescent="0.3">
      <c r="A106" s="7">
        <v>1303</v>
      </c>
      <c r="B106">
        <v>12</v>
      </c>
      <c r="C106">
        <v>15</v>
      </c>
      <c r="D106">
        <v>4</v>
      </c>
      <c r="E106" t="s">
        <v>21</v>
      </c>
      <c r="F106" s="10">
        <f t="shared" si="2"/>
        <v>157</v>
      </c>
      <c r="G106" s="14">
        <f t="shared" si="3"/>
        <v>195.45</v>
      </c>
    </row>
    <row r="107" spans="1:7" x14ac:dyDescent="0.3">
      <c r="A107" s="7">
        <v>6290</v>
      </c>
      <c r="B107">
        <v>4</v>
      </c>
      <c r="C107">
        <v>30</v>
      </c>
      <c r="D107">
        <v>1</v>
      </c>
      <c r="E107" t="s">
        <v>21</v>
      </c>
      <c r="F107" s="10">
        <f t="shared" si="2"/>
        <v>252</v>
      </c>
      <c r="G107" s="14">
        <f t="shared" si="3"/>
        <v>1887</v>
      </c>
    </row>
    <row r="108" spans="1:7" x14ac:dyDescent="0.3">
      <c r="A108" s="7">
        <v>3900</v>
      </c>
      <c r="B108">
        <v>5</v>
      </c>
      <c r="C108">
        <v>10</v>
      </c>
      <c r="D108">
        <v>1</v>
      </c>
      <c r="E108" t="s">
        <v>17</v>
      </c>
      <c r="F108" s="10">
        <f t="shared" si="2"/>
        <v>195</v>
      </c>
      <c r="G108" s="14">
        <f t="shared" si="3"/>
        <v>390</v>
      </c>
    </row>
    <row r="109" spans="1:7" x14ac:dyDescent="0.3">
      <c r="A109" s="7">
        <v>4650</v>
      </c>
      <c r="B109">
        <v>8</v>
      </c>
      <c r="C109">
        <v>10</v>
      </c>
      <c r="D109">
        <v>1</v>
      </c>
      <c r="E109" t="s">
        <v>20</v>
      </c>
      <c r="F109" s="10">
        <f t="shared" si="2"/>
        <v>372</v>
      </c>
      <c r="G109" s="14">
        <f t="shared" si="3"/>
        <v>465</v>
      </c>
    </row>
    <row r="110" spans="1:7" x14ac:dyDescent="0.3">
      <c r="A110" s="7">
        <v>974</v>
      </c>
      <c r="B110">
        <v>15</v>
      </c>
      <c r="C110">
        <v>15</v>
      </c>
      <c r="D110">
        <v>5</v>
      </c>
      <c r="E110" t="s">
        <v>18</v>
      </c>
      <c r="F110" s="10">
        <f t="shared" si="2"/>
        <v>147</v>
      </c>
      <c r="G110" s="14">
        <f t="shared" si="3"/>
        <v>146.1</v>
      </c>
    </row>
    <row r="111" spans="1:7" x14ac:dyDescent="0.3">
      <c r="A111" s="7">
        <v>1300.75</v>
      </c>
      <c r="B111">
        <v>5</v>
      </c>
      <c r="C111">
        <v>5</v>
      </c>
      <c r="D111">
        <v>3</v>
      </c>
      <c r="E111" t="s">
        <v>16</v>
      </c>
      <c r="F111" s="10">
        <f t="shared" si="2"/>
        <v>66</v>
      </c>
      <c r="G111" s="14">
        <f t="shared" si="3"/>
        <v>65.040000000000006</v>
      </c>
    </row>
    <row r="112" spans="1:7" x14ac:dyDescent="0.3">
      <c r="A112" s="7">
        <v>4560</v>
      </c>
      <c r="B112">
        <v>3</v>
      </c>
      <c r="C112">
        <v>50</v>
      </c>
      <c r="D112">
        <v>1</v>
      </c>
      <c r="E112" t="s">
        <v>20</v>
      </c>
      <c r="F112" s="10">
        <f t="shared" si="2"/>
        <v>137</v>
      </c>
      <c r="G112" s="14">
        <f t="shared" si="3"/>
        <v>2280</v>
      </c>
    </row>
    <row r="113" spans="1:7" x14ac:dyDescent="0.3">
      <c r="A113" s="7">
        <v>4690</v>
      </c>
      <c r="B113">
        <v>1</v>
      </c>
      <c r="C113">
        <v>45</v>
      </c>
      <c r="D113">
        <v>1</v>
      </c>
      <c r="E113" t="s">
        <v>19</v>
      </c>
      <c r="F113" s="10">
        <f t="shared" si="2"/>
        <v>47</v>
      </c>
      <c r="G113" s="14">
        <f t="shared" si="3"/>
        <v>2110.5</v>
      </c>
    </row>
    <row r="114" spans="1:7" x14ac:dyDescent="0.3">
      <c r="A114" s="7">
        <v>3420</v>
      </c>
      <c r="B114">
        <v>9</v>
      </c>
      <c r="C114">
        <v>15</v>
      </c>
      <c r="D114">
        <v>1</v>
      </c>
      <c r="E114" t="s">
        <v>15</v>
      </c>
      <c r="F114" s="10">
        <f t="shared" si="2"/>
        <v>308</v>
      </c>
      <c r="G114" s="14">
        <f t="shared" si="3"/>
        <v>513</v>
      </c>
    </row>
    <row r="115" spans="1:7" x14ac:dyDescent="0.3">
      <c r="A115" s="7">
        <v>690</v>
      </c>
      <c r="B115">
        <v>7</v>
      </c>
      <c r="C115">
        <v>35</v>
      </c>
      <c r="D115">
        <v>8</v>
      </c>
      <c r="E115" t="s">
        <v>18</v>
      </c>
      <c r="F115" s="10">
        <f t="shared" si="2"/>
        <v>49</v>
      </c>
      <c r="G115" s="14">
        <f t="shared" si="3"/>
        <v>241.5</v>
      </c>
    </row>
    <row r="116" spans="1:7" x14ac:dyDescent="0.3">
      <c r="A116" s="7">
        <v>1070</v>
      </c>
      <c r="B116">
        <v>11</v>
      </c>
      <c r="C116">
        <v>35</v>
      </c>
      <c r="D116">
        <v>5</v>
      </c>
      <c r="E116" t="s">
        <v>17</v>
      </c>
      <c r="F116" s="10">
        <f t="shared" si="2"/>
        <v>118</v>
      </c>
      <c r="G116" s="14">
        <f t="shared" si="3"/>
        <v>374.5</v>
      </c>
    </row>
    <row r="117" spans="1:7" x14ac:dyDescent="0.3">
      <c r="A117" s="7">
        <v>1337</v>
      </c>
      <c r="B117">
        <v>0</v>
      </c>
      <c r="C117">
        <v>25</v>
      </c>
      <c r="D117">
        <v>3</v>
      </c>
      <c r="E117" t="s">
        <v>16</v>
      </c>
      <c r="F117" s="10">
        <f t="shared" si="2"/>
        <v>0</v>
      </c>
      <c r="G117" s="14">
        <f t="shared" si="3"/>
        <v>334.25</v>
      </c>
    </row>
    <row r="118" spans="1:7" x14ac:dyDescent="0.3">
      <c r="A118" s="7">
        <v>6330</v>
      </c>
      <c r="B118">
        <v>20</v>
      </c>
      <c r="C118">
        <v>10</v>
      </c>
      <c r="D118">
        <v>1</v>
      </c>
      <c r="E118" t="s">
        <v>15</v>
      </c>
      <c r="F118" s="10">
        <f t="shared" si="2"/>
        <v>1266</v>
      </c>
      <c r="G118" s="14">
        <f t="shared" si="3"/>
        <v>633</v>
      </c>
    </row>
    <row r="119" spans="1:7" x14ac:dyDescent="0.3">
      <c r="A119" s="7">
        <v>5020</v>
      </c>
      <c r="B119">
        <v>9</v>
      </c>
      <c r="C119">
        <v>30</v>
      </c>
      <c r="D119">
        <v>1</v>
      </c>
      <c r="E119" t="s">
        <v>17</v>
      </c>
      <c r="F119" s="10">
        <f t="shared" si="2"/>
        <v>452</v>
      </c>
      <c r="G119" s="14">
        <f t="shared" si="3"/>
        <v>1506</v>
      </c>
    </row>
    <row r="120" spans="1:7" x14ac:dyDescent="0.3">
      <c r="A120" s="7">
        <v>4980</v>
      </c>
      <c r="B120">
        <v>13</v>
      </c>
      <c r="C120">
        <v>0</v>
      </c>
      <c r="D120">
        <v>1</v>
      </c>
      <c r="E120" t="s">
        <v>18</v>
      </c>
      <c r="F120" s="10">
        <f t="shared" si="2"/>
        <v>648</v>
      </c>
      <c r="G120" s="14">
        <f t="shared" si="3"/>
        <v>0</v>
      </c>
    </row>
    <row r="121" spans="1:7" x14ac:dyDescent="0.3">
      <c r="A121" s="7">
        <v>615</v>
      </c>
      <c r="B121">
        <v>13</v>
      </c>
      <c r="C121">
        <v>40</v>
      </c>
      <c r="D121">
        <v>8</v>
      </c>
      <c r="E121" t="s">
        <v>17</v>
      </c>
      <c r="F121" s="10">
        <f t="shared" si="2"/>
        <v>80</v>
      </c>
      <c r="G121" s="14">
        <f t="shared" si="3"/>
        <v>246</v>
      </c>
    </row>
    <row r="122" spans="1:7" x14ac:dyDescent="0.3">
      <c r="A122" s="7">
        <v>730</v>
      </c>
      <c r="B122">
        <v>18</v>
      </c>
      <c r="C122">
        <v>5</v>
      </c>
      <c r="D122">
        <v>6</v>
      </c>
      <c r="E122" t="s">
        <v>17</v>
      </c>
      <c r="F122" s="10">
        <f t="shared" si="2"/>
        <v>132</v>
      </c>
      <c r="G122" s="14">
        <f t="shared" si="3"/>
        <v>36.5</v>
      </c>
    </row>
    <row r="123" spans="1:7" x14ac:dyDescent="0.3">
      <c r="A123" s="7">
        <v>349</v>
      </c>
      <c r="B123">
        <v>8</v>
      </c>
      <c r="C123">
        <v>10</v>
      </c>
      <c r="D123">
        <v>10</v>
      </c>
      <c r="E123" t="s">
        <v>15</v>
      </c>
      <c r="F123" s="10">
        <f t="shared" si="2"/>
        <v>28</v>
      </c>
      <c r="G123" s="14">
        <f t="shared" si="3"/>
        <v>34.9</v>
      </c>
    </row>
    <row r="124" spans="1:7" x14ac:dyDescent="0.3">
      <c r="A124" s="7">
        <v>2023</v>
      </c>
      <c r="B124">
        <v>5</v>
      </c>
      <c r="C124">
        <v>10</v>
      </c>
      <c r="D124">
        <v>3</v>
      </c>
      <c r="E124" t="s">
        <v>21</v>
      </c>
      <c r="F124" s="10">
        <f t="shared" si="2"/>
        <v>102</v>
      </c>
      <c r="G124" s="14">
        <f t="shared" si="3"/>
        <v>202.3</v>
      </c>
    </row>
    <row r="125" spans="1:7" x14ac:dyDescent="0.3">
      <c r="A125" s="7">
        <v>6520</v>
      </c>
      <c r="B125">
        <v>8</v>
      </c>
      <c r="C125">
        <v>25</v>
      </c>
      <c r="D125">
        <v>1</v>
      </c>
      <c r="E125" t="s">
        <v>18</v>
      </c>
      <c r="F125" s="10">
        <f t="shared" si="2"/>
        <v>522</v>
      </c>
      <c r="G125" s="14">
        <f t="shared" si="3"/>
        <v>1630</v>
      </c>
    </row>
    <row r="126" spans="1:7" x14ac:dyDescent="0.3">
      <c r="A126" s="7">
        <v>3960</v>
      </c>
      <c r="B126">
        <v>8</v>
      </c>
      <c r="C126">
        <v>15</v>
      </c>
      <c r="D126">
        <v>1</v>
      </c>
      <c r="E126" t="s">
        <v>18</v>
      </c>
      <c r="F126" s="10">
        <f t="shared" si="2"/>
        <v>317</v>
      </c>
      <c r="G126" s="14">
        <f t="shared" si="3"/>
        <v>594</v>
      </c>
    </row>
    <row r="127" spans="1:7" x14ac:dyDescent="0.3">
      <c r="A127" s="7">
        <v>5220</v>
      </c>
      <c r="B127">
        <v>15</v>
      </c>
      <c r="C127">
        <v>15</v>
      </c>
      <c r="D127">
        <v>1</v>
      </c>
      <c r="E127" t="s">
        <v>19</v>
      </c>
      <c r="F127" s="10">
        <f t="shared" si="2"/>
        <v>783</v>
      </c>
      <c r="G127" s="14">
        <f t="shared" si="3"/>
        <v>783</v>
      </c>
    </row>
    <row r="128" spans="1:7" x14ac:dyDescent="0.3">
      <c r="A128" s="7">
        <v>6500</v>
      </c>
      <c r="B128">
        <v>2</v>
      </c>
      <c r="C128">
        <v>15</v>
      </c>
      <c r="D128">
        <v>1</v>
      </c>
      <c r="E128" t="s">
        <v>18</v>
      </c>
      <c r="F128" s="10">
        <f t="shared" si="2"/>
        <v>130</v>
      </c>
      <c r="G128" s="14">
        <f t="shared" si="3"/>
        <v>975</v>
      </c>
    </row>
    <row r="129" spans="1:7" x14ac:dyDescent="0.3">
      <c r="A129" s="7">
        <v>4530</v>
      </c>
      <c r="B129">
        <v>13</v>
      </c>
      <c r="C129">
        <v>50</v>
      </c>
      <c r="D129">
        <v>1</v>
      </c>
      <c r="E129" t="s">
        <v>15</v>
      </c>
      <c r="F129" s="10">
        <f t="shared" si="2"/>
        <v>589</v>
      </c>
      <c r="G129" s="14">
        <f t="shared" si="3"/>
        <v>2265</v>
      </c>
    </row>
    <row r="130" spans="1:7" x14ac:dyDescent="0.3">
      <c r="A130" s="7">
        <v>5210</v>
      </c>
      <c r="B130">
        <v>14</v>
      </c>
      <c r="C130">
        <v>25</v>
      </c>
      <c r="D130">
        <v>1</v>
      </c>
      <c r="E130" t="s">
        <v>17</v>
      </c>
      <c r="F130" s="10">
        <f t="shared" si="2"/>
        <v>730</v>
      </c>
      <c r="G130" s="14">
        <f t="shared" si="3"/>
        <v>1302.5</v>
      </c>
    </row>
    <row r="131" spans="1:7" x14ac:dyDescent="0.3">
      <c r="A131" s="7">
        <v>746</v>
      </c>
      <c r="B131">
        <v>13</v>
      </c>
      <c r="C131">
        <v>25</v>
      </c>
      <c r="D131">
        <v>8</v>
      </c>
      <c r="E131" t="s">
        <v>15</v>
      </c>
      <c r="F131" s="10">
        <f t="shared" ref="F131:F194" si="4">ROUNDUP(0.01*B131*A131,0)</f>
        <v>97</v>
      </c>
      <c r="G131" s="14">
        <f t="shared" ref="G131:G194" si="5">ROUND(C131/100*A131,2)</f>
        <v>186.5</v>
      </c>
    </row>
    <row r="132" spans="1:7" x14ac:dyDescent="0.3">
      <c r="A132" s="7">
        <v>658</v>
      </c>
      <c r="B132">
        <v>1</v>
      </c>
      <c r="C132">
        <v>45</v>
      </c>
      <c r="D132">
        <v>10</v>
      </c>
      <c r="E132" t="s">
        <v>20</v>
      </c>
      <c r="F132" s="10">
        <f t="shared" si="4"/>
        <v>7</v>
      </c>
      <c r="G132" s="14">
        <f t="shared" si="5"/>
        <v>296.10000000000002</v>
      </c>
    </row>
    <row r="133" spans="1:7" x14ac:dyDescent="0.3">
      <c r="A133" s="7">
        <v>905</v>
      </c>
      <c r="B133">
        <v>5</v>
      </c>
      <c r="C133">
        <v>15</v>
      </c>
      <c r="D133">
        <v>4</v>
      </c>
      <c r="E133" t="s">
        <v>16</v>
      </c>
      <c r="F133" s="10">
        <f t="shared" si="4"/>
        <v>46</v>
      </c>
      <c r="G133" s="14">
        <f t="shared" si="5"/>
        <v>135.75</v>
      </c>
    </row>
    <row r="134" spans="1:7" x14ac:dyDescent="0.3">
      <c r="A134" s="7">
        <v>563</v>
      </c>
      <c r="B134">
        <v>3</v>
      </c>
      <c r="C134">
        <v>10</v>
      </c>
      <c r="D134">
        <v>9</v>
      </c>
      <c r="E134" t="s">
        <v>16</v>
      </c>
      <c r="F134" s="10">
        <f t="shared" si="4"/>
        <v>17</v>
      </c>
      <c r="G134" s="14">
        <f t="shared" si="5"/>
        <v>56.3</v>
      </c>
    </row>
    <row r="135" spans="1:7" x14ac:dyDescent="0.3">
      <c r="A135" s="7">
        <v>3620</v>
      </c>
      <c r="B135">
        <v>16</v>
      </c>
      <c r="C135">
        <v>40</v>
      </c>
      <c r="D135">
        <v>1</v>
      </c>
      <c r="E135" t="s">
        <v>17</v>
      </c>
      <c r="F135" s="10">
        <f t="shared" si="4"/>
        <v>580</v>
      </c>
      <c r="G135" s="14">
        <f t="shared" si="5"/>
        <v>1448</v>
      </c>
    </row>
    <row r="136" spans="1:7" x14ac:dyDescent="0.3">
      <c r="A136" s="7">
        <v>2350</v>
      </c>
      <c r="B136">
        <v>12</v>
      </c>
      <c r="C136">
        <v>35</v>
      </c>
      <c r="D136">
        <v>2</v>
      </c>
      <c r="E136" t="s">
        <v>15</v>
      </c>
      <c r="F136" s="10">
        <f t="shared" si="4"/>
        <v>282</v>
      </c>
      <c r="G136" s="14">
        <f t="shared" si="5"/>
        <v>822.5</v>
      </c>
    </row>
    <row r="137" spans="1:7" x14ac:dyDescent="0.3">
      <c r="A137" s="7">
        <v>764</v>
      </c>
      <c r="B137">
        <v>4</v>
      </c>
      <c r="C137">
        <v>30</v>
      </c>
      <c r="D137">
        <v>8</v>
      </c>
      <c r="E137" t="s">
        <v>15</v>
      </c>
      <c r="F137" s="10">
        <f t="shared" si="4"/>
        <v>31</v>
      </c>
      <c r="G137" s="14">
        <f t="shared" si="5"/>
        <v>229.2</v>
      </c>
    </row>
    <row r="138" spans="1:7" x14ac:dyDescent="0.3">
      <c r="A138" s="7">
        <v>406</v>
      </c>
      <c r="B138">
        <v>10</v>
      </c>
      <c r="C138">
        <v>10</v>
      </c>
      <c r="D138">
        <v>10</v>
      </c>
      <c r="E138" t="s">
        <v>17</v>
      </c>
      <c r="F138" s="10">
        <f t="shared" si="4"/>
        <v>41</v>
      </c>
      <c r="G138" s="14">
        <f t="shared" si="5"/>
        <v>40.6</v>
      </c>
    </row>
    <row r="139" spans="1:7" x14ac:dyDescent="0.3">
      <c r="A139" s="7">
        <v>1123</v>
      </c>
      <c r="B139">
        <v>0</v>
      </c>
      <c r="C139">
        <v>25</v>
      </c>
      <c r="D139">
        <v>3</v>
      </c>
      <c r="E139" t="s">
        <v>16</v>
      </c>
      <c r="F139" s="10">
        <f t="shared" si="4"/>
        <v>0</v>
      </c>
      <c r="G139" s="14">
        <f t="shared" si="5"/>
        <v>280.75</v>
      </c>
    </row>
    <row r="140" spans="1:7" x14ac:dyDescent="0.3">
      <c r="A140" s="7">
        <v>1463</v>
      </c>
      <c r="B140">
        <v>9</v>
      </c>
      <c r="C140">
        <v>15</v>
      </c>
      <c r="D140">
        <v>4</v>
      </c>
      <c r="E140" t="s">
        <v>18</v>
      </c>
      <c r="F140" s="10">
        <f t="shared" si="4"/>
        <v>132</v>
      </c>
      <c r="G140" s="14">
        <f t="shared" si="5"/>
        <v>219.45</v>
      </c>
    </row>
    <row r="141" spans="1:7" x14ac:dyDescent="0.3">
      <c r="A141" s="7">
        <v>724</v>
      </c>
      <c r="B141">
        <v>20</v>
      </c>
      <c r="C141">
        <v>30</v>
      </c>
      <c r="D141">
        <v>7</v>
      </c>
      <c r="E141" t="s">
        <v>19</v>
      </c>
      <c r="F141" s="10">
        <f t="shared" si="4"/>
        <v>145</v>
      </c>
      <c r="G141" s="14">
        <f t="shared" si="5"/>
        <v>217.2</v>
      </c>
    </row>
    <row r="142" spans="1:7" x14ac:dyDescent="0.3">
      <c r="A142" s="7">
        <v>550</v>
      </c>
      <c r="B142">
        <v>17</v>
      </c>
      <c r="C142">
        <v>30</v>
      </c>
      <c r="D142">
        <v>10</v>
      </c>
      <c r="E142" t="s">
        <v>18</v>
      </c>
      <c r="F142" s="10">
        <f t="shared" si="4"/>
        <v>94</v>
      </c>
      <c r="G142" s="14">
        <f t="shared" si="5"/>
        <v>165</v>
      </c>
    </row>
    <row r="143" spans="1:7" x14ac:dyDescent="0.3">
      <c r="A143" s="7">
        <v>1807</v>
      </c>
      <c r="B143">
        <v>19</v>
      </c>
      <c r="C143">
        <v>50</v>
      </c>
      <c r="D143">
        <v>3</v>
      </c>
      <c r="E143" t="s">
        <v>19</v>
      </c>
      <c r="F143" s="10">
        <f t="shared" si="4"/>
        <v>344</v>
      </c>
      <c r="G143" s="14">
        <f t="shared" si="5"/>
        <v>903.5</v>
      </c>
    </row>
    <row r="144" spans="1:7" x14ac:dyDescent="0.3">
      <c r="A144" s="7">
        <v>1160</v>
      </c>
      <c r="B144">
        <v>5</v>
      </c>
      <c r="C144">
        <v>10</v>
      </c>
      <c r="D144">
        <v>3</v>
      </c>
      <c r="E144" t="s">
        <v>21</v>
      </c>
      <c r="F144" s="10">
        <f t="shared" si="4"/>
        <v>58</v>
      </c>
      <c r="G144" s="14">
        <f t="shared" si="5"/>
        <v>116</v>
      </c>
    </row>
    <row r="145" spans="1:7" x14ac:dyDescent="0.3">
      <c r="A145" s="7">
        <v>597</v>
      </c>
      <c r="B145">
        <v>2</v>
      </c>
      <c r="C145">
        <v>20</v>
      </c>
      <c r="D145">
        <v>7</v>
      </c>
      <c r="E145" t="s">
        <v>18</v>
      </c>
      <c r="F145" s="10">
        <f t="shared" si="4"/>
        <v>12</v>
      </c>
      <c r="G145" s="14">
        <f t="shared" si="5"/>
        <v>119.4</v>
      </c>
    </row>
    <row r="146" spans="1:7" x14ac:dyDescent="0.3">
      <c r="A146" s="7">
        <v>1270</v>
      </c>
      <c r="B146">
        <v>12</v>
      </c>
      <c r="C146">
        <v>35</v>
      </c>
      <c r="D146">
        <v>5</v>
      </c>
      <c r="E146" t="s">
        <v>21</v>
      </c>
      <c r="F146" s="10">
        <f t="shared" si="4"/>
        <v>153</v>
      </c>
      <c r="G146" s="14">
        <f t="shared" si="5"/>
        <v>444.5</v>
      </c>
    </row>
    <row r="147" spans="1:7" x14ac:dyDescent="0.3">
      <c r="A147" s="7">
        <v>6590</v>
      </c>
      <c r="B147">
        <v>20</v>
      </c>
      <c r="C147">
        <v>45</v>
      </c>
      <c r="D147">
        <v>1</v>
      </c>
      <c r="E147" t="s">
        <v>19</v>
      </c>
      <c r="F147" s="10">
        <f t="shared" si="4"/>
        <v>1318</v>
      </c>
      <c r="G147" s="14">
        <f t="shared" si="5"/>
        <v>2965.5</v>
      </c>
    </row>
    <row r="148" spans="1:7" x14ac:dyDescent="0.3">
      <c r="A148" s="7">
        <v>1056</v>
      </c>
      <c r="B148">
        <v>17</v>
      </c>
      <c r="C148">
        <v>50</v>
      </c>
      <c r="D148">
        <v>5</v>
      </c>
      <c r="E148" t="s">
        <v>15</v>
      </c>
      <c r="F148" s="10">
        <f t="shared" si="4"/>
        <v>180</v>
      </c>
      <c r="G148" s="14">
        <f t="shared" si="5"/>
        <v>528</v>
      </c>
    </row>
    <row r="149" spans="1:7" x14ac:dyDescent="0.3">
      <c r="A149" s="7">
        <v>6560</v>
      </c>
      <c r="B149">
        <v>7</v>
      </c>
      <c r="C149">
        <v>50</v>
      </c>
      <c r="D149">
        <v>1</v>
      </c>
      <c r="E149" t="s">
        <v>20</v>
      </c>
      <c r="F149" s="10">
        <f t="shared" si="4"/>
        <v>460</v>
      </c>
      <c r="G149" s="14">
        <f t="shared" si="5"/>
        <v>3280</v>
      </c>
    </row>
    <row r="150" spans="1:7" x14ac:dyDescent="0.3">
      <c r="A150" s="7">
        <v>492</v>
      </c>
      <c r="B150">
        <v>16</v>
      </c>
      <c r="C150">
        <v>0</v>
      </c>
      <c r="D150">
        <v>10</v>
      </c>
      <c r="E150" t="s">
        <v>17</v>
      </c>
      <c r="F150" s="10">
        <f t="shared" si="4"/>
        <v>79</v>
      </c>
      <c r="G150" s="14">
        <f t="shared" si="5"/>
        <v>0</v>
      </c>
    </row>
    <row r="151" spans="1:7" x14ac:dyDescent="0.3">
      <c r="A151" s="7">
        <v>3075</v>
      </c>
      <c r="B151">
        <v>16</v>
      </c>
      <c r="C151">
        <v>15</v>
      </c>
      <c r="D151">
        <v>2</v>
      </c>
      <c r="E151" t="s">
        <v>21</v>
      </c>
      <c r="F151" s="10">
        <f t="shared" si="4"/>
        <v>492</v>
      </c>
      <c r="G151" s="14">
        <f t="shared" si="5"/>
        <v>461.25</v>
      </c>
    </row>
    <row r="152" spans="1:7" x14ac:dyDescent="0.3">
      <c r="A152" s="7">
        <v>920</v>
      </c>
      <c r="B152">
        <v>7</v>
      </c>
      <c r="C152">
        <v>0</v>
      </c>
      <c r="D152">
        <v>4</v>
      </c>
      <c r="E152" t="s">
        <v>21</v>
      </c>
      <c r="F152" s="10">
        <f t="shared" si="4"/>
        <v>65</v>
      </c>
      <c r="G152" s="14">
        <f t="shared" si="5"/>
        <v>0</v>
      </c>
    </row>
    <row r="153" spans="1:7" x14ac:dyDescent="0.3">
      <c r="A153" s="7">
        <v>637</v>
      </c>
      <c r="B153">
        <v>17</v>
      </c>
      <c r="C153">
        <v>35</v>
      </c>
      <c r="D153">
        <v>10</v>
      </c>
      <c r="E153" t="s">
        <v>16</v>
      </c>
      <c r="F153" s="10">
        <f t="shared" si="4"/>
        <v>109</v>
      </c>
      <c r="G153" s="14">
        <f t="shared" si="5"/>
        <v>222.95</v>
      </c>
    </row>
    <row r="154" spans="1:7" x14ac:dyDescent="0.3">
      <c r="A154" s="7">
        <v>5260</v>
      </c>
      <c r="B154">
        <v>16</v>
      </c>
      <c r="C154">
        <v>5</v>
      </c>
      <c r="D154">
        <v>1</v>
      </c>
      <c r="E154" t="s">
        <v>20</v>
      </c>
      <c r="F154" s="10">
        <f t="shared" si="4"/>
        <v>842</v>
      </c>
      <c r="G154" s="14">
        <f t="shared" si="5"/>
        <v>263</v>
      </c>
    </row>
    <row r="155" spans="1:7" x14ac:dyDescent="0.3">
      <c r="A155" s="7">
        <v>6400</v>
      </c>
      <c r="B155">
        <v>6</v>
      </c>
      <c r="C155">
        <v>10</v>
      </c>
      <c r="D155">
        <v>1</v>
      </c>
      <c r="E155" t="s">
        <v>20</v>
      </c>
      <c r="F155" s="10">
        <f t="shared" si="4"/>
        <v>384</v>
      </c>
      <c r="G155" s="14">
        <f t="shared" si="5"/>
        <v>640</v>
      </c>
    </row>
    <row r="156" spans="1:7" x14ac:dyDescent="0.3">
      <c r="A156" s="7">
        <v>1274</v>
      </c>
      <c r="B156">
        <v>4</v>
      </c>
      <c r="C156">
        <v>5</v>
      </c>
      <c r="D156">
        <v>5</v>
      </c>
      <c r="E156" t="s">
        <v>19</v>
      </c>
      <c r="F156" s="10">
        <f t="shared" si="4"/>
        <v>51</v>
      </c>
      <c r="G156" s="14">
        <f t="shared" si="5"/>
        <v>63.7</v>
      </c>
    </row>
    <row r="157" spans="1:7" x14ac:dyDescent="0.3">
      <c r="A157" s="7">
        <v>358</v>
      </c>
      <c r="B157">
        <v>7</v>
      </c>
      <c r="C157">
        <v>20</v>
      </c>
      <c r="D157">
        <v>10</v>
      </c>
      <c r="E157" t="s">
        <v>21</v>
      </c>
      <c r="F157" s="10">
        <f t="shared" si="4"/>
        <v>26</v>
      </c>
      <c r="G157" s="14">
        <f t="shared" si="5"/>
        <v>71.599999999999994</v>
      </c>
    </row>
    <row r="158" spans="1:7" x14ac:dyDescent="0.3">
      <c r="A158" s="7">
        <v>6790</v>
      </c>
      <c r="B158">
        <v>13</v>
      </c>
      <c r="C158">
        <v>45</v>
      </c>
      <c r="D158">
        <v>1</v>
      </c>
      <c r="E158" t="s">
        <v>19</v>
      </c>
      <c r="F158" s="10">
        <f t="shared" si="4"/>
        <v>883</v>
      </c>
      <c r="G158" s="14">
        <f t="shared" si="5"/>
        <v>3055.5</v>
      </c>
    </row>
    <row r="159" spans="1:7" x14ac:dyDescent="0.3">
      <c r="A159" s="7">
        <v>1010</v>
      </c>
      <c r="B159">
        <v>6</v>
      </c>
      <c r="C159">
        <v>25</v>
      </c>
      <c r="D159">
        <v>3</v>
      </c>
      <c r="E159" t="s">
        <v>15</v>
      </c>
      <c r="F159" s="10">
        <f t="shared" si="4"/>
        <v>61</v>
      </c>
      <c r="G159" s="14">
        <f t="shared" si="5"/>
        <v>252.5</v>
      </c>
    </row>
    <row r="160" spans="1:7" x14ac:dyDescent="0.3">
      <c r="A160" s="7">
        <v>5100</v>
      </c>
      <c r="B160">
        <v>13</v>
      </c>
      <c r="C160">
        <v>45</v>
      </c>
      <c r="D160">
        <v>1</v>
      </c>
      <c r="E160" t="s">
        <v>20</v>
      </c>
      <c r="F160" s="10">
        <f t="shared" si="4"/>
        <v>663</v>
      </c>
      <c r="G160" s="14">
        <f t="shared" si="5"/>
        <v>2295</v>
      </c>
    </row>
    <row r="161" spans="1:7" x14ac:dyDescent="0.3">
      <c r="A161" s="7">
        <v>447</v>
      </c>
      <c r="B161">
        <v>12</v>
      </c>
      <c r="C161">
        <v>25</v>
      </c>
      <c r="D161">
        <v>9</v>
      </c>
      <c r="E161" t="s">
        <v>19</v>
      </c>
      <c r="F161" s="10">
        <f t="shared" si="4"/>
        <v>54</v>
      </c>
      <c r="G161" s="14">
        <f t="shared" si="5"/>
        <v>111.75</v>
      </c>
    </row>
    <row r="162" spans="1:7" x14ac:dyDescent="0.3">
      <c r="A162" s="7">
        <v>3790</v>
      </c>
      <c r="B162">
        <v>2</v>
      </c>
      <c r="C162">
        <v>40</v>
      </c>
      <c r="D162">
        <v>1</v>
      </c>
      <c r="E162" t="s">
        <v>17</v>
      </c>
      <c r="F162" s="10">
        <f t="shared" si="4"/>
        <v>76</v>
      </c>
      <c r="G162" s="14">
        <f t="shared" si="5"/>
        <v>1516</v>
      </c>
    </row>
    <row r="163" spans="1:7" x14ac:dyDescent="0.3">
      <c r="A163" s="7">
        <v>1320</v>
      </c>
      <c r="B163">
        <v>18</v>
      </c>
      <c r="C163">
        <v>25</v>
      </c>
      <c r="D163">
        <v>5</v>
      </c>
      <c r="E163" t="s">
        <v>20</v>
      </c>
      <c r="F163" s="10">
        <f t="shared" si="4"/>
        <v>238</v>
      </c>
      <c r="G163" s="14">
        <f t="shared" si="5"/>
        <v>330</v>
      </c>
    </row>
    <row r="164" spans="1:7" x14ac:dyDescent="0.3">
      <c r="A164" s="7">
        <v>808</v>
      </c>
      <c r="B164">
        <v>7</v>
      </c>
      <c r="C164">
        <v>45</v>
      </c>
      <c r="D164">
        <v>6</v>
      </c>
      <c r="E164" t="s">
        <v>20</v>
      </c>
      <c r="F164" s="10">
        <f t="shared" si="4"/>
        <v>57</v>
      </c>
      <c r="G164" s="14">
        <f t="shared" si="5"/>
        <v>363.6</v>
      </c>
    </row>
    <row r="165" spans="1:7" x14ac:dyDescent="0.3">
      <c r="A165" s="7">
        <v>1318</v>
      </c>
      <c r="B165">
        <v>16</v>
      </c>
      <c r="C165">
        <v>30</v>
      </c>
      <c r="D165">
        <v>5</v>
      </c>
      <c r="E165" t="s">
        <v>19</v>
      </c>
      <c r="F165" s="10">
        <f t="shared" si="4"/>
        <v>211</v>
      </c>
      <c r="G165" s="14">
        <f t="shared" si="5"/>
        <v>395.4</v>
      </c>
    </row>
    <row r="166" spans="1:7" x14ac:dyDescent="0.3">
      <c r="A166" s="7">
        <v>4690</v>
      </c>
      <c r="B166">
        <v>7</v>
      </c>
      <c r="C166">
        <v>0</v>
      </c>
      <c r="D166">
        <v>1</v>
      </c>
      <c r="E166" t="s">
        <v>21</v>
      </c>
      <c r="F166" s="10">
        <f t="shared" si="4"/>
        <v>329</v>
      </c>
      <c r="G166" s="14">
        <f t="shared" si="5"/>
        <v>0</v>
      </c>
    </row>
    <row r="167" spans="1:7" x14ac:dyDescent="0.3">
      <c r="A167" s="7">
        <v>401</v>
      </c>
      <c r="B167">
        <v>4</v>
      </c>
      <c r="C167">
        <v>50</v>
      </c>
      <c r="D167">
        <v>7</v>
      </c>
      <c r="E167" t="s">
        <v>21</v>
      </c>
      <c r="F167" s="10">
        <f t="shared" si="4"/>
        <v>17</v>
      </c>
      <c r="G167" s="14">
        <f t="shared" si="5"/>
        <v>200.5</v>
      </c>
    </row>
    <row r="168" spans="1:7" x14ac:dyDescent="0.3">
      <c r="A168" s="7">
        <v>420</v>
      </c>
      <c r="B168">
        <v>15</v>
      </c>
      <c r="C168">
        <v>10</v>
      </c>
      <c r="D168">
        <v>8</v>
      </c>
      <c r="E168" t="s">
        <v>19</v>
      </c>
      <c r="F168" s="10">
        <f t="shared" si="4"/>
        <v>63</v>
      </c>
      <c r="G168" s="14">
        <f t="shared" si="5"/>
        <v>42</v>
      </c>
    </row>
    <row r="169" spans="1:7" x14ac:dyDescent="0.3">
      <c r="A169" s="7">
        <v>5490</v>
      </c>
      <c r="B169">
        <v>10</v>
      </c>
      <c r="C169">
        <v>45</v>
      </c>
      <c r="D169">
        <v>1</v>
      </c>
      <c r="E169" t="s">
        <v>17</v>
      </c>
      <c r="F169" s="10">
        <f t="shared" si="4"/>
        <v>549</v>
      </c>
      <c r="G169" s="14">
        <f t="shared" si="5"/>
        <v>2470.5</v>
      </c>
    </row>
    <row r="170" spans="1:7" x14ac:dyDescent="0.3">
      <c r="A170" s="7">
        <v>647</v>
      </c>
      <c r="B170">
        <v>17</v>
      </c>
      <c r="C170">
        <v>10</v>
      </c>
      <c r="D170">
        <v>9</v>
      </c>
      <c r="E170" t="s">
        <v>16</v>
      </c>
      <c r="F170" s="10">
        <f t="shared" si="4"/>
        <v>110</v>
      </c>
      <c r="G170" s="14">
        <f t="shared" si="5"/>
        <v>64.7</v>
      </c>
    </row>
    <row r="171" spans="1:7" x14ac:dyDescent="0.3">
      <c r="A171" s="7">
        <v>6240</v>
      </c>
      <c r="B171">
        <v>5</v>
      </c>
      <c r="C171">
        <v>50</v>
      </c>
      <c r="D171">
        <v>1</v>
      </c>
      <c r="E171" t="s">
        <v>17</v>
      </c>
      <c r="F171" s="10">
        <f t="shared" si="4"/>
        <v>312</v>
      </c>
      <c r="G171" s="14">
        <f t="shared" si="5"/>
        <v>3120</v>
      </c>
    </row>
    <row r="172" spans="1:7" x14ac:dyDescent="0.3">
      <c r="A172" s="7">
        <v>677.1</v>
      </c>
      <c r="B172">
        <v>6</v>
      </c>
      <c r="C172">
        <v>45</v>
      </c>
      <c r="D172">
        <v>6</v>
      </c>
      <c r="E172" t="s">
        <v>17</v>
      </c>
      <c r="F172" s="10">
        <f t="shared" si="4"/>
        <v>41</v>
      </c>
      <c r="G172" s="14">
        <f t="shared" si="5"/>
        <v>304.7</v>
      </c>
    </row>
    <row r="173" spans="1:7" x14ac:dyDescent="0.3">
      <c r="A173" s="7">
        <v>1324</v>
      </c>
      <c r="B173">
        <v>1</v>
      </c>
      <c r="C173">
        <v>10</v>
      </c>
      <c r="D173">
        <v>5</v>
      </c>
      <c r="E173" t="s">
        <v>20</v>
      </c>
      <c r="F173" s="10">
        <f t="shared" si="4"/>
        <v>14</v>
      </c>
      <c r="G173" s="14">
        <f t="shared" si="5"/>
        <v>132.4</v>
      </c>
    </row>
    <row r="174" spans="1:7" x14ac:dyDescent="0.3">
      <c r="A174" s="7">
        <v>1525</v>
      </c>
      <c r="B174">
        <v>17</v>
      </c>
      <c r="C174">
        <v>20</v>
      </c>
      <c r="D174">
        <v>2</v>
      </c>
      <c r="E174" t="s">
        <v>21</v>
      </c>
      <c r="F174" s="10">
        <f t="shared" si="4"/>
        <v>260</v>
      </c>
      <c r="G174" s="14">
        <f t="shared" si="5"/>
        <v>305</v>
      </c>
    </row>
    <row r="175" spans="1:7" x14ac:dyDescent="0.3">
      <c r="A175" s="7">
        <v>4090</v>
      </c>
      <c r="B175">
        <v>9</v>
      </c>
      <c r="C175">
        <v>5</v>
      </c>
      <c r="D175">
        <v>1</v>
      </c>
      <c r="E175" t="s">
        <v>16</v>
      </c>
      <c r="F175" s="10">
        <f t="shared" si="4"/>
        <v>369</v>
      </c>
      <c r="G175" s="14">
        <f t="shared" si="5"/>
        <v>204.5</v>
      </c>
    </row>
    <row r="176" spans="1:7" x14ac:dyDescent="0.3">
      <c r="A176" s="7">
        <v>4050</v>
      </c>
      <c r="B176">
        <v>14</v>
      </c>
      <c r="C176">
        <v>50</v>
      </c>
      <c r="D176">
        <v>1</v>
      </c>
      <c r="E176" t="s">
        <v>17</v>
      </c>
      <c r="F176" s="10">
        <f t="shared" si="4"/>
        <v>567</v>
      </c>
      <c r="G176" s="14">
        <f t="shared" si="5"/>
        <v>2025</v>
      </c>
    </row>
    <row r="177" spans="1:7" x14ac:dyDescent="0.3">
      <c r="A177" s="7">
        <v>371</v>
      </c>
      <c r="B177">
        <v>12</v>
      </c>
      <c r="C177">
        <v>50</v>
      </c>
      <c r="D177">
        <v>10</v>
      </c>
      <c r="E177" t="s">
        <v>15</v>
      </c>
      <c r="F177" s="10">
        <f t="shared" si="4"/>
        <v>45</v>
      </c>
      <c r="G177" s="14">
        <f t="shared" si="5"/>
        <v>185.5</v>
      </c>
    </row>
    <row r="178" spans="1:7" x14ac:dyDescent="0.3">
      <c r="A178" s="7">
        <v>1014</v>
      </c>
      <c r="B178">
        <v>3</v>
      </c>
      <c r="C178">
        <v>0</v>
      </c>
      <c r="D178">
        <v>5</v>
      </c>
      <c r="E178" t="s">
        <v>16</v>
      </c>
      <c r="F178" s="10">
        <f t="shared" si="4"/>
        <v>31</v>
      </c>
      <c r="G178" s="14">
        <f t="shared" si="5"/>
        <v>0</v>
      </c>
    </row>
    <row r="179" spans="1:7" x14ac:dyDescent="0.3">
      <c r="A179" s="7">
        <v>517</v>
      </c>
      <c r="B179">
        <v>12</v>
      </c>
      <c r="C179">
        <v>15</v>
      </c>
      <c r="D179">
        <v>10</v>
      </c>
      <c r="E179" t="s">
        <v>16</v>
      </c>
      <c r="F179" s="10">
        <f t="shared" si="4"/>
        <v>63</v>
      </c>
      <c r="G179" s="14">
        <f t="shared" si="5"/>
        <v>77.55</v>
      </c>
    </row>
    <row r="180" spans="1:7" x14ac:dyDescent="0.3">
      <c r="A180" s="7">
        <v>5340</v>
      </c>
      <c r="B180">
        <v>4</v>
      </c>
      <c r="C180">
        <v>30</v>
      </c>
      <c r="D180">
        <v>1</v>
      </c>
      <c r="E180" t="s">
        <v>16</v>
      </c>
      <c r="F180" s="10">
        <f t="shared" si="4"/>
        <v>214</v>
      </c>
      <c r="G180" s="14">
        <f t="shared" si="5"/>
        <v>1602</v>
      </c>
    </row>
    <row r="181" spans="1:7" x14ac:dyDescent="0.3">
      <c r="A181" s="7">
        <v>589</v>
      </c>
      <c r="B181">
        <v>3</v>
      </c>
      <c r="C181">
        <v>15</v>
      </c>
      <c r="D181">
        <v>7</v>
      </c>
      <c r="E181" t="s">
        <v>16</v>
      </c>
      <c r="F181" s="10">
        <f t="shared" si="4"/>
        <v>18</v>
      </c>
      <c r="G181" s="14">
        <f t="shared" si="5"/>
        <v>88.35</v>
      </c>
    </row>
    <row r="182" spans="1:7" x14ac:dyDescent="0.3">
      <c r="A182" s="7">
        <v>6900</v>
      </c>
      <c r="B182">
        <v>2</v>
      </c>
      <c r="C182">
        <v>10</v>
      </c>
      <c r="D182">
        <v>1</v>
      </c>
      <c r="E182" t="s">
        <v>19</v>
      </c>
      <c r="F182" s="10">
        <f t="shared" si="4"/>
        <v>138</v>
      </c>
      <c r="G182" s="14">
        <f t="shared" si="5"/>
        <v>690</v>
      </c>
    </row>
    <row r="183" spans="1:7" x14ac:dyDescent="0.3">
      <c r="A183" s="7">
        <v>1963</v>
      </c>
      <c r="B183">
        <v>20</v>
      </c>
      <c r="C183">
        <v>45</v>
      </c>
      <c r="D183">
        <v>3</v>
      </c>
      <c r="E183" t="s">
        <v>15</v>
      </c>
      <c r="F183" s="10">
        <f t="shared" si="4"/>
        <v>393</v>
      </c>
      <c r="G183" s="14">
        <f t="shared" si="5"/>
        <v>883.35</v>
      </c>
    </row>
    <row r="184" spans="1:7" x14ac:dyDescent="0.3">
      <c r="A184" s="7">
        <v>3490</v>
      </c>
      <c r="B184">
        <v>16</v>
      </c>
      <c r="C184">
        <v>35</v>
      </c>
      <c r="D184">
        <v>1</v>
      </c>
      <c r="E184" t="s">
        <v>17</v>
      </c>
      <c r="F184" s="10">
        <f t="shared" si="4"/>
        <v>559</v>
      </c>
      <c r="G184" s="14">
        <f t="shared" si="5"/>
        <v>1221.5</v>
      </c>
    </row>
    <row r="185" spans="1:7" x14ac:dyDescent="0.3">
      <c r="A185" s="7">
        <v>6690</v>
      </c>
      <c r="B185">
        <v>7</v>
      </c>
      <c r="C185">
        <v>50</v>
      </c>
      <c r="D185">
        <v>1</v>
      </c>
      <c r="E185" t="s">
        <v>19</v>
      </c>
      <c r="F185" s="10">
        <f t="shared" si="4"/>
        <v>469</v>
      </c>
      <c r="G185" s="14">
        <f t="shared" si="5"/>
        <v>3345</v>
      </c>
    </row>
    <row r="186" spans="1:7" x14ac:dyDescent="0.3">
      <c r="A186" s="7">
        <v>3830</v>
      </c>
      <c r="B186">
        <v>4</v>
      </c>
      <c r="C186">
        <v>5</v>
      </c>
      <c r="D186">
        <v>1</v>
      </c>
      <c r="E186" t="s">
        <v>16</v>
      </c>
      <c r="F186" s="10">
        <f t="shared" si="4"/>
        <v>154</v>
      </c>
      <c r="G186" s="14">
        <f t="shared" si="5"/>
        <v>191.5</v>
      </c>
    </row>
    <row r="187" spans="1:7" x14ac:dyDescent="0.3">
      <c r="A187" s="7">
        <v>2095</v>
      </c>
      <c r="B187">
        <v>4</v>
      </c>
      <c r="C187">
        <v>15</v>
      </c>
      <c r="D187">
        <v>2</v>
      </c>
      <c r="E187" t="s">
        <v>18</v>
      </c>
      <c r="F187" s="10">
        <f t="shared" si="4"/>
        <v>84</v>
      </c>
      <c r="G187" s="14">
        <f t="shared" si="5"/>
        <v>314.25</v>
      </c>
    </row>
    <row r="188" spans="1:7" x14ac:dyDescent="0.3">
      <c r="A188" s="7">
        <v>410</v>
      </c>
      <c r="B188">
        <v>12</v>
      </c>
      <c r="C188">
        <v>10</v>
      </c>
      <c r="D188">
        <v>8</v>
      </c>
      <c r="E188" t="s">
        <v>20</v>
      </c>
      <c r="F188" s="10">
        <f t="shared" si="4"/>
        <v>50</v>
      </c>
      <c r="G188" s="14">
        <f t="shared" si="5"/>
        <v>41</v>
      </c>
    </row>
    <row r="189" spans="1:7" x14ac:dyDescent="0.3">
      <c r="A189" s="7">
        <v>3160</v>
      </c>
      <c r="B189">
        <v>8</v>
      </c>
      <c r="C189">
        <v>50</v>
      </c>
      <c r="D189">
        <v>1</v>
      </c>
      <c r="E189" t="s">
        <v>20</v>
      </c>
      <c r="F189" s="10">
        <f t="shared" si="4"/>
        <v>253</v>
      </c>
      <c r="G189" s="14">
        <f t="shared" si="5"/>
        <v>1580</v>
      </c>
    </row>
    <row r="190" spans="1:7" x14ac:dyDescent="0.3">
      <c r="A190" s="7">
        <v>1174</v>
      </c>
      <c r="B190">
        <v>9</v>
      </c>
      <c r="C190">
        <v>35</v>
      </c>
      <c r="D190">
        <v>5</v>
      </c>
      <c r="E190" t="s">
        <v>21</v>
      </c>
      <c r="F190" s="10">
        <f t="shared" si="4"/>
        <v>106</v>
      </c>
      <c r="G190" s="14">
        <f t="shared" si="5"/>
        <v>410.9</v>
      </c>
    </row>
    <row r="191" spans="1:7" x14ac:dyDescent="0.3">
      <c r="A191" s="7">
        <v>5570</v>
      </c>
      <c r="B191">
        <v>10</v>
      </c>
      <c r="C191">
        <v>40</v>
      </c>
      <c r="D191">
        <v>1</v>
      </c>
      <c r="E191" t="s">
        <v>19</v>
      </c>
      <c r="F191" s="10">
        <f t="shared" si="4"/>
        <v>557</v>
      </c>
      <c r="G191" s="14">
        <f t="shared" si="5"/>
        <v>2228</v>
      </c>
    </row>
    <row r="192" spans="1:7" x14ac:dyDescent="0.3">
      <c r="A192" s="7">
        <v>794</v>
      </c>
      <c r="B192">
        <v>16</v>
      </c>
      <c r="C192">
        <v>50</v>
      </c>
      <c r="D192">
        <v>7</v>
      </c>
      <c r="E192" t="s">
        <v>16</v>
      </c>
      <c r="F192" s="10">
        <f t="shared" si="4"/>
        <v>128</v>
      </c>
      <c r="G192" s="14">
        <f t="shared" si="5"/>
        <v>397</v>
      </c>
    </row>
    <row r="193" spans="1:7" x14ac:dyDescent="0.3">
      <c r="A193" s="7">
        <v>339</v>
      </c>
      <c r="B193">
        <v>19</v>
      </c>
      <c r="C193">
        <v>45</v>
      </c>
      <c r="D193">
        <v>9</v>
      </c>
      <c r="E193" t="s">
        <v>20</v>
      </c>
      <c r="F193" s="10">
        <f t="shared" si="4"/>
        <v>65</v>
      </c>
      <c r="G193" s="14">
        <f t="shared" si="5"/>
        <v>152.55000000000001</v>
      </c>
    </row>
    <row r="194" spans="1:7" x14ac:dyDescent="0.3">
      <c r="A194" s="7">
        <v>500</v>
      </c>
      <c r="B194">
        <v>11</v>
      </c>
      <c r="C194">
        <v>20</v>
      </c>
      <c r="D194">
        <v>6</v>
      </c>
      <c r="E194" t="s">
        <v>20</v>
      </c>
      <c r="F194" s="10">
        <f t="shared" si="4"/>
        <v>55</v>
      </c>
      <c r="G194" s="14">
        <f t="shared" si="5"/>
        <v>100</v>
      </c>
    </row>
    <row r="195" spans="1:7" x14ac:dyDescent="0.3">
      <c r="A195" s="7">
        <v>1186</v>
      </c>
      <c r="B195">
        <v>11</v>
      </c>
      <c r="C195">
        <v>10</v>
      </c>
      <c r="D195">
        <v>5</v>
      </c>
      <c r="E195" t="s">
        <v>17</v>
      </c>
      <c r="F195" s="10">
        <f t="shared" ref="F195:F258" si="6">ROUNDUP(0.01*B195*A195,0)</f>
        <v>131</v>
      </c>
      <c r="G195" s="14">
        <f t="shared" ref="G195:G258" si="7">ROUND(C195/100*A195,2)</f>
        <v>118.6</v>
      </c>
    </row>
    <row r="196" spans="1:7" x14ac:dyDescent="0.3">
      <c r="A196" s="7">
        <v>1815</v>
      </c>
      <c r="B196">
        <v>5</v>
      </c>
      <c r="C196">
        <v>35</v>
      </c>
      <c r="D196">
        <v>2</v>
      </c>
      <c r="E196" t="s">
        <v>17</v>
      </c>
      <c r="F196" s="10">
        <f t="shared" si="6"/>
        <v>91</v>
      </c>
      <c r="G196" s="14">
        <f t="shared" si="7"/>
        <v>635.25</v>
      </c>
    </row>
    <row r="197" spans="1:7" x14ac:dyDescent="0.3">
      <c r="A197" s="7">
        <v>1236</v>
      </c>
      <c r="B197">
        <v>8</v>
      </c>
      <c r="C197">
        <v>15</v>
      </c>
      <c r="D197">
        <v>5</v>
      </c>
      <c r="E197" t="s">
        <v>16</v>
      </c>
      <c r="F197" s="10">
        <f t="shared" si="6"/>
        <v>99</v>
      </c>
      <c r="G197" s="14">
        <f t="shared" si="7"/>
        <v>185.4</v>
      </c>
    </row>
    <row r="198" spans="1:7" x14ac:dyDescent="0.3">
      <c r="A198" s="7">
        <v>324</v>
      </c>
      <c r="B198">
        <v>18</v>
      </c>
      <c r="C198">
        <v>30</v>
      </c>
      <c r="D198">
        <v>9</v>
      </c>
      <c r="E198" t="s">
        <v>16</v>
      </c>
      <c r="F198" s="10">
        <f t="shared" si="6"/>
        <v>59</v>
      </c>
      <c r="G198" s="14">
        <f t="shared" si="7"/>
        <v>97.2</v>
      </c>
    </row>
    <row r="199" spans="1:7" x14ac:dyDescent="0.3">
      <c r="A199" s="7">
        <v>504</v>
      </c>
      <c r="B199">
        <v>9</v>
      </c>
      <c r="C199">
        <v>20</v>
      </c>
      <c r="D199">
        <v>9</v>
      </c>
      <c r="E199" t="s">
        <v>20</v>
      </c>
      <c r="F199" s="10">
        <f t="shared" si="6"/>
        <v>46</v>
      </c>
      <c r="G199" s="14">
        <f t="shared" si="7"/>
        <v>100.8</v>
      </c>
    </row>
    <row r="200" spans="1:7" x14ac:dyDescent="0.3">
      <c r="A200" s="7">
        <v>475</v>
      </c>
      <c r="B200">
        <v>11</v>
      </c>
      <c r="C200">
        <v>40</v>
      </c>
      <c r="D200">
        <v>10</v>
      </c>
      <c r="E200" t="s">
        <v>20</v>
      </c>
      <c r="F200" s="10">
        <f t="shared" si="6"/>
        <v>53</v>
      </c>
      <c r="G200" s="14">
        <f t="shared" si="7"/>
        <v>190</v>
      </c>
    </row>
    <row r="201" spans="1:7" x14ac:dyDescent="0.3">
      <c r="A201" s="7">
        <v>360</v>
      </c>
      <c r="B201">
        <v>4</v>
      </c>
      <c r="C201">
        <v>35</v>
      </c>
      <c r="D201">
        <v>8</v>
      </c>
      <c r="E201" t="s">
        <v>17</v>
      </c>
      <c r="F201" s="10">
        <f t="shared" si="6"/>
        <v>15</v>
      </c>
      <c r="G201" s="14">
        <f t="shared" si="7"/>
        <v>126</v>
      </c>
    </row>
    <row r="202" spans="1:7" x14ac:dyDescent="0.3">
      <c r="A202" s="7">
        <v>1340</v>
      </c>
      <c r="B202">
        <v>0</v>
      </c>
      <c r="C202">
        <v>5</v>
      </c>
      <c r="D202">
        <v>5</v>
      </c>
      <c r="E202" t="s">
        <v>19</v>
      </c>
      <c r="F202" s="10">
        <f t="shared" si="6"/>
        <v>0</v>
      </c>
      <c r="G202" s="14">
        <f t="shared" si="7"/>
        <v>67</v>
      </c>
    </row>
    <row r="203" spans="1:7" x14ac:dyDescent="0.3">
      <c r="A203" s="7">
        <v>1067</v>
      </c>
      <c r="B203">
        <v>2</v>
      </c>
      <c r="C203">
        <v>30</v>
      </c>
      <c r="D203">
        <v>3</v>
      </c>
      <c r="E203" t="s">
        <v>21</v>
      </c>
      <c r="F203" s="10">
        <f t="shared" si="6"/>
        <v>22</v>
      </c>
      <c r="G203" s="14">
        <f t="shared" si="7"/>
        <v>320.10000000000002</v>
      </c>
    </row>
    <row r="204" spans="1:7" x14ac:dyDescent="0.3">
      <c r="A204" s="7">
        <v>4330</v>
      </c>
      <c r="B204">
        <v>7</v>
      </c>
      <c r="C204">
        <v>50</v>
      </c>
      <c r="D204">
        <v>1</v>
      </c>
      <c r="E204" t="s">
        <v>15</v>
      </c>
      <c r="F204" s="10">
        <f t="shared" si="6"/>
        <v>304</v>
      </c>
      <c r="G204" s="14">
        <f t="shared" si="7"/>
        <v>2165</v>
      </c>
    </row>
    <row r="205" spans="1:7" x14ac:dyDescent="0.3">
      <c r="A205" s="7">
        <v>4170</v>
      </c>
      <c r="B205">
        <v>12</v>
      </c>
      <c r="C205">
        <v>35</v>
      </c>
      <c r="D205">
        <v>1</v>
      </c>
      <c r="E205" t="s">
        <v>18</v>
      </c>
      <c r="F205" s="10">
        <f t="shared" si="6"/>
        <v>501</v>
      </c>
      <c r="G205" s="14">
        <f t="shared" si="7"/>
        <v>1459.5</v>
      </c>
    </row>
    <row r="206" spans="1:7" x14ac:dyDescent="0.3">
      <c r="A206" s="7">
        <v>1860</v>
      </c>
      <c r="B206">
        <v>8</v>
      </c>
      <c r="C206">
        <v>30</v>
      </c>
      <c r="D206">
        <v>3</v>
      </c>
      <c r="E206" t="s">
        <v>17</v>
      </c>
      <c r="F206" s="10">
        <f t="shared" si="6"/>
        <v>149</v>
      </c>
      <c r="G206" s="14">
        <f t="shared" si="7"/>
        <v>558</v>
      </c>
    </row>
    <row r="207" spans="1:7" x14ac:dyDescent="0.3">
      <c r="A207" s="7">
        <v>6550</v>
      </c>
      <c r="B207">
        <v>8</v>
      </c>
      <c r="C207">
        <v>30</v>
      </c>
      <c r="D207">
        <v>1</v>
      </c>
      <c r="E207" t="s">
        <v>19</v>
      </c>
      <c r="F207" s="10">
        <f t="shared" si="6"/>
        <v>524</v>
      </c>
      <c r="G207" s="14">
        <f t="shared" si="7"/>
        <v>1965</v>
      </c>
    </row>
    <row r="208" spans="1:7" x14ac:dyDescent="0.3">
      <c r="A208" s="7">
        <v>6790</v>
      </c>
      <c r="B208">
        <v>13</v>
      </c>
      <c r="C208">
        <v>40</v>
      </c>
      <c r="D208">
        <v>1</v>
      </c>
      <c r="E208" t="s">
        <v>19</v>
      </c>
      <c r="F208" s="10">
        <f t="shared" si="6"/>
        <v>883</v>
      </c>
      <c r="G208" s="14">
        <f t="shared" si="7"/>
        <v>2716</v>
      </c>
    </row>
    <row r="209" spans="1:7" x14ac:dyDescent="0.3">
      <c r="A209" s="7">
        <v>4600</v>
      </c>
      <c r="B209">
        <v>11</v>
      </c>
      <c r="C209">
        <v>30</v>
      </c>
      <c r="D209">
        <v>1</v>
      </c>
      <c r="E209" t="s">
        <v>16</v>
      </c>
      <c r="F209" s="10">
        <f t="shared" si="6"/>
        <v>506</v>
      </c>
      <c r="G209" s="14">
        <f t="shared" si="7"/>
        <v>1380</v>
      </c>
    </row>
    <row r="210" spans="1:7" x14ac:dyDescent="0.3">
      <c r="A210" s="7">
        <v>5720</v>
      </c>
      <c r="B210">
        <v>15</v>
      </c>
      <c r="C210">
        <v>0</v>
      </c>
      <c r="D210">
        <v>1</v>
      </c>
      <c r="E210" t="s">
        <v>19</v>
      </c>
      <c r="F210" s="10">
        <f t="shared" si="6"/>
        <v>858</v>
      </c>
      <c r="G210" s="14">
        <f t="shared" si="7"/>
        <v>0</v>
      </c>
    </row>
    <row r="211" spans="1:7" x14ac:dyDescent="0.3">
      <c r="A211" s="7">
        <v>1102</v>
      </c>
      <c r="B211">
        <v>12</v>
      </c>
      <c r="C211">
        <v>10</v>
      </c>
      <c r="D211">
        <v>5</v>
      </c>
      <c r="E211" t="s">
        <v>15</v>
      </c>
      <c r="F211" s="10">
        <f t="shared" si="6"/>
        <v>133</v>
      </c>
      <c r="G211" s="14">
        <f t="shared" si="7"/>
        <v>110.2</v>
      </c>
    </row>
    <row r="212" spans="1:7" x14ac:dyDescent="0.3">
      <c r="A212" s="7">
        <v>999</v>
      </c>
      <c r="B212">
        <v>20</v>
      </c>
      <c r="C212">
        <v>50</v>
      </c>
      <c r="D212">
        <v>7</v>
      </c>
      <c r="E212" t="s">
        <v>17</v>
      </c>
      <c r="F212" s="10">
        <f t="shared" si="6"/>
        <v>200</v>
      </c>
      <c r="G212" s="14">
        <f t="shared" si="7"/>
        <v>499.5</v>
      </c>
    </row>
    <row r="213" spans="1:7" x14ac:dyDescent="0.3">
      <c r="A213" s="7">
        <v>5130</v>
      </c>
      <c r="B213">
        <v>17</v>
      </c>
      <c r="C213">
        <v>45</v>
      </c>
      <c r="D213">
        <v>1</v>
      </c>
      <c r="E213" t="s">
        <v>21</v>
      </c>
      <c r="F213" s="10">
        <f t="shared" si="6"/>
        <v>873</v>
      </c>
      <c r="G213" s="14">
        <f t="shared" si="7"/>
        <v>2308.5</v>
      </c>
    </row>
    <row r="214" spans="1:7" x14ac:dyDescent="0.3">
      <c r="A214" s="7">
        <v>2115</v>
      </c>
      <c r="B214">
        <v>10</v>
      </c>
      <c r="C214">
        <v>50</v>
      </c>
      <c r="D214">
        <v>2</v>
      </c>
      <c r="E214" t="s">
        <v>17</v>
      </c>
      <c r="F214" s="10">
        <f t="shared" si="6"/>
        <v>212</v>
      </c>
      <c r="G214" s="14">
        <f t="shared" si="7"/>
        <v>1057.5</v>
      </c>
    </row>
    <row r="215" spans="1:7" x14ac:dyDescent="0.3">
      <c r="A215" s="7">
        <v>1455</v>
      </c>
      <c r="B215">
        <v>13</v>
      </c>
      <c r="C215">
        <v>40</v>
      </c>
      <c r="D215">
        <v>4</v>
      </c>
      <c r="E215" t="s">
        <v>15</v>
      </c>
      <c r="F215" s="10">
        <f t="shared" si="6"/>
        <v>190</v>
      </c>
      <c r="G215" s="14">
        <f t="shared" si="7"/>
        <v>582</v>
      </c>
    </row>
    <row r="216" spans="1:7" x14ac:dyDescent="0.3">
      <c r="A216" s="7">
        <v>1138</v>
      </c>
      <c r="B216">
        <v>13</v>
      </c>
      <c r="C216">
        <v>10</v>
      </c>
      <c r="D216">
        <v>5</v>
      </c>
      <c r="E216" t="s">
        <v>20</v>
      </c>
      <c r="F216" s="10">
        <f t="shared" si="6"/>
        <v>148</v>
      </c>
      <c r="G216" s="14">
        <f t="shared" si="7"/>
        <v>113.8</v>
      </c>
    </row>
    <row r="217" spans="1:7" x14ac:dyDescent="0.3">
      <c r="A217" s="7">
        <v>490</v>
      </c>
      <c r="B217">
        <v>10</v>
      </c>
      <c r="C217">
        <v>30</v>
      </c>
      <c r="D217">
        <v>7</v>
      </c>
      <c r="E217" t="s">
        <v>19</v>
      </c>
      <c r="F217" s="10">
        <f t="shared" si="6"/>
        <v>49</v>
      </c>
      <c r="G217" s="14">
        <f t="shared" si="7"/>
        <v>147</v>
      </c>
    </row>
    <row r="218" spans="1:7" x14ac:dyDescent="0.3">
      <c r="A218" s="7">
        <v>2800</v>
      </c>
      <c r="B218">
        <v>7</v>
      </c>
      <c r="C218">
        <v>30</v>
      </c>
      <c r="D218">
        <v>2</v>
      </c>
      <c r="E218" t="s">
        <v>21</v>
      </c>
      <c r="F218" s="10">
        <f t="shared" si="6"/>
        <v>196</v>
      </c>
      <c r="G218" s="14">
        <f t="shared" si="7"/>
        <v>840</v>
      </c>
    </row>
    <row r="219" spans="1:7" x14ac:dyDescent="0.3">
      <c r="A219" s="7">
        <v>3770</v>
      </c>
      <c r="B219">
        <v>13</v>
      </c>
      <c r="C219">
        <v>5</v>
      </c>
      <c r="D219">
        <v>1</v>
      </c>
      <c r="E219" t="s">
        <v>20</v>
      </c>
      <c r="F219" s="10">
        <f t="shared" si="6"/>
        <v>491</v>
      </c>
      <c r="G219" s="14">
        <f t="shared" si="7"/>
        <v>188.5</v>
      </c>
    </row>
    <row r="220" spans="1:7" x14ac:dyDescent="0.3">
      <c r="A220" s="7">
        <v>917</v>
      </c>
      <c r="B220">
        <v>8</v>
      </c>
      <c r="C220">
        <v>5</v>
      </c>
      <c r="D220">
        <v>7</v>
      </c>
      <c r="E220" t="s">
        <v>20</v>
      </c>
      <c r="F220" s="10">
        <f t="shared" si="6"/>
        <v>74</v>
      </c>
      <c r="G220" s="14">
        <f t="shared" si="7"/>
        <v>45.85</v>
      </c>
    </row>
    <row r="221" spans="1:7" x14ac:dyDescent="0.3">
      <c r="A221" s="7">
        <v>776</v>
      </c>
      <c r="B221">
        <v>12</v>
      </c>
      <c r="C221">
        <v>20</v>
      </c>
      <c r="D221">
        <v>7</v>
      </c>
      <c r="E221" t="s">
        <v>16</v>
      </c>
      <c r="F221" s="10">
        <f t="shared" si="6"/>
        <v>94</v>
      </c>
      <c r="G221" s="14">
        <f t="shared" si="7"/>
        <v>155.19999999999999</v>
      </c>
    </row>
    <row r="222" spans="1:7" x14ac:dyDescent="0.3">
      <c r="A222" s="7">
        <v>5030</v>
      </c>
      <c r="B222">
        <v>9</v>
      </c>
      <c r="C222">
        <v>0</v>
      </c>
      <c r="D222">
        <v>1</v>
      </c>
      <c r="E222" t="s">
        <v>18</v>
      </c>
      <c r="F222" s="10">
        <f t="shared" si="6"/>
        <v>453</v>
      </c>
      <c r="G222" s="14">
        <f t="shared" si="7"/>
        <v>0</v>
      </c>
    </row>
    <row r="223" spans="1:7" x14ac:dyDescent="0.3">
      <c r="A223" s="7">
        <v>773</v>
      </c>
      <c r="B223">
        <v>9</v>
      </c>
      <c r="C223">
        <v>5</v>
      </c>
      <c r="D223">
        <v>8</v>
      </c>
      <c r="E223" t="s">
        <v>19</v>
      </c>
      <c r="F223" s="10">
        <f t="shared" si="6"/>
        <v>70</v>
      </c>
      <c r="G223" s="14">
        <f t="shared" si="7"/>
        <v>38.65</v>
      </c>
    </row>
    <row r="224" spans="1:7" x14ac:dyDescent="0.3">
      <c r="A224" s="7">
        <v>1727</v>
      </c>
      <c r="B224">
        <v>19</v>
      </c>
      <c r="C224">
        <v>25</v>
      </c>
      <c r="D224">
        <v>3</v>
      </c>
      <c r="E224" t="s">
        <v>18</v>
      </c>
      <c r="F224" s="10">
        <f t="shared" si="6"/>
        <v>329</v>
      </c>
      <c r="G224" s="14">
        <f t="shared" si="7"/>
        <v>431.75</v>
      </c>
    </row>
    <row r="225" spans="1:7" x14ac:dyDescent="0.3">
      <c r="A225" s="7">
        <v>1588</v>
      </c>
      <c r="B225">
        <v>6</v>
      </c>
      <c r="C225">
        <v>15</v>
      </c>
      <c r="D225">
        <v>4</v>
      </c>
      <c r="E225" t="s">
        <v>21</v>
      </c>
      <c r="F225" s="10">
        <f t="shared" si="6"/>
        <v>96</v>
      </c>
      <c r="G225" s="14">
        <f t="shared" si="7"/>
        <v>238.2</v>
      </c>
    </row>
    <row r="226" spans="1:7" x14ac:dyDescent="0.3">
      <c r="A226" s="7">
        <v>5340</v>
      </c>
      <c r="B226">
        <v>16</v>
      </c>
      <c r="C226">
        <v>30</v>
      </c>
      <c r="D226">
        <v>1</v>
      </c>
      <c r="E226" t="s">
        <v>20</v>
      </c>
      <c r="F226" s="10">
        <f t="shared" si="6"/>
        <v>855</v>
      </c>
      <c r="G226" s="14">
        <f t="shared" si="7"/>
        <v>1602</v>
      </c>
    </row>
    <row r="227" spans="1:7" x14ac:dyDescent="0.3">
      <c r="A227" s="7">
        <v>424</v>
      </c>
      <c r="B227">
        <v>2</v>
      </c>
      <c r="C227">
        <v>15</v>
      </c>
      <c r="D227">
        <v>8</v>
      </c>
      <c r="E227" t="s">
        <v>18</v>
      </c>
      <c r="F227" s="10">
        <f t="shared" si="6"/>
        <v>9</v>
      </c>
      <c r="G227" s="14">
        <f t="shared" si="7"/>
        <v>63.6</v>
      </c>
    </row>
    <row r="228" spans="1:7" x14ac:dyDescent="0.3">
      <c r="A228" s="7">
        <v>2255</v>
      </c>
      <c r="B228">
        <v>9</v>
      </c>
      <c r="C228">
        <v>30</v>
      </c>
      <c r="D228">
        <v>2</v>
      </c>
      <c r="E228" t="s">
        <v>19</v>
      </c>
      <c r="F228" s="10">
        <f t="shared" si="6"/>
        <v>203</v>
      </c>
      <c r="G228" s="14">
        <f t="shared" si="7"/>
        <v>676.5</v>
      </c>
    </row>
    <row r="229" spans="1:7" x14ac:dyDescent="0.3">
      <c r="A229" s="7">
        <v>3280</v>
      </c>
      <c r="B229">
        <v>10</v>
      </c>
      <c r="C229">
        <v>20</v>
      </c>
      <c r="D229">
        <v>1</v>
      </c>
      <c r="E229" t="s">
        <v>20</v>
      </c>
      <c r="F229" s="10">
        <f t="shared" si="6"/>
        <v>328</v>
      </c>
      <c r="G229" s="14">
        <f t="shared" si="7"/>
        <v>656</v>
      </c>
    </row>
    <row r="230" spans="1:7" x14ac:dyDescent="0.3">
      <c r="A230" s="7">
        <v>1197</v>
      </c>
      <c r="B230">
        <v>14</v>
      </c>
      <c r="C230">
        <v>5</v>
      </c>
      <c r="D230">
        <v>3</v>
      </c>
      <c r="E230" t="s">
        <v>21</v>
      </c>
      <c r="F230" s="10">
        <f t="shared" si="6"/>
        <v>168</v>
      </c>
      <c r="G230" s="14">
        <f t="shared" si="7"/>
        <v>59.85</v>
      </c>
    </row>
    <row r="231" spans="1:7" x14ac:dyDescent="0.3">
      <c r="A231" s="7">
        <v>710.1</v>
      </c>
      <c r="B231">
        <v>2</v>
      </c>
      <c r="C231">
        <v>10</v>
      </c>
      <c r="D231">
        <v>5</v>
      </c>
      <c r="E231" t="s">
        <v>21</v>
      </c>
      <c r="F231" s="10">
        <f t="shared" si="6"/>
        <v>15</v>
      </c>
      <c r="G231" s="14">
        <f t="shared" si="7"/>
        <v>71.010000000000005</v>
      </c>
    </row>
    <row r="232" spans="1:7" x14ac:dyDescent="0.3">
      <c r="A232" s="7">
        <v>6320</v>
      </c>
      <c r="B232">
        <v>2</v>
      </c>
      <c r="C232">
        <v>50</v>
      </c>
      <c r="D232">
        <v>1</v>
      </c>
      <c r="E232" t="s">
        <v>21</v>
      </c>
      <c r="F232" s="10">
        <f t="shared" si="6"/>
        <v>127</v>
      </c>
      <c r="G232" s="14">
        <f t="shared" si="7"/>
        <v>3160</v>
      </c>
    </row>
    <row r="233" spans="1:7" x14ac:dyDescent="0.3">
      <c r="A233" s="7">
        <v>5250</v>
      </c>
      <c r="B233">
        <v>2</v>
      </c>
      <c r="C233">
        <v>50</v>
      </c>
      <c r="D233">
        <v>1</v>
      </c>
      <c r="E233" t="s">
        <v>16</v>
      </c>
      <c r="F233" s="10">
        <f t="shared" si="6"/>
        <v>105</v>
      </c>
      <c r="G233" s="14">
        <f t="shared" si="7"/>
        <v>2625</v>
      </c>
    </row>
    <row r="234" spans="1:7" x14ac:dyDescent="0.3">
      <c r="A234" s="7">
        <v>2005</v>
      </c>
      <c r="B234">
        <v>18</v>
      </c>
      <c r="C234">
        <v>45</v>
      </c>
      <c r="D234">
        <v>2</v>
      </c>
      <c r="E234" t="s">
        <v>20</v>
      </c>
      <c r="F234" s="10">
        <f t="shared" si="6"/>
        <v>361</v>
      </c>
      <c r="G234" s="14">
        <f t="shared" si="7"/>
        <v>902.25</v>
      </c>
    </row>
    <row r="235" spans="1:7" x14ac:dyDescent="0.3">
      <c r="A235" s="7">
        <v>973.3</v>
      </c>
      <c r="B235">
        <v>16</v>
      </c>
      <c r="C235">
        <v>35</v>
      </c>
      <c r="D235">
        <v>7</v>
      </c>
      <c r="E235" t="s">
        <v>20</v>
      </c>
      <c r="F235" s="10">
        <f t="shared" si="6"/>
        <v>156</v>
      </c>
      <c r="G235" s="14">
        <f t="shared" si="7"/>
        <v>340.66</v>
      </c>
    </row>
    <row r="236" spans="1:7" x14ac:dyDescent="0.3">
      <c r="A236" s="7">
        <v>1890</v>
      </c>
      <c r="B236">
        <v>0</v>
      </c>
      <c r="C236">
        <v>45</v>
      </c>
      <c r="D236">
        <v>3</v>
      </c>
      <c r="E236" t="s">
        <v>17</v>
      </c>
      <c r="F236" s="10">
        <f t="shared" si="6"/>
        <v>0</v>
      </c>
      <c r="G236" s="14">
        <f t="shared" si="7"/>
        <v>850.5</v>
      </c>
    </row>
    <row r="237" spans="1:7" x14ac:dyDescent="0.3">
      <c r="A237" s="7">
        <v>815</v>
      </c>
      <c r="B237">
        <v>8</v>
      </c>
      <c r="C237">
        <v>20</v>
      </c>
      <c r="D237">
        <v>8</v>
      </c>
      <c r="E237" t="s">
        <v>16</v>
      </c>
      <c r="F237" s="10">
        <f t="shared" si="6"/>
        <v>66</v>
      </c>
      <c r="G237" s="14">
        <f t="shared" si="7"/>
        <v>163</v>
      </c>
    </row>
    <row r="238" spans="1:7" x14ac:dyDescent="0.3">
      <c r="A238" s="7">
        <v>2960</v>
      </c>
      <c r="B238">
        <v>15</v>
      </c>
      <c r="C238">
        <v>20</v>
      </c>
      <c r="D238">
        <v>1</v>
      </c>
      <c r="E238" t="s">
        <v>20</v>
      </c>
      <c r="F238" s="10">
        <f t="shared" si="6"/>
        <v>444</v>
      </c>
      <c r="G238" s="14">
        <f t="shared" si="7"/>
        <v>592</v>
      </c>
    </row>
    <row r="239" spans="1:7" x14ac:dyDescent="0.3">
      <c r="A239" s="7">
        <v>5430</v>
      </c>
      <c r="B239">
        <v>19</v>
      </c>
      <c r="C239">
        <v>15</v>
      </c>
      <c r="D239">
        <v>1</v>
      </c>
      <c r="E239" t="s">
        <v>18</v>
      </c>
      <c r="F239" s="10">
        <f t="shared" si="6"/>
        <v>1032</v>
      </c>
      <c r="G239" s="14">
        <f t="shared" si="7"/>
        <v>814.5</v>
      </c>
    </row>
    <row r="240" spans="1:7" x14ac:dyDescent="0.3">
      <c r="A240" s="7">
        <v>2115</v>
      </c>
      <c r="B240">
        <v>6</v>
      </c>
      <c r="C240">
        <v>45</v>
      </c>
      <c r="D240">
        <v>2</v>
      </c>
      <c r="E240" t="s">
        <v>17</v>
      </c>
      <c r="F240" s="10">
        <f t="shared" si="6"/>
        <v>127</v>
      </c>
      <c r="G240" s="14">
        <f t="shared" si="7"/>
        <v>951.75</v>
      </c>
    </row>
    <row r="241" spans="1:7" x14ac:dyDescent="0.3">
      <c r="A241" s="7">
        <v>1643</v>
      </c>
      <c r="B241">
        <v>1</v>
      </c>
      <c r="C241">
        <v>35</v>
      </c>
      <c r="D241">
        <v>3</v>
      </c>
      <c r="E241" t="s">
        <v>17</v>
      </c>
      <c r="F241" s="10">
        <f t="shared" si="6"/>
        <v>17</v>
      </c>
      <c r="G241" s="14">
        <f t="shared" si="7"/>
        <v>575.04999999999995</v>
      </c>
    </row>
    <row r="242" spans="1:7" x14ac:dyDescent="0.3">
      <c r="A242" s="7">
        <v>2320</v>
      </c>
      <c r="B242">
        <v>10</v>
      </c>
      <c r="C242">
        <v>25</v>
      </c>
      <c r="D242">
        <v>3</v>
      </c>
      <c r="E242" t="s">
        <v>16</v>
      </c>
      <c r="F242" s="10">
        <f t="shared" si="6"/>
        <v>232</v>
      </c>
      <c r="G242" s="14">
        <f t="shared" si="7"/>
        <v>580</v>
      </c>
    </row>
    <row r="243" spans="1:7" x14ac:dyDescent="0.3">
      <c r="A243" s="7">
        <v>1183</v>
      </c>
      <c r="B243">
        <v>19</v>
      </c>
      <c r="C243">
        <v>20</v>
      </c>
      <c r="D243">
        <v>4</v>
      </c>
      <c r="E243" t="s">
        <v>18</v>
      </c>
      <c r="F243" s="10">
        <f t="shared" si="6"/>
        <v>225</v>
      </c>
      <c r="G243" s="14">
        <f t="shared" si="7"/>
        <v>236.6</v>
      </c>
    </row>
    <row r="244" spans="1:7" x14ac:dyDescent="0.3">
      <c r="A244" s="7">
        <v>676</v>
      </c>
      <c r="B244">
        <v>11</v>
      </c>
      <c r="C244">
        <v>50</v>
      </c>
      <c r="D244">
        <v>7</v>
      </c>
      <c r="E244" t="s">
        <v>20</v>
      </c>
      <c r="F244" s="10">
        <f t="shared" si="6"/>
        <v>75</v>
      </c>
      <c r="G244" s="14">
        <f t="shared" si="7"/>
        <v>338</v>
      </c>
    </row>
    <row r="245" spans="1:7" x14ac:dyDescent="0.3">
      <c r="A245" s="7">
        <v>375</v>
      </c>
      <c r="B245">
        <v>0</v>
      </c>
      <c r="C245">
        <v>10</v>
      </c>
      <c r="D245">
        <v>10</v>
      </c>
      <c r="E245" t="s">
        <v>20</v>
      </c>
      <c r="F245" s="10">
        <f t="shared" si="6"/>
        <v>0</v>
      </c>
      <c r="G245" s="14">
        <f t="shared" si="7"/>
        <v>37.5</v>
      </c>
    </row>
    <row r="246" spans="1:7" x14ac:dyDescent="0.3">
      <c r="A246" s="7">
        <v>666</v>
      </c>
      <c r="B246">
        <v>18</v>
      </c>
      <c r="C246">
        <v>35</v>
      </c>
      <c r="D246">
        <v>9</v>
      </c>
      <c r="E246" t="s">
        <v>17</v>
      </c>
      <c r="F246" s="10">
        <f t="shared" si="6"/>
        <v>120</v>
      </c>
      <c r="G246" s="14">
        <f t="shared" si="7"/>
        <v>233.1</v>
      </c>
    </row>
    <row r="247" spans="1:7" x14ac:dyDescent="0.3">
      <c r="A247" s="7">
        <v>1020</v>
      </c>
      <c r="B247">
        <v>4</v>
      </c>
      <c r="C247">
        <v>50</v>
      </c>
      <c r="D247">
        <v>6</v>
      </c>
      <c r="E247" t="s">
        <v>15</v>
      </c>
      <c r="F247" s="10">
        <f t="shared" si="6"/>
        <v>41</v>
      </c>
      <c r="G247" s="14">
        <f t="shared" si="7"/>
        <v>510</v>
      </c>
    </row>
    <row r="248" spans="1:7" x14ac:dyDescent="0.3">
      <c r="A248" s="7">
        <v>705</v>
      </c>
      <c r="B248">
        <v>16</v>
      </c>
      <c r="C248">
        <v>30</v>
      </c>
      <c r="D248">
        <v>8</v>
      </c>
      <c r="E248" t="s">
        <v>16</v>
      </c>
      <c r="F248" s="10">
        <f t="shared" si="6"/>
        <v>113</v>
      </c>
      <c r="G248" s="14">
        <f t="shared" si="7"/>
        <v>211.5</v>
      </c>
    </row>
    <row r="249" spans="1:7" x14ac:dyDescent="0.3">
      <c r="A249" s="7">
        <v>676</v>
      </c>
      <c r="B249">
        <v>9</v>
      </c>
      <c r="C249">
        <v>0</v>
      </c>
      <c r="D249">
        <v>7</v>
      </c>
      <c r="E249" t="s">
        <v>19</v>
      </c>
      <c r="F249" s="10">
        <f t="shared" si="6"/>
        <v>61</v>
      </c>
      <c r="G249" s="14">
        <f t="shared" si="7"/>
        <v>0</v>
      </c>
    </row>
    <row r="250" spans="1:7" x14ac:dyDescent="0.3">
      <c r="A250" s="7">
        <v>560</v>
      </c>
      <c r="B250">
        <v>8</v>
      </c>
      <c r="C250">
        <v>30</v>
      </c>
      <c r="D250">
        <v>8</v>
      </c>
      <c r="E250" t="s">
        <v>15</v>
      </c>
      <c r="F250" s="10">
        <f t="shared" si="6"/>
        <v>45</v>
      </c>
      <c r="G250" s="14">
        <f t="shared" si="7"/>
        <v>168</v>
      </c>
    </row>
    <row r="251" spans="1:7" x14ac:dyDescent="0.3">
      <c r="A251" s="7">
        <v>1455</v>
      </c>
      <c r="B251">
        <v>17</v>
      </c>
      <c r="C251">
        <v>0</v>
      </c>
      <c r="D251">
        <v>4</v>
      </c>
      <c r="E251" t="s">
        <v>18</v>
      </c>
      <c r="F251" s="10">
        <f t="shared" si="6"/>
        <v>248</v>
      </c>
      <c r="G251" s="14">
        <f t="shared" si="7"/>
        <v>0</v>
      </c>
    </row>
    <row r="252" spans="1:7" x14ac:dyDescent="0.3">
      <c r="A252" s="7">
        <v>727</v>
      </c>
      <c r="B252">
        <v>14</v>
      </c>
      <c r="C252">
        <v>50</v>
      </c>
      <c r="D252">
        <v>6</v>
      </c>
      <c r="E252" t="s">
        <v>18</v>
      </c>
      <c r="F252" s="10">
        <f t="shared" si="6"/>
        <v>102</v>
      </c>
      <c r="G252" s="14">
        <f t="shared" si="7"/>
        <v>363.5</v>
      </c>
    </row>
    <row r="253" spans="1:7" x14ac:dyDescent="0.3">
      <c r="A253" s="7">
        <v>497</v>
      </c>
      <c r="B253">
        <v>13</v>
      </c>
      <c r="C253">
        <v>40</v>
      </c>
      <c r="D253">
        <v>9</v>
      </c>
      <c r="E253" t="s">
        <v>19</v>
      </c>
      <c r="F253" s="10">
        <f t="shared" si="6"/>
        <v>65</v>
      </c>
      <c r="G253" s="14">
        <f t="shared" si="7"/>
        <v>198.8</v>
      </c>
    </row>
    <row r="254" spans="1:7" x14ac:dyDescent="0.3">
      <c r="A254" s="7">
        <v>1113</v>
      </c>
      <c r="B254">
        <v>18</v>
      </c>
      <c r="C254">
        <v>20</v>
      </c>
      <c r="D254">
        <v>4</v>
      </c>
      <c r="E254" t="s">
        <v>21</v>
      </c>
      <c r="F254" s="10">
        <f t="shared" si="6"/>
        <v>201</v>
      </c>
      <c r="G254" s="14">
        <f t="shared" si="7"/>
        <v>222.6</v>
      </c>
    </row>
    <row r="255" spans="1:7" x14ac:dyDescent="0.3">
      <c r="A255" s="7">
        <v>6370</v>
      </c>
      <c r="B255">
        <v>0</v>
      </c>
      <c r="C255">
        <v>15</v>
      </c>
      <c r="D255">
        <v>1</v>
      </c>
      <c r="E255" t="s">
        <v>17</v>
      </c>
      <c r="F255" s="10">
        <f t="shared" si="6"/>
        <v>0</v>
      </c>
      <c r="G255" s="14">
        <f t="shared" si="7"/>
        <v>955.5</v>
      </c>
    </row>
    <row r="256" spans="1:7" x14ac:dyDescent="0.3">
      <c r="A256" s="7">
        <v>1268</v>
      </c>
      <c r="B256">
        <v>5</v>
      </c>
      <c r="C256">
        <v>0</v>
      </c>
      <c r="D256">
        <v>5</v>
      </c>
      <c r="E256" t="s">
        <v>15</v>
      </c>
      <c r="F256" s="10">
        <f t="shared" si="6"/>
        <v>64</v>
      </c>
      <c r="G256" s="14">
        <f t="shared" si="7"/>
        <v>0</v>
      </c>
    </row>
    <row r="257" spans="1:7" x14ac:dyDescent="0.3">
      <c r="A257" s="7">
        <v>5390</v>
      </c>
      <c r="B257">
        <v>9</v>
      </c>
      <c r="C257">
        <v>35</v>
      </c>
      <c r="D257">
        <v>1</v>
      </c>
      <c r="E257" t="s">
        <v>16</v>
      </c>
      <c r="F257" s="10">
        <f t="shared" si="6"/>
        <v>486</v>
      </c>
      <c r="G257" s="14">
        <f t="shared" si="7"/>
        <v>1886.5</v>
      </c>
    </row>
    <row r="258" spans="1:7" x14ac:dyDescent="0.3">
      <c r="A258" s="7">
        <v>306</v>
      </c>
      <c r="B258">
        <v>13</v>
      </c>
      <c r="C258">
        <v>45</v>
      </c>
      <c r="D258">
        <v>9</v>
      </c>
      <c r="E258" t="s">
        <v>18</v>
      </c>
      <c r="F258" s="10">
        <f t="shared" si="6"/>
        <v>40</v>
      </c>
      <c r="G258" s="14">
        <f t="shared" si="7"/>
        <v>137.69999999999999</v>
      </c>
    </row>
    <row r="259" spans="1:7" x14ac:dyDescent="0.3">
      <c r="A259" s="7">
        <v>3530</v>
      </c>
      <c r="B259">
        <v>14</v>
      </c>
      <c r="C259">
        <v>25</v>
      </c>
      <c r="D259">
        <v>1</v>
      </c>
      <c r="E259" t="s">
        <v>16</v>
      </c>
      <c r="F259" s="10">
        <f t="shared" ref="F259:F322" si="8">ROUNDUP(0.01*B259*A259,0)</f>
        <v>495</v>
      </c>
      <c r="G259" s="14">
        <f t="shared" ref="G259:G322" si="9">ROUND(C259/100*A259,2)</f>
        <v>882.5</v>
      </c>
    </row>
    <row r="260" spans="1:7" x14ac:dyDescent="0.3">
      <c r="A260" s="7">
        <v>5130</v>
      </c>
      <c r="B260">
        <v>19</v>
      </c>
      <c r="C260">
        <v>20</v>
      </c>
      <c r="D260">
        <v>1</v>
      </c>
      <c r="E260" t="s">
        <v>17</v>
      </c>
      <c r="F260" s="10">
        <f t="shared" si="8"/>
        <v>975</v>
      </c>
      <c r="G260" s="14">
        <f t="shared" si="9"/>
        <v>1026</v>
      </c>
    </row>
    <row r="261" spans="1:7" x14ac:dyDescent="0.3">
      <c r="A261" s="7">
        <v>521</v>
      </c>
      <c r="B261">
        <v>7</v>
      </c>
      <c r="C261">
        <v>50</v>
      </c>
      <c r="D261">
        <v>7</v>
      </c>
      <c r="E261" t="s">
        <v>16</v>
      </c>
      <c r="F261" s="10">
        <f t="shared" si="8"/>
        <v>37</v>
      </c>
      <c r="G261" s="14">
        <f t="shared" si="9"/>
        <v>260.5</v>
      </c>
    </row>
    <row r="262" spans="1:7" x14ac:dyDescent="0.3">
      <c r="A262" s="7">
        <v>845</v>
      </c>
      <c r="B262">
        <v>13</v>
      </c>
      <c r="C262">
        <v>50</v>
      </c>
      <c r="D262">
        <v>8</v>
      </c>
      <c r="E262" t="s">
        <v>18</v>
      </c>
      <c r="F262" s="10">
        <f t="shared" si="8"/>
        <v>110</v>
      </c>
      <c r="G262" s="14">
        <f t="shared" si="9"/>
        <v>422.5</v>
      </c>
    </row>
    <row r="263" spans="1:7" x14ac:dyDescent="0.3">
      <c r="A263" s="7">
        <v>713</v>
      </c>
      <c r="B263">
        <v>16</v>
      </c>
      <c r="C263">
        <v>5</v>
      </c>
      <c r="D263">
        <v>9</v>
      </c>
      <c r="E263" t="s">
        <v>20</v>
      </c>
      <c r="F263" s="10">
        <f t="shared" si="8"/>
        <v>115</v>
      </c>
      <c r="G263" s="14">
        <f t="shared" si="9"/>
        <v>35.65</v>
      </c>
    </row>
    <row r="264" spans="1:7" x14ac:dyDescent="0.3">
      <c r="A264" s="7">
        <v>560</v>
      </c>
      <c r="B264">
        <v>16</v>
      </c>
      <c r="C264">
        <v>25</v>
      </c>
      <c r="D264">
        <v>9</v>
      </c>
      <c r="E264" t="s">
        <v>19</v>
      </c>
      <c r="F264" s="10">
        <f t="shared" si="8"/>
        <v>90</v>
      </c>
      <c r="G264" s="14">
        <f t="shared" si="9"/>
        <v>140</v>
      </c>
    </row>
    <row r="265" spans="1:7" x14ac:dyDescent="0.3">
      <c r="A265" s="7">
        <v>3000</v>
      </c>
      <c r="B265">
        <v>10</v>
      </c>
      <c r="C265">
        <v>30</v>
      </c>
      <c r="D265">
        <v>1</v>
      </c>
      <c r="E265" t="s">
        <v>20</v>
      </c>
      <c r="F265" s="10">
        <f t="shared" si="8"/>
        <v>300</v>
      </c>
      <c r="G265" s="14">
        <f t="shared" si="9"/>
        <v>900</v>
      </c>
    </row>
    <row r="266" spans="1:7" x14ac:dyDescent="0.3">
      <c r="A266" s="7">
        <v>651</v>
      </c>
      <c r="B266">
        <v>10</v>
      </c>
      <c r="C266">
        <v>25</v>
      </c>
      <c r="D266">
        <v>10</v>
      </c>
      <c r="E266" t="s">
        <v>19</v>
      </c>
      <c r="F266" s="10">
        <f t="shared" si="8"/>
        <v>66</v>
      </c>
      <c r="G266" s="14">
        <f t="shared" si="9"/>
        <v>162.75</v>
      </c>
    </row>
    <row r="267" spans="1:7" x14ac:dyDescent="0.3">
      <c r="A267" s="7">
        <v>5970</v>
      </c>
      <c r="B267">
        <v>7</v>
      </c>
      <c r="C267">
        <v>25</v>
      </c>
      <c r="D267">
        <v>1</v>
      </c>
      <c r="E267" t="s">
        <v>15</v>
      </c>
      <c r="F267" s="10">
        <f t="shared" si="8"/>
        <v>418</v>
      </c>
      <c r="G267" s="14">
        <f t="shared" si="9"/>
        <v>1492.5</v>
      </c>
    </row>
    <row r="268" spans="1:7" x14ac:dyDescent="0.3">
      <c r="A268" s="7">
        <v>1423</v>
      </c>
      <c r="B268">
        <v>0</v>
      </c>
      <c r="C268">
        <v>15</v>
      </c>
      <c r="D268">
        <v>3</v>
      </c>
      <c r="E268" t="s">
        <v>18</v>
      </c>
      <c r="F268" s="10">
        <f t="shared" si="8"/>
        <v>0</v>
      </c>
      <c r="G268" s="14">
        <f t="shared" si="9"/>
        <v>213.45</v>
      </c>
    </row>
    <row r="269" spans="1:7" x14ac:dyDescent="0.3">
      <c r="A269" s="7">
        <v>5330</v>
      </c>
      <c r="B269">
        <v>10</v>
      </c>
      <c r="C269">
        <v>5</v>
      </c>
      <c r="D269">
        <v>1</v>
      </c>
      <c r="E269" t="s">
        <v>16</v>
      </c>
      <c r="F269" s="10">
        <f t="shared" si="8"/>
        <v>533</v>
      </c>
      <c r="G269" s="14">
        <f t="shared" si="9"/>
        <v>266.5</v>
      </c>
    </row>
    <row r="270" spans="1:7" x14ac:dyDescent="0.3">
      <c r="A270" s="7">
        <v>4730</v>
      </c>
      <c r="B270">
        <v>13</v>
      </c>
      <c r="C270">
        <v>15</v>
      </c>
      <c r="D270">
        <v>1</v>
      </c>
      <c r="E270" t="s">
        <v>20</v>
      </c>
      <c r="F270" s="10">
        <f t="shared" si="8"/>
        <v>615</v>
      </c>
      <c r="G270" s="14">
        <f t="shared" si="9"/>
        <v>709.5</v>
      </c>
    </row>
    <row r="271" spans="1:7" x14ac:dyDescent="0.3">
      <c r="A271" s="7">
        <v>789</v>
      </c>
      <c r="B271">
        <v>10</v>
      </c>
      <c r="C271">
        <v>40</v>
      </c>
      <c r="D271">
        <v>8</v>
      </c>
      <c r="E271" t="s">
        <v>15</v>
      </c>
      <c r="F271" s="10">
        <f t="shared" si="8"/>
        <v>79</v>
      </c>
      <c r="G271" s="14">
        <f t="shared" si="9"/>
        <v>315.60000000000002</v>
      </c>
    </row>
    <row r="272" spans="1:7" x14ac:dyDescent="0.3">
      <c r="A272" s="7">
        <v>773</v>
      </c>
      <c r="B272">
        <v>6</v>
      </c>
      <c r="C272">
        <v>45</v>
      </c>
      <c r="D272">
        <v>8</v>
      </c>
      <c r="E272" t="s">
        <v>18</v>
      </c>
      <c r="F272" s="10">
        <f t="shared" si="8"/>
        <v>47</v>
      </c>
      <c r="G272" s="14">
        <f t="shared" si="9"/>
        <v>347.85</v>
      </c>
    </row>
    <row r="273" spans="1:7" x14ac:dyDescent="0.3">
      <c r="A273" s="7">
        <v>6380</v>
      </c>
      <c r="B273">
        <v>14</v>
      </c>
      <c r="C273">
        <v>5</v>
      </c>
      <c r="D273">
        <v>1</v>
      </c>
      <c r="E273" t="s">
        <v>15</v>
      </c>
      <c r="F273" s="10">
        <f t="shared" si="8"/>
        <v>894</v>
      </c>
      <c r="G273" s="14">
        <f t="shared" si="9"/>
        <v>319</v>
      </c>
    </row>
    <row r="274" spans="1:7" x14ac:dyDescent="0.3">
      <c r="A274" s="7">
        <v>459</v>
      </c>
      <c r="B274">
        <v>13</v>
      </c>
      <c r="C274">
        <v>30</v>
      </c>
      <c r="D274">
        <v>10</v>
      </c>
      <c r="E274" t="s">
        <v>17</v>
      </c>
      <c r="F274" s="10">
        <f t="shared" si="8"/>
        <v>60</v>
      </c>
      <c r="G274" s="14">
        <f t="shared" si="9"/>
        <v>137.69999999999999</v>
      </c>
    </row>
    <row r="275" spans="1:7" x14ac:dyDescent="0.3">
      <c r="A275" s="7">
        <v>6360</v>
      </c>
      <c r="B275">
        <v>1</v>
      </c>
      <c r="C275">
        <v>20</v>
      </c>
      <c r="D275">
        <v>1</v>
      </c>
      <c r="E275" t="s">
        <v>16</v>
      </c>
      <c r="F275" s="10">
        <f t="shared" si="8"/>
        <v>64</v>
      </c>
      <c r="G275" s="14">
        <f t="shared" si="9"/>
        <v>1272</v>
      </c>
    </row>
    <row r="276" spans="1:7" x14ac:dyDescent="0.3">
      <c r="A276" s="7">
        <v>3355</v>
      </c>
      <c r="B276">
        <v>14</v>
      </c>
      <c r="C276">
        <v>25</v>
      </c>
      <c r="D276">
        <v>2</v>
      </c>
      <c r="E276" t="s">
        <v>21</v>
      </c>
      <c r="F276" s="10">
        <f t="shared" si="8"/>
        <v>470</v>
      </c>
      <c r="G276" s="14">
        <f t="shared" si="9"/>
        <v>838.75</v>
      </c>
    </row>
    <row r="277" spans="1:7" x14ac:dyDescent="0.3">
      <c r="A277" s="7">
        <v>1200</v>
      </c>
      <c r="B277">
        <v>9</v>
      </c>
      <c r="C277">
        <v>10</v>
      </c>
      <c r="D277">
        <v>3</v>
      </c>
      <c r="E277" t="s">
        <v>21</v>
      </c>
      <c r="F277" s="10">
        <f t="shared" si="8"/>
        <v>108</v>
      </c>
      <c r="G277" s="14">
        <f t="shared" si="9"/>
        <v>120</v>
      </c>
    </row>
    <row r="278" spans="1:7" x14ac:dyDescent="0.3">
      <c r="A278" s="7">
        <v>763</v>
      </c>
      <c r="B278">
        <v>10</v>
      </c>
      <c r="C278">
        <v>25</v>
      </c>
      <c r="D278">
        <v>4</v>
      </c>
      <c r="E278" t="s">
        <v>19</v>
      </c>
      <c r="F278" s="10">
        <f t="shared" si="8"/>
        <v>77</v>
      </c>
      <c r="G278" s="14">
        <f t="shared" si="9"/>
        <v>190.75</v>
      </c>
    </row>
    <row r="279" spans="1:7" x14ac:dyDescent="0.3">
      <c r="A279" s="7">
        <v>3180</v>
      </c>
      <c r="B279">
        <v>8</v>
      </c>
      <c r="C279">
        <v>35</v>
      </c>
      <c r="D279">
        <v>1</v>
      </c>
      <c r="E279" t="s">
        <v>17</v>
      </c>
      <c r="F279" s="10">
        <f t="shared" si="8"/>
        <v>255</v>
      </c>
      <c r="G279" s="14">
        <f t="shared" si="9"/>
        <v>1113</v>
      </c>
    </row>
    <row r="280" spans="1:7" x14ac:dyDescent="0.3">
      <c r="A280" s="7">
        <v>1013.3</v>
      </c>
      <c r="B280">
        <v>0</v>
      </c>
      <c r="C280">
        <v>35</v>
      </c>
      <c r="D280">
        <v>3</v>
      </c>
      <c r="E280" t="s">
        <v>21</v>
      </c>
      <c r="F280" s="10">
        <f t="shared" si="8"/>
        <v>0</v>
      </c>
      <c r="G280" s="14">
        <f t="shared" si="9"/>
        <v>354.66</v>
      </c>
    </row>
    <row r="281" spans="1:7" x14ac:dyDescent="0.3">
      <c r="A281" s="7">
        <v>5100</v>
      </c>
      <c r="B281">
        <v>9</v>
      </c>
      <c r="C281">
        <v>45</v>
      </c>
      <c r="D281">
        <v>1</v>
      </c>
      <c r="E281" t="s">
        <v>17</v>
      </c>
      <c r="F281" s="10">
        <f t="shared" si="8"/>
        <v>459</v>
      </c>
      <c r="G281" s="14">
        <f t="shared" si="9"/>
        <v>2295</v>
      </c>
    </row>
    <row r="282" spans="1:7" x14ac:dyDescent="0.3">
      <c r="A282" s="7">
        <v>1657</v>
      </c>
      <c r="B282">
        <v>3</v>
      </c>
      <c r="C282">
        <v>20</v>
      </c>
      <c r="D282">
        <v>3</v>
      </c>
      <c r="E282" t="s">
        <v>18</v>
      </c>
      <c r="F282" s="10">
        <f t="shared" si="8"/>
        <v>50</v>
      </c>
      <c r="G282" s="14">
        <f t="shared" si="9"/>
        <v>331.4</v>
      </c>
    </row>
    <row r="283" spans="1:7" x14ac:dyDescent="0.3">
      <c r="A283" s="7">
        <v>5470</v>
      </c>
      <c r="B283">
        <v>15</v>
      </c>
      <c r="C283">
        <v>5</v>
      </c>
      <c r="D283">
        <v>1</v>
      </c>
      <c r="E283" t="s">
        <v>16</v>
      </c>
      <c r="F283" s="10">
        <f t="shared" si="8"/>
        <v>821</v>
      </c>
      <c r="G283" s="14">
        <f t="shared" si="9"/>
        <v>273.5</v>
      </c>
    </row>
    <row r="284" spans="1:7" x14ac:dyDescent="0.3">
      <c r="A284" s="7">
        <v>296</v>
      </c>
      <c r="B284">
        <v>20</v>
      </c>
      <c r="C284">
        <v>15</v>
      </c>
      <c r="D284">
        <v>10</v>
      </c>
      <c r="E284" t="s">
        <v>17</v>
      </c>
      <c r="F284" s="10">
        <f t="shared" si="8"/>
        <v>60</v>
      </c>
      <c r="G284" s="14">
        <f t="shared" si="9"/>
        <v>44.4</v>
      </c>
    </row>
    <row r="285" spans="1:7" x14ac:dyDescent="0.3">
      <c r="A285" s="7">
        <v>2313</v>
      </c>
      <c r="B285">
        <v>5</v>
      </c>
      <c r="C285">
        <v>25</v>
      </c>
      <c r="D285">
        <v>3</v>
      </c>
      <c r="E285" t="s">
        <v>18</v>
      </c>
      <c r="F285" s="10">
        <f t="shared" si="8"/>
        <v>116</v>
      </c>
      <c r="G285" s="14">
        <f t="shared" si="9"/>
        <v>578.25</v>
      </c>
    </row>
    <row r="286" spans="1:7" x14ac:dyDescent="0.3">
      <c r="A286" s="7">
        <v>4100</v>
      </c>
      <c r="B286">
        <v>14</v>
      </c>
      <c r="C286">
        <v>30</v>
      </c>
      <c r="D286">
        <v>1</v>
      </c>
      <c r="E286" t="s">
        <v>21</v>
      </c>
      <c r="F286" s="10">
        <f t="shared" si="8"/>
        <v>574</v>
      </c>
      <c r="G286" s="14">
        <f t="shared" si="9"/>
        <v>1230</v>
      </c>
    </row>
    <row r="287" spans="1:7" x14ac:dyDescent="0.3">
      <c r="A287" s="7">
        <v>914</v>
      </c>
      <c r="B287">
        <v>8</v>
      </c>
      <c r="C287">
        <v>30</v>
      </c>
      <c r="D287">
        <v>7</v>
      </c>
      <c r="E287" t="s">
        <v>15</v>
      </c>
      <c r="F287" s="10">
        <f t="shared" si="8"/>
        <v>74</v>
      </c>
      <c r="G287" s="14">
        <f t="shared" si="9"/>
        <v>274.2</v>
      </c>
    </row>
    <row r="288" spans="1:7" x14ac:dyDescent="0.3">
      <c r="A288" s="7">
        <v>4920</v>
      </c>
      <c r="B288">
        <v>6</v>
      </c>
      <c r="C288">
        <v>25</v>
      </c>
      <c r="D288">
        <v>1</v>
      </c>
      <c r="E288" t="s">
        <v>19</v>
      </c>
      <c r="F288" s="10">
        <f t="shared" si="8"/>
        <v>296</v>
      </c>
      <c r="G288" s="14">
        <f t="shared" si="9"/>
        <v>1230</v>
      </c>
    </row>
    <row r="289" spans="1:7" x14ac:dyDescent="0.3">
      <c r="A289" s="7">
        <v>574</v>
      </c>
      <c r="B289">
        <v>5</v>
      </c>
      <c r="C289">
        <v>40</v>
      </c>
      <c r="D289">
        <v>7</v>
      </c>
      <c r="E289" t="s">
        <v>15</v>
      </c>
      <c r="F289" s="10">
        <f t="shared" si="8"/>
        <v>29</v>
      </c>
      <c r="G289" s="14">
        <f t="shared" si="9"/>
        <v>229.6</v>
      </c>
    </row>
    <row r="290" spans="1:7" x14ac:dyDescent="0.3">
      <c r="A290" s="7">
        <v>1880</v>
      </c>
      <c r="B290">
        <v>8</v>
      </c>
      <c r="C290">
        <v>50</v>
      </c>
      <c r="D290">
        <v>3</v>
      </c>
      <c r="E290" t="s">
        <v>15</v>
      </c>
      <c r="F290" s="10">
        <f t="shared" si="8"/>
        <v>151</v>
      </c>
      <c r="G290" s="14">
        <f t="shared" si="9"/>
        <v>940</v>
      </c>
    </row>
    <row r="291" spans="1:7" x14ac:dyDescent="0.3">
      <c r="A291" s="7">
        <v>5090</v>
      </c>
      <c r="B291">
        <v>11</v>
      </c>
      <c r="C291">
        <v>0</v>
      </c>
      <c r="D291">
        <v>1</v>
      </c>
      <c r="E291" t="s">
        <v>20</v>
      </c>
      <c r="F291" s="10">
        <f t="shared" si="8"/>
        <v>560</v>
      </c>
      <c r="G291" s="14">
        <f t="shared" si="9"/>
        <v>0</v>
      </c>
    </row>
    <row r="292" spans="1:7" x14ac:dyDescent="0.3">
      <c r="A292" s="7">
        <v>2950</v>
      </c>
      <c r="B292">
        <v>10</v>
      </c>
      <c r="C292">
        <v>25</v>
      </c>
      <c r="D292">
        <v>1</v>
      </c>
      <c r="E292" t="s">
        <v>21</v>
      </c>
      <c r="F292" s="10">
        <f t="shared" si="8"/>
        <v>295</v>
      </c>
      <c r="G292" s="14">
        <f t="shared" si="9"/>
        <v>737.5</v>
      </c>
    </row>
    <row r="293" spans="1:7" x14ac:dyDescent="0.3">
      <c r="A293" s="7">
        <v>409</v>
      </c>
      <c r="B293">
        <v>12</v>
      </c>
      <c r="C293">
        <v>40</v>
      </c>
      <c r="D293">
        <v>10</v>
      </c>
      <c r="E293" t="s">
        <v>21</v>
      </c>
      <c r="F293" s="10">
        <f t="shared" si="8"/>
        <v>50</v>
      </c>
      <c r="G293" s="14">
        <f t="shared" si="9"/>
        <v>163.6</v>
      </c>
    </row>
    <row r="294" spans="1:7" x14ac:dyDescent="0.3">
      <c r="A294" s="7">
        <v>997</v>
      </c>
      <c r="B294">
        <v>2</v>
      </c>
      <c r="C294">
        <v>35</v>
      </c>
      <c r="D294">
        <v>3</v>
      </c>
      <c r="E294" t="s">
        <v>19</v>
      </c>
      <c r="F294" s="10">
        <f t="shared" si="8"/>
        <v>20</v>
      </c>
      <c r="G294" s="14">
        <f t="shared" si="9"/>
        <v>348.95</v>
      </c>
    </row>
    <row r="295" spans="1:7" x14ac:dyDescent="0.3">
      <c r="A295" s="7">
        <v>993</v>
      </c>
      <c r="B295">
        <v>19</v>
      </c>
      <c r="C295">
        <v>10</v>
      </c>
      <c r="D295">
        <v>6</v>
      </c>
      <c r="E295" t="s">
        <v>19</v>
      </c>
      <c r="F295" s="10">
        <f t="shared" si="8"/>
        <v>189</v>
      </c>
      <c r="G295" s="14">
        <f t="shared" si="9"/>
        <v>99.3</v>
      </c>
    </row>
    <row r="296" spans="1:7" x14ac:dyDescent="0.3">
      <c r="A296" s="7">
        <v>1017</v>
      </c>
      <c r="B296">
        <v>4</v>
      </c>
      <c r="C296">
        <v>5</v>
      </c>
      <c r="D296">
        <v>6</v>
      </c>
      <c r="E296" t="s">
        <v>20</v>
      </c>
      <c r="F296" s="10">
        <f t="shared" si="8"/>
        <v>41</v>
      </c>
      <c r="G296" s="14">
        <f t="shared" si="9"/>
        <v>50.85</v>
      </c>
    </row>
    <row r="297" spans="1:7" x14ac:dyDescent="0.3">
      <c r="A297" s="7">
        <v>683</v>
      </c>
      <c r="B297">
        <v>8</v>
      </c>
      <c r="C297">
        <v>5</v>
      </c>
      <c r="D297">
        <v>10</v>
      </c>
      <c r="E297" t="s">
        <v>20</v>
      </c>
      <c r="F297" s="10">
        <f t="shared" si="8"/>
        <v>55</v>
      </c>
      <c r="G297" s="14">
        <f t="shared" si="9"/>
        <v>34.15</v>
      </c>
    </row>
    <row r="298" spans="1:7" x14ac:dyDescent="0.3">
      <c r="A298" s="7">
        <v>880</v>
      </c>
      <c r="B298">
        <v>17</v>
      </c>
      <c r="C298">
        <v>10</v>
      </c>
      <c r="D298">
        <v>7</v>
      </c>
      <c r="E298" t="s">
        <v>20</v>
      </c>
      <c r="F298" s="10">
        <f t="shared" si="8"/>
        <v>150</v>
      </c>
      <c r="G298" s="14">
        <f t="shared" si="9"/>
        <v>88</v>
      </c>
    </row>
    <row r="299" spans="1:7" x14ac:dyDescent="0.3">
      <c r="A299" s="7">
        <v>576</v>
      </c>
      <c r="B299">
        <v>3</v>
      </c>
      <c r="C299">
        <v>20</v>
      </c>
      <c r="D299">
        <v>8</v>
      </c>
      <c r="E299" t="s">
        <v>19</v>
      </c>
      <c r="F299" s="10">
        <f t="shared" si="8"/>
        <v>18</v>
      </c>
      <c r="G299" s="14">
        <f t="shared" si="9"/>
        <v>115.2</v>
      </c>
    </row>
    <row r="300" spans="1:7" x14ac:dyDescent="0.3">
      <c r="A300" s="7">
        <v>281</v>
      </c>
      <c r="B300">
        <v>0</v>
      </c>
      <c r="C300">
        <v>50</v>
      </c>
      <c r="D300">
        <v>10</v>
      </c>
      <c r="E300" t="s">
        <v>19</v>
      </c>
      <c r="F300" s="10">
        <f t="shared" si="8"/>
        <v>0</v>
      </c>
      <c r="G300" s="14">
        <f t="shared" si="9"/>
        <v>140.5</v>
      </c>
    </row>
    <row r="301" spans="1:7" x14ac:dyDescent="0.3">
      <c r="A301" s="7">
        <v>434</v>
      </c>
      <c r="B301">
        <v>19</v>
      </c>
      <c r="C301">
        <v>15</v>
      </c>
      <c r="D301">
        <v>9</v>
      </c>
      <c r="E301" t="s">
        <v>15</v>
      </c>
      <c r="F301" s="10">
        <f t="shared" si="8"/>
        <v>83</v>
      </c>
      <c r="G301" s="14">
        <f t="shared" si="9"/>
        <v>65.099999999999994</v>
      </c>
    </row>
    <row r="302" spans="1:7" x14ac:dyDescent="0.3">
      <c r="A302" s="7">
        <v>1473</v>
      </c>
      <c r="B302">
        <v>1</v>
      </c>
      <c r="C302">
        <v>5</v>
      </c>
      <c r="D302">
        <v>4</v>
      </c>
      <c r="E302" t="s">
        <v>21</v>
      </c>
      <c r="F302" s="10">
        <f t="shared" si="8"/>
        <v>15</v>
      </c>
      <c r="G302" s="14">
        <f t="shared" si="9"/>
        <v>73.650000000000006</v>
      </c>
    </row>
    <row r="303" spans="1:7" x14ac:dyDescent="0.3">
      <c r="A303" s="7">
        <v>618</v>
      </c>
      <c r="B303">
        <v>4</v>
      </c>
      <c r="C303">
        <v>15</v>
      </c>
      <c r="D303">
        <v>9</v>
      </c>
      <c r="E303" t="s">
        <v>18</v>
      </c>
      <c r="F303" s="10">
        <f t="shared" si="8"/>
        <v>25</v>
      </c>
      <c r="G303" s="14">
        <f t="shared" si="9"/>
        <v>92.7</v>
      </c>
    </row>
    <row r="304" spans="1:7" x14ac:dyDescent="0.3">
      <c r="A304" s="7">
        <v>401.9</v>
      </c>
      <c r="B304">
        <v>13</v>
      </c>
      <c r="C304">
        <v>5</v>
      </c>
      <c r="D304">
        <v>10</v>
      </c>
      <c r="E304" t="s">
        <v>20</v>
      </c>
      <c r="F304" s="10">
        <f t="shared" si="8"/>
        <v>53</v>
      </c>
      <c r="G304" s="14">
        <f t="shared" si="9"/>
        <v>20.100000000000001</v>
      </c>
    </row>
    <row r="305" spans="1:7" x14ac:dyDescent="0.3">
      <c r="A305" s="7">
        <v>905</v>
      </c>
      <c r="B305">
        <v>2</v>
      </c>
      <c r="C305">
        <v>15</v>
      </c>
      <c r="D305">
        <v>4</v>
      </c>
      <c r="E305" t="s">
        <v>21</v>
      </c>
      <c r="F305" s="10">
        <f t="shared" si="8"/>
        <v>19</v>
      </c>
      <c r="G305" s="14">
        <f t="shared" si="9"/>
        <v>135.75</v>
      </c>
    </row>
    <row r="306" spans="1:7" x14ac:dyDescent="0.3">
      <c r="A306" s="7">
        <v>1900</v>
      </c>
      <c r="B306">
        <v>15</v>
      </c>
      <c r="C306">
        <v>0</v>
      </c>
      <c r="D306">
        <v>2</v>
      </c>
      <c r="E306" t="s">
        <v>15</v>
      </c>
      <c r="F306" s="10">
        <f t="shared" si="8"/>
        <v>285</v>
      </c>
      <c r="G306" s="14">
        <f t="shared" si="9"/>
        <v>0</v>
      </c>
    </row>
    <row r="307" spans="1:7" x14ac:dyDescent="0.3">
      <c r="A307" s="7">
        <v>2100</v>
      </c>
      <c r="B307">
        <v>17</v>
      </c>
      <c r="C307">
        <v>5</v>
      </c>
      <c r="D307">
        <v>2</v>
      </c>
      <c r="E307" t="s">
        <v>15</v>
      </c>
      <c r="F307" s="10">
        <f t="shared" si="8"/>
        <v>357</v>
      </c>
      <c r="G307" s="14">
        <f t="shared" si="9"/>
        <v>105</v>
      </c>
    </row>
    <row r="308" spans="1:7" x14ac:dyDescent="0.3">
      <c r="A308" s="7">
        <v>1847</v>
      </c>
      <c r="B308">
        <v>16</v>
      </c>
      <c r="C308">
        <v>15</v>
      </c>
      <c r="D308">
        <v>3</v>
      </c>
      <c r="E308" t="s">
        <v>17</v>
      </c>
      <c r="F308" s="10">
        <f t="shared" si="8"/>
        <v>296</v>
      </c>
      <c r="G308" s="14">
        <f t="shared" si="9"/>
        <v>277.05</v>
      </c>
    </row>
    <row r="309" spans="1:7" x14ac:dyDescent="0.3">
      <c r="A309" s="7">
        <v>3600</v>
      </c>
      <c r="B309">
        <v>12</v>
      </c>
      <c r="C309">
        <v>5</v>
      </c>
      <c r="D309">
        <v>1</v>
      </c>
      <c r="E309" t="s">
        <v>17</v>
      </c>
      <c r="F309" s="10">
        <f t="shared" si="8"/>
        <v>432</v>
      </c>
      <c r="G309" s="14">
        <f t="shared" si="9"/>
        <v>180</v>
      </c>
    </row>
    <row r="310" spans="1:7" x14ac:dyDescent="0.3">
      <c r="A310" s="7">
        <v>5880</v>
      </c>
      <c r="B310">
        <v>13</v>
      </c>
      <c r="C310">
        <v>25</v>
      </c>
      <c r="D310">
        <v>1</v>
      </c>
      <c r="E310" t="s">
        <v>18</v>
      </c>
      <c r="F310" s="10">
        <f t="shared" si="8"/>
        <v>765</v>
      </c>
      <c r="G310" s="14">
        <f t="shared" si="9"/>
        <v>1470</v>
      </c>
    </row>
    <row r="311" spans="1:7" x14ac:dyDescent="0.3">
      <c r="A311" s="7">
        <v>5140</v>
      </c>
      <c r="B311">
        <v>13</v>
      </c>
      <c r="C311">
        <v>45</v>
      </c>
      <c r="D311">
        <v>1</v>
      </c>
      <c r="E311" t="s">
        <v>16</v>
      </c>
      <c r="F311" s="10">
        <f t="shared" si="8"/>
        <v>669</v>
      </c>
      <c r="G311" s="14">
        <f t="shared" si="9"/>
        <v>2313</v>
      </c>
    </row>
    <row r="312" spans="1:7" x14ac:dyDescent="0.3">
      <c r="A312" s="7">
        <v>320</v>
      </c>
      <c r="B312">
        <v>19</v>
      </c>
      <c r="C312">
        <v>25</v>
      </c>
      <c r="D312">
        <v>9</v>
      </c>
      <c r="E312" t="s">
        <v>21</v>
      </c>
      <c r="F312" s="10">
        <f t="shared" si="8"/>
        <v>61</v>
      </c>
      <c r="G312" s="14">
        <f t="shared" si="9"/>
        <v>80</v>
      </c>
    </row>
    <row r="313" spans="1:7" x14ac:dyDescent="0.3">
      <c r="A313" s="7">
        <v>819</v>
      </c>
      <c r="B313">
        <v>12</v>
      </c>
      <c r="C313">
        <v>20</v>
      </c>
      <c r="D313">
        <v>7</v>
      </c>
      <c r="E313" t="s">
        <v>16</v>
      </c>
      <c r="F313" s="10">
        <f t="shared" si="8"/>
        <v>99</v>
      </c>
      <c r="G313" s="14">
        <f t="shared" si="9"/>
        <v>163.80000000000001</v>
      </c>
    </row>
    <row r="314" spans="1:7" x14ac:dyDescent="0.3">
      <c r="A314" s="7">
        <v>6370</v>
      </c>
      <c r="B314">
        <v>13</v>
      </c>
      <c r="C314">
        <v>45</v>
      </c>
      <c r="D314">
        <v>1</v>
      </c>
      <c r="E314" t="s">
        <v>20</v>
      </c>
      <c r="F314" s="10">
        <f t="shared" si="8"/>
        <v>829</v>
      </c>
      <c r="G314" s="14">
        <f t="shared" si="9"/>
        <v>2866.5</v>
      </c>
    </row>
    <row r="315" spans="1:7" x14ac:dyDescent="0.3">
      <c r="A315" s="7">
        <v>4770</v>
      </c>
      <c r="B315">
        <v>3</v>
      </c>
      <c r="C315">
        <v>35</v>
      </c>
      <c r="D315">
        <v>1</v>
      </c>
      <c r="E315" t="s">
        <v>17</v>
      </c>
      <c r="F315" s="10">
        <f t="shared" si="8"/>
        <v>144</v>
      </c>
      <c r="G315" s="14">
        <f t="shared" si="9"/>
        <v>1669.5</v>
      </c>
    </row>
    <row r="316" spans="1:7" x14ac:dyDescent="0.3">
      <c r="A316" s="7">
        <v>377</v>
      </c>
      <c r="B316">
        <v>20</v>
      </c>
      <c r="C316">
        <v>25</v>
      </c>
      <c r="D316">
        <v>9</v>
      </c>
      <c r="E316" t="s">
        <v>18</v>
      </c>
      <c r="F316" s="10">
        <f t="shared" si="8"/>
        <v>76</v>
      </c>
      <c r="G316" s="14">
        <f t="shared" si="9"/>
        <v>94.25</v>
      </c>
    </row>
    <row r="317" spans="1:7" x14ac:dyDescent="0.3">
      <c r="A317" s="7">
        <v>6690</v>
      </c>
      <c r="B317">
        <v>2</v>
      </c>
      <c r="C317">
        <v>20</v>
      </c>
      <c r="D317">
        <v>1</v>
      </c>
      <c r="E317" t="s">
        <v>16</v>
      </c>
      <c r="F317" s="10">
        <f t="shared" si="8"/>
        <v>134</v>
      </c>
      <c r="G317" s="14">
        <f t="shared" si="9"/>
        <v>1338</v>
      </c>
    </row>
    <row r="318" spans="1:7" x14ac:dyDescent="0.3">
      <c r="A318" s="7">
        <v>2790</v>
      </c>
      <c r="B318">
        <v>16</v>
      </c>
      <c r="C318">
        <v>40</v>
      </c>
      <c r="D318">
        <v>1</v>
      </c>
      <c r="E318" t="s">
        <v>20</v>
      </c>
      <c r="F318" s="10">
        <f t="shared" si="8"/>
        <v>447</v>
      </c>
      <c r="G318" s="14">
        <f t="shared" si="9"/>
        <v>1116</v>
      </c>
    </row>
    <row r="319" spans="1:7" x14ac:dyDescent="0.3">
      <c r="A319" s="7">
        <v>6090</v>
      </c>
      <c r="B319">
        <v>17</v>
      </c>
      <c r="C319">
        <v>50</v>
      </c>
      <c r="D319">
        <v>1</v>
      </c>
      <c r="E319" t="s">
        <v>19</v>
      </c>
      <c r="F319" s="10">
        <f t="shared" si="8"/>
        <v>1036</v>
      </c>
      <c r="G319" s="14">
        <f t="shared" si="9"/>
        <v>3045</v>
      </c>
    </row>
    <row r="320" spans="1:7" x14ac:dyDescent="0.3">
      <c r="A320" s="7">
        <v>1158</v>
      </c>
      <c r="B320">
        <v>14</v>
      </c>
      <c r="C320">
        <v>40</v>
      </c>
      <c r="D320">
        <v>4</v>
      </c>
      <c r="E320" t="s">
        <v>18</v>
      </c>
      <c r="F320" s="10">
        <f t="shared" si="8"/>
        <v>163</v>
      </c>
      <c r="G320" s="14">
        <f t="shared" si="9"/>
        <v>463.2</v>
      </c>
    </row>
    <row r="321" spans="1:7" x14ac:dyDescent="0.3">
      <c r="A321" s="7">
        <v>5440</v>
      </c>
      <c r="B321">
        <v>6</v>
      </c>
      <c r="C321">
        <v>30</v>
      </c>
      <c r="D321">
        <v>1</v>
      </c>
      <c r="E321" t="s">
        <v>17</v>
      </c>
      <c r="F321" s="10">
        <f t="shared" si="8"/>
        <v>327</v>
      </c>
      <c r="G321" s="14">
        <f t="shared" si="9"/>
        <v>1632</v>
      </c>
    </row>
    <row r="322" spans="1:7" x14ac:dyDescent="0.3">
      <c r="A322" s="7">
        <v>471</v>
      </c>
      <c r="B322">
        <v>5</v>
      </c>
      <c r="C322">
        <v>35</v>
      </c>
      <c r="D322">
        <v>10</v>
      </c>
      <c r="E322" t="s">
        <v>20</v>
      </c>
      <c r="F322" s="10">
        <f t="shared" si="8"/>
        <v>24</v>
      </c>
      <c r="G322" s="14">
        <f t="shared" si="9"/>
        <v>164.85</v>
      </c>
    </row>
    <row r="323" spans="1:7" x14ac:dyDescent="0.3">
      <c r="A323" s="7">
        <v>340</v>
      </c>
      <c r="B323">
        <v>5</v>
      </c>
      <c r="C323">
        <v>10</v>
      </c>
      <c r="D323">
        <v>10</v>
      </c>
      <c r="E323" t="s">
        <v>15</v>
      </c>
      <c r="F323" s="10">
        <f t="shared" ref="F323:F386" si="10">ROUNDUP(0.01*B323*A323,0)</f>
        <v>17</v>
      </c>
      <c r="G323" s="14">
        <f t="shared" ref="G323:G386" si="11">ROUND(C323/100*A323,2)</f>
        <v>34</v>
      </c>
    </row>
    <row r="324" spans="1:7" x14ac:dyDescent="0.3">
      <c r="A324" s="7">
        <v>1825</v>
      </c>
      <c r="B324">
        <v>19</v>
      </c>
      <c r="C324">
        <v>15</v>
      </c>
      <c r="D324">
        <v>2</v>
      </c>
      <c r="E324" t="s">
        <v>16</v>
      </c>
      <c r="F324" s="10">
        <f t="shared" si="10"/>
        <v>347</v>
      </c>
      <c r="G324" s="14">
        <f t="shared" si="11"/>
        <v>273.75</v>
      </c>
    </row>
    <row r="325" spans="1:7" x14ac:dyDescent="0.3">
      <c r="A325" s="7">
        <v>1510</v>
      </c>
      <c r="B325">
        <v>10</v>
      </c>
      <c r="C325">
        <v>20</v>
      </c>
      <c r="D325">
        <v>2</v>
      </c>
      <c r="E325" t="s">
        <v>15</v>
      </c>
      <c r="F325" s="10">
        <f t="shared" si="10"/>
        <v>151</v>
      </c>
      <c r="G325" s="14">
        <f t="shared" si="11"/>
        <v>302</v>
      </c>
    </row>
    <row r="326" spans="1:7" x14ac:dyDescent="0.3">
      <c r="A326" s="7">
        <v>1175</v>
      </c>
      <c r="B326">
        <v>14</v>
      </c>
      <c r="C326">
        <v>30</v>
      </c>
      <c r="D326">
        <v>4</v>
      </c>
      <c r="E326" t="s">
        <v>17</v>
      </c>
      <c r="F326" s="10">
        <f t="shared" si="10"/>
        <v>165</v>
      </c>
      <c r="G326" s="14">
        <f t="shared" si="11"/>
        <v>352.5</v>
      </c>
    </row>
    <row r="327" spans="1:7" x14ac:dyDescent="0.3">
      <c r="A327" s="7">
        <v>3780</v>
      </c>
      <c r="B327">
        <v>19</v>
      </c>
      <c r="C327">
        <v>15</v>
      </c>
      <c r="D327">
        <v>1</v>
      </c>
      <c r="E327" t="s">
        <v>18</v>
      </c>
      <c r="F327" s="10">
        <f t="shared" si="10"/>
        <v>719</v>
      </c>
      <c r="G327" s="14">
        <f t="shared" si="11"/>
        <v>567</v>
      </c>
    </row>
    <row r="328" spans="1:7" x14ac:dyDescent="0.3">
      <c r="A328" s="7">
        <v>2915</v>
      </c>
      <c r="B328">
        <v>15</v>
      </c>
      <c r="C328">
        <v>45</v>
      </c>
      <c r="D328">
        <v>2</v>
      </c>
      <c r="E328" t="s">
        <v>20</v>
      </c>
      <c r="F328" s="10">
        <f t="shared" si="10"/>
        <v>438</v>
      </c>
      <c r="G328" s="14">
        <f t="shared" si="11"/>
        <v>1311.75</v>
      </c>
    </row>
    <row r="329" spans="1:7" x14ac:dyDescent="0.3">
      <c r="A329" s="7">
        <v>4220</v>
      </c>
      <c r="B329">
        <v>6</v>
      </c>
      <c r="C329">
        <v>50</v>
      </c>
      <c r="D329">
        <v>1</v>
      </c>
      <c r="E329" t="s">
        <v>17</v>
      </c>
      <c r="F329" s="10">
        <f t="shared" si="10"/>
        <v>254</v>
      </c>
      <c r="G329" s="14">
        <f t="shared" si="11"/>
        <v>2110</v>
      </c>
    </row>
    <row r="330" spans="1:7" x14ac:dyDescent="0.3">
      <c r="A330" s="7">
        <v>552</v>
      </c>
      <c r="B330">
        <v>18</v>
      </c>
      <c r="C330">
        <v>25</v>
      </c>
      <c r="D330">
        <v>5</v>
      </c>
      <c r="E330" t="s">
        <v>19</v>
      </c>
      <c r="F330" s="10">
        <f t="shared" si="10"/>
        <v>100</v>
      </c>
      <c r="G330" s="14">
        <f t="shared" si="11"/>
        <v>138</v>
      </c>
    </row>
    <row r="331" spans="1:7" x14ac:dyDescent="0.3">
      <c r="A331" s="7">
        <v>6160</v>
      </c>
      <c r="B331">
        <v>5</v>
      </c>
      <c r="C331">
        <v>20</v>
      </c>
      <c r="D331">
        <v>1</v>
      </c>
      <c r="E331" t="s">
        <v>20</v>
      </c>
      <c r="F331" s="10">
        <f t="shared" si="10"/>
        <v>308</v>
      </c>
      <c r="G331" s="14">
        <f t="shared" si="11"/>
        <v>1232</v>
      </c>
    </row>
    <row r="332" spans="1:7" x14ac:dyDescent="0.3">
      <c r="A332" s="7">
        <v>1437</v>
      </c>
      <c r="B332">
        <v>9</v>
      </c>
      <c r="C332">
        <v>40</v>
      </c>
      <c r="D332">
        <v>3</v>
      </c>
      <c r="E332" t="s">
        <v>20</v>
      </c>
      <c r="F332" s="10">
        <f t="shared" si="10"/>
        <v>130</v>
      </c>
      <c r="G332" s="14">
        <f t="shared" si="11"/>
        <v>574.79999999999995</v>
      </c>
    </row>
    <row r="333" spans="1:7" x14ac:dyDescent="0.3">
      <c r="A333" s="7">
        <v>952</v>
      </c>
      <c r="B333">
        <v>5</v>
      </c>
      <c r="C333">
        <v>45</v>
      </c>
      <c r="D333">
        <v>6</v>
      </c>
      <c r="E333" t="s">
        <v>19</v>
      </c>
      <c r="F333" s="10">
        <f t="shared" si="10"/>
        <v>48</v>
      </c>
      <c r="G333" s="14">
        <f t="shared" si="11"/>
        <v>428.4</v>
      </c>
    </row>
    <row r="334" spans="1:7" x14ac:dyDescent="0.3">
      <c r="A334" s="7">
        <v>404</v>
      </c>
      <c r="B334">
        <v>14</v>
      </c>
      <c r="C334">
        <v>20</v>
      </c>
      <c r="D334">
        <v>8</v>
      </c>
      <c r="E334" t="s">
        <v>18</v>
      </c>
      <c r="F334" s="10">
        <f t="shared" si="10"/>
        <v>57</v>
      </c>
      <c r="G334" s="14">
        <f t="shared" si="11"/>
        <v>80.8</v>
      </c>
    </row>
    <row r="335" spans="1:7" x14ac:dyDescent="0.3">
      <c r="A335" s="7">
        <v>828</v>
      </c>
      <c r="B335">
        <v>11</v>
      </c>
      <c r="C335">
        <v>40</v>
      </c>
      <c r="D335">
        <v>5</v>
      </c>
      <c r="E335" t="s">
        <v>15</v>
      </c>
      <c r="F335" s="10">
        <f t="shared" si="10"/>
        <v>92</v>
      </c>
      <c r="G335" s="14">
        <f t="shared" si="11"/>
        <v>331.2</v>
      </c>
    </row>
    <row r="336" spans="1:7" x14ac:dyDescent="0.3">
      <c r="A336" s="7">
        <v>906</v>
      </c>
      <c r="B336">
        <v>17</v>
      </c>
      <c r="C336">
        <v>35</v>
      </c>
      <c r="D336">
        <v>7</v>
      </c>
      <c r="E336" t="s">
        <v>20</v>
      </c>
      <c r="F336" s="10">
        <f t="shared" si="10"/>
        <v>155</v>
      </c>
      <c r="G336" s="14">
        <f t="shared" si="11"/>
        <v>317.10000000000002</v>
      </c>
    </row>
    <row r="337" spans="1:7" x14ac:dyDescent="0.3">
      <c r="A337" s="7">
        <v>981</v>
      </c>
      <c r="B337">
        <v>11</v>
      </c>
      <c r="C337">
        <v>0</v>
      </c>
      <c r="D337">
        <v>7</v>
      </c>
      <c r="E337" t="s">
        <v>18</v>
      </c>
      <c r="F337" s="10">
        <f t="shared" si="10"/>
        <v>108</v>
      </c>
      <c r="G337" s="14">
        <f t="shared" si="11"/>
        <v>0</v>
      </c>
    </row>
    <row r="338" spans="1:7" x14ac:dyDescent="0.3">
      <c r="A338" s="7">
        <v>1510</v>
      </c>
      <c r="B338">
        <v>20</v>
      </c>
      <c r="C338">
        <v>10</v>
      </c>
      <c r="D338">
        <v>3</v>
      </c>
      <c r="E338" t="s">
        <v>20</v>
      </c>
      <c r="F338" s="10">
        <f t="shared" si="10"/>
        <v>302</v>
      </c>
      <c r="G338" s="14">
        <f t="shared" si="11"/>
        <v>151</v>
      </c>
    </row>
    <row r="339" spans="1:7" x14ac:dyDescent="0.3">
      <c r="A339" s="7">
        <v>1563</v>
      </c>
      <c r="B339">
        <v>13</v>
      </c>
      <c r="C339">
        <v>35</v>
      </c>
      <c r="D339">
        <v>4</v>
      </c>
      <c r="E339" t="s">
        <v>19</v>
      </c>
      <c r="F339" s="10">
        <f t="shared" si="10"/>
        <v>204</v>
      </c>
      <c r="G339" s="14">
        <f t="shared" si="11"/>
        <v>547.04999999999995</v>
      </c>
    </row>
    <row r="340" spans="1:7" x14ac:dyDescent="0.3">
      <c r="A340" s="7">
        <v>531</v>
      </c>
      <c r="B340">
        <v>19</v>
      </c>
      <c r="C340">
        <v>10</v>
      </c>
      <c r="D340">
        <v>7</v>
      </c>
      <c r="E340" t="s">
        <v>17</v>
      </c>
      <c r="F340" s="10">
        <f t="shared" si="10"/>
        <v>101</v>
      </c>
      <c r="G340" s="14">
        <f t="shared" si="11"/>
        <v>53.1</v>
      </c>
    </row>
    <row r="341" spans="1:7" x14ac:dyDescent="0.3">
      <c r="A341" s="7">
        <v>839</v>
      </c>
      <c r="B341">
        <v>11</v>
      </c>
      <c r="C341">
        <v>20</v>
      </c>
      <c r="D341">
        <v>8</v>
      </c>
      <c r="E341" t="s">
        <v>16</v>
      </c>
      <c r="F341" s="10">
        <f t="shared" si="10"/>
        <v>93</v>
      </c>
      <c r="G341" s="14">
        <f t="shared" si="11"/>
        <v>167.8</v>
      </c>
    </row>
    <row r="342" spans="1:7" x14ac:dyDescent="0.3">
      <c r="A342" s="7">
        <v>3650</v>
      </c>
      <c r="B342">
        <v>6</v>
      </c>
      <c r="C342">
        <v>5</v>
      </c>
      <c r="D342">
        <v>1</v>
      </c>
      <c r="E342" t="s">
        <v>17</v>
      </c>
      <c r="F342" s="10">
        <f t="shared" si="10"/>
        <v>219</v>
      </c>
      <c r="G342" s="14">
        <f t="shared" si="11"/>
        <v>182.5</v>
      </c>
    </row>
    <row r="343" spans="1:7" x14ac:dyDescent="0.3">
      <c r="A343" s="7">
        <v>1100</v>
      </c>
      <c r="B343">
        <v>4</v>
      </c>
      <c r="C343">
        <v>5</v>
      </c>
      <c r="D343">
        <v>4</v>
      </c>
      <c r="E343" t="s">
        <v>15</v>
      </c>
      <c r="F343" s="10">
        <f t="shared" si="10"/>
        <v>44</v>
      </c>
      <c r="G343" s="14">
        <f t="shared" si="11"/>
        <v>55</v>
      </c>
    </row>
    <row r="344" spans="1:7" x14ac:dyDescent="0.3">
      <c r="A344" s="7">
        <v>584</v>
      </c>
      <c r="B344">
        <v>6</v>
      </c>
      <c r="C344">
        <v>10</v>
      </c>
      <c r="D344">
        <v>8</v>
      </c>
      <c r="E344" t="s">
        <v>16</v>
      </c>
      <c r="F344" s="10">
        <f t="shared" si="10"/>
        <v>36</v>
      </c>
      <c r="G344" s="14">
        <f t="shared" si="11"/>
        <v>58.4</v>
      </c>
    </row>
    <row r="345" spans="1:7" x14ac:dyDescent="0.3">
      <c r="A345" s="7">
        <v>5250</v>
      </c>
      <c r="B345">
        <v>16</v>
      </c>
      <c r="C345">
        <v>20</v>
      </c>
      <c r="D345">
        <v>1</v>
      </c>
      <c r="E345" t="s">
        <v>21</v>
      </c>
      <c r="F345" s="10">
        <f t="shared" si="10"/>
        <v>840</v>
      </c>
      <c r="G345" s="14">
        <f t="shared" si="11"/>
        <v>1050</v>
      </c>
    </row>
    <row r="346" spans="1:7" x14ac:dyDescent="0.3">
      <c r="A346" s="7">
        <v>905</v>
      </c>
      <c r="B346">
        <v>11</v>
      </c>
      <c r="C346">
        <v>15</v>
      </c>
      <c r="D346">
        <v>4</v>
      </c>
      <c r="E346" t="s">
        <v>21</v>
      </c>
      <c r="F346" s="10">
        <f t="shared" si="10"/>
        <v>100</v>
      </c>
      <c r="G346" s="14">
        <f t="shared" si="11"/>
        <v>135.75</v>
      </c>
    </row>
    <row r="347" spans="1:7" x14ac:dyDescent="0.3">
      <c r="A347" s="7">
        <v>3800</v>
      </c>
      <c r="B347">
        <v>9</v>
      </c>
      <c r="C347">
        <v>35</v>
      </c>
      <c r="D347">
        <v>1</v>
      </c>
      <c r="E347" t="s">
        <v>19</v>
      </c>
      <c r="F347" s="10">
        <f t="shared" si="10"/>
        <v>342</v>
      </c>
      <c r="G347" s="14">
        <f t="shared" si="11"/>
        <v>1330</v>
      </c>
    </row>
    <row r="348" spans="1:7" x14ac:dyDescent="0.3">
      <c r="A348" s="7">
        <v>2095</v>
      </c>
      <c r="B348">
        <v>9</v>
      </c>
      <c r="C348">
        <v>35</v>
      </c>
      <c r="D348">
        <v>2</v>
      </c>
      <c r="E348" t="s">
        <v>21</v>
      </c>
      <c r="F348" s="10">
        <f t="shared" si="10"/>
        <v>189</v>
      </c>
      <c r="G348" s="14">
        <f t="shared" si="11"/>
        <v>733.25</v>
      </c>
    </row>
    <row r="349" spans="1:7" x14ac:dyDescent="0.3">
      <c r="A349" s="7">
        <v>6890</v>
      </c>
      <c r="B349">
        <v>19</v>
      </c>
      <c r="C349">
        <v>0</v>
      </c>
      <c r="D349">
        <v>1</v>
      </c>
      <c r="E349" t="s">
        <v>15</v>
      </c>
      <c r="F349" s="10">
        <f t="shared" si="10"/>
        <v>1310</v>
      </c>
      <c r="G349" s="14">
        <f t="shared" si="11"/>
        <v>0</v>
      </c>
    </row>
    <row r="350" spans="1:7" x14ac:dyDescent="0.3">
      <c r="A350" s="7">
        <v>1117</v>
      </c>
      <c r="B350">
        <v>10</v>
      </c>
      <c r="C350">
        <v>45</v>
      </c>
      <c r="D350">
        <v>3</v>
      </c>
      <c r="E350" t="s">
        <v>19</v>
      </c>
      <c r="F350" s="10">
        <f t="shared" si="10"/>
        <v>112</v>
      </c>
      <c r="G350" s="14">
        <f t="shared" si="11"/>
        <v>502.65</v>
      </c>
    </row>
    <row r="351" spans="1:7" x14ac:dyDescent="0.3">
      <c r="A351" s="7">
        <v>5900</v>
      </c>
      <c r="B351">
        <v>11</v>
      </c>
      <c r="C351">
        <v>15</v>
      </c>
      <c r="D351">
        <v>1</v>
      </c>
      <c r="E351" t="s">
        <v>17</v>
      </c>
      <c r="F351" s="10">
        <f t="shared" si="10"/>
        <v>649</v>
      </c>
      <c r="G351" s="14">
        <f t="shared" si="11"/>
        <v>885</v>
      </c>
    </row>
    <row r="352" spans="1:7" x14ac:dyDescent="0.3">
      <c r="A352" s="7">
        <v>3240</v>
      </c>
      <c r="B352">
        <v>18</v>
      </c>
      <c r="C352">
        <v>15</v>
      </c>
      <c r="D352">
        <v>2</v>
      </c>
      <c r="E352" t="s">
        <v>19</v>
      </c>
      <c r="F352" s="10">
        <f t="shared" si="10"/>
        <v>584</v>
      </c>
      <c r="G352" s="14">
        <f t="shared" si="11"/>
        <v>486</v>
      </c>
    </row>
    <row r="353" spans="1:7" x14ac:dyDescent="0.3">
      <c r="A353" s="7">
        <v>1530</v>
      </c>
      <c r="B353">
        <v>6</v>
      </c>
      <c r="C353">
        <v>0</v>
      </c>
      <c r="D353">
        <v>3</v>
      </c>
      <c r="E353" t="s">
        <v>15</v>
      </c>
      <c r="F353" s="10">
        <f t="shared" si="10"/>
        <v>92</v>
      </c>
      <c r="G353" s="14">
        <f t="shared" si="11"/>
        <v>0</v>
      </c>
    </row>
    <row r="354" spans="1:7" x14ac:dyDescent="0.3">
      <c r="A354" s="7">
        <v>388</v>
      </c>
      <c r="B354">
        <v>18</v>
      </c>
      <c r="C354">
        <v>30</v>
      </c>
      <c r="D354">
        <v>8</v>
      </c>
      <c r="E354" t="s">
        <v>16</v>
      </c>
      <c r="F354" s="10">
        <f t="shared" si="10"/>
        <v>70</v>
      </c>
      <c r="G354" s="14">
        <f t="shared" si="11"/>
        <v>116.4</v>
      </c>
    </row>
    <row r="355" spans="1:7" x14ac:dyDescent="0.3">
      <c r="A355" s="7">
        <v>3360</v>
      </c>
      <c r="B355">
        <v>3</v>
      </c>
      <c r="C355">
        <v>30</v>
      </c>
      <c r="D355">
        <v>1</v>
      </c>
      <c r="E355" t="s">
        <v>19</v>
      </c>
      <c r="F355" s="10">
        <f t="shared" si="10"/>
        <v>101</v>
      </c>
      <c r="G355" s="14">
        <f t="shared" si="11"/>
        <v>1008</v>
      </c>
    </row>
    <row r="356" spans="1:7" x14ac:dyDescent="0.3">
      <c r="A356" s="7">
        <v>608</v>
      </c>
      <c r="B356">
        <v>19</v>
      </c>
      <c r="C356">
        <v>10</v>
      </c>
      <c r="D356">
        <v>9</v>
      </c>
      <c r="E356" t="s">
        <v>20</v>
      </c>
      <c r="F356" s="10">
        <f t="shared" si="10"/>
        <v>116</v>
      </c>
      <c r="G356" s="14">
        <f t="shared" si="11"/>
        <v>60.8</v>
      </c>
    </row>
    <row r="357" spans="1:7" x14ac:dyDescent="0.3">
      <c r="A357" s="7">
        <v>904</v>
      </c>
      <c r="B357">
        <v>9</v>
      </c>
      <c r="C357">
        <v>25</v>
      </c>
      <c r="D357">
        <v>7</v>
      </c>
      <c r="E357" t="s">
        <v>16</v>
      </c>
      <c r="F357" s="10">
        <f t="shared" si="10"/>
        <v>82</v>
      </c>
      <c r="G357" s="14">
        <f t="shared" si="11"/>
        <v>226</v>
      </c>
    </row>
    <row r="358" spans="1:7" x14ac:dyDescent="0.3">
      <c r="A358" s="7">
        <v>1028</v>
      </c>
      <c r="B358">
        <v>11</v>
      </c>
      <c r="C358">
        <v>5</v>
      </c>
      <c r="D358">
        <v>6</v>
      </c>
      <c r="E358" t="s">
        <v>17</v>
      </c>
      <c r="F358" s="10">
        <f t="shared" si="10"/>
        <v>114</v>
      </c>
      <c r="G358" s="14">
        <f t="shared" si="11"/>
        <v>51.4</v>
      </c>
    </row>
    <row r="359" spans="1:7" x14ac:dyDescent="0.3">
      <c r="A359" s="7">
        <v>6790</v>
      </c>
      <c r="B359">
        <v>5</v>
      </c>
      <c r="C359">
        <v>10</v>
      </c>
      <c r="D359">
        <v>1</v>
      </c>
      <c r="E359" t="s">
        <v>15</v>
      </c>
      <c r="F359" s="10">
        <f t="shared" si="10"/>
        <v>340</v>
      </c>
      <c r="G359" s="14">
        <f t="shared" si="11"/>
        <v>679</v>
      </c>
    </row>
    <row r="360" spans="1:7" x14ac:dyDescent="0.3">
      <c r="A360" s="7">
        <v>852</v>
      </c>
      <c r="B360">
        <v>18</v>
      </c>
      <c r="C360">
        <v>45</v>
      </c>
      <c r="D360">
        <v>5</v>
      </c>
      <c r="E360" t="s">
        <v>19</v>
      </c>
      <c r="F360" s="10">
        <f t="shared" si="10"/>
        <v>154</v>
      </c>
      <c r="G360" s="14">
        <f t="shared" si="11"/>
        <v>383.4</v>
      </c>
    </row>
    <row r="361" spans="1:7" x14ac:dyDescent="0.3">
      <c r="A361" s="7">
        <v>918</v>
      </c>
      <c r="B361">
        <v>5</v>
      </c>
      <c r="C361">
        <v>10</v>
      </c>
      <c r="D361">
        <v>6</v>
      </c>
      <c r="E361" t="s">
        <v>21</v>
      </c>
      <c r="F361" s="10">
        <f t="shared" si="10"/>
        <v>46</v>
      </c>
      <c r="G361" s="14">
        <f t="shared" si="11"/>
        <v>91.8</v>
      </c>
    </row>
    <row r="362" spans="1:7" x14ac:dyDescent="0.3">
      <c r="A362" s="7">
        <v>1527</v>
      </c>
      <c r="B362">
        <v>10</v>
      </c>
      <c r="C362">
        <v>45</v>
      </c>
      <c r="D362">
        <v>3</v>
      </c>
      <c r="E362" t="s">
        <v>16</v>
      </c>
      <c r="F362" s="10">
        <f t="shared" si="10"/>
        <v>153</v>
      </c>
      <c r="G362" s="14">
        <f t="shared" si="11"/>
        <v>687.15</v>
      </c>
    </row>
    <row r="363" spans="1:7" x14ac:dyDescent="0.3">
      <c r="A363" s="7">
        <v>6640</v>
      </c>
      <c r="B363">
        <v>18</v>
      </c>
      <c r="C363">
        <v>35</v>
      </c>
      <c r="D363">
        <v>1</v>
      </c>
      <c r="E363" t="s">
        <v>20</v>
      </c>
      <c r="F363" s="10">
        <f t="shared" si="10"/>
        <v>1196</v>
      </c>
      <c r="G363" s="14">
        <f t="shared" si="11"/>
        <v>2324</v>
      </c>
    </row>
    <row r="364" spans="1:7" x14ac:dyDescent="0.3">
      <c r="A364" s="7">
        <v>3200</v>
      </c>
      <c r="B364">
        <v>1</v>
      </c>
      <c r="C364">
        <v>25</v>
      </c>
      <c r="D364">
        <v>1</v>
      </c>
      <c r="E364" t="s">
        <v>21</v>
      </c>
      <c r="F364" s="10">
        <f t="shared" si="10"/>
        <v>32</v>
      </c>
      <c r="G364" s="14">
        <f t="shared" si="11"/>
        <v>800</v>
      </c>
    </row>
    <row r="365" spans="1:7" x14ac:dyDescent="0.3">
      <c r="A365" s="7">
        <v>6310</v>
      </c>
      <c r="B365">
        <v>6</v>
      </c>
      <c r="C365">
        <v>30</v>
      </c>
      <c r="D365">
        <v>1</v>
      </c>
      <c r="E365" t="s">
        <v>20</v>
      </c>
      <c r="F365" s="10">
        <f t="shared" si="10"/>
        <v>379</v>
      </c>
      <c r="G365" s="14">
        <f t="shared" si="11"/>
        <v>1893</v>
      </c>
    </row>
    <row r="366" spans="1:7" x14ac:dyDescent="0.3">
      <c r="A366" s="7">
        <v>403</v>
      </c>
      <c r="B366">
        <v>20</v>
      </c>
      <c r="C366">
        <v>20</v>
      </c>
      <c r="D366">
        <v>8</v>
      </c>
      <c r="E366" t="s">
        <v>21</v>
      </c>
      <c r="F366" s="10">
        <f t="shared" si="10"/>
        <v>81</v>
      </c>
      <c r="G366" s="14">
        <f t="shared" si="11"/>
        <v>80.599999999999994</v>
      </c>
    </row>
    <row r="367" spans="1:7" x14ac:dyDescent="0.3">
      <c r="A367" s="7">
        <v>648</v>
      </c>
      <c r="B367">
        <v>18</v>
      </c>
      <c r="C367">
        <v>30</v>
      </c>
      <c r="D367">
        <v>9</v>
      </c>
      <c r="E367" t="s">
        <v>17</v>
      </c>
      <c r="F367" s="10">
        <f t="shared" si="10"/>
        <v>117</v>
      </c>
      <c r="G367" s="14">
        <f t="shared" si="11"/>
        <v>194.4</v>
      </c>
    </row>
    <row r="368" spans="1:7" x14ac:dyDescent="0.3">
      <c r="A368" s="7">
        <v>4930</v>
      </c>
      <c r="B368">
        <v>10</v>
      </c>
      <c r="C368">
        <v>10</v>
      </c>
      <c r="D368">
        <v>1</v>
      </c>
      <c r="E368" t="s">
        <v>18</v>
      </c>
      <c r="F368" s="10">
        <f t="shared" si="10"/>
        <v>493</v>
      </c>
      <c r="G368" s="14">
        <f t="shared" si="11"/>
        <v>493</v>
      </c>
    </row>
    <row r="369" spans="1:7" x14ac:dyDescent="0.3">
      <c r="A369" s="7">
        <v>496</v>
      </c>
      <c r="B369">
        <v>17</v>
      </c>
      <c r="C369">
        <v>35</v>
      </c>
      <c r="D369">
        <v>10</v>
      </c>
      <c r="E369" t="s">
        <v>15</v>
      </c>
      <c r="F369" s="10">
        <f t="shared" si="10"/>
        <v>85</v>
      </c>
      <c r="G369" s="14">
        <f t="shared" si="11"/>
        <v>173.6</v>
      </c>
    </row>
    <row r="370" spans="1:7" x14ac:dyDescent="0.3">
      <c r="A370" s="7">
        <v>1338</v>
      </c>
      <c r="B370">
        <v>20</v>
      </c>
      <c r="C370">
        <v>30</v>
      </c>
      <c r="D370">
        <v>4</v>
      </c>
      <c r="E370" t="s">
        <v>18</v>
      </c>
      <c r="F370" s="10">
        <f t="shared" si="10"/>
        <v>268</v>
      </c>
      <c r="G370" s="14">
        <f t="shared" si="11"/>
        <v>401.4</v>
      </c>
    </row>
    <row r="371" spans="1:7" x14ac:dyDescent="0.3">
      <c r="A371" s="7">
        <v>4190</v>
      </c>
      <c r="B371">
        <v>13</v>
      </c>
      <c r="C371">
        <v>0</v>
      </c>
      <c r="D371">
        <v>1</v>
      </c>
      <c r="E371" t="s">
        <v>19</v>
      </c>
      <c r="F371" s="10">
        <f t="shared" si="10"/>
        <v>545</v>
      </c>
      <c r="G371" s="14">
        <f t="shared" si="11"/>
        <v>0</v>
      </c>
    </row>
    <row r="372" spans="1:7" x14ac:dyDescent="0.3">
      <c r="A372" s="7">
        <v>610</v>
      </c>
      <c r="B372">
        <v>17</v>
      </c>
      <c r="C372">
        <v>0</v>
      </c>
      <c r="D372">
        <v>10</v>
      </c>
      <c r="E372" t="s">
        <v>15</v>
      </c>
      <c r="F372" s="10">
        <f t="shared" si="10"/>
        <v>104</v>
      </c>
      <c r="G372" s="14">
        <f t="shared" si="11"/>
        <v>0</v>
      </c>
    </row>
    <row r="373" spans="1:7" x14ac:dyDescent="0.3">
      <c r="A373" s="7">
        <v>5220</v>
      </c>
      <c r="B373">
        <v>0</v>
      </c>
      <c r="C373">
        <v>15</v>
      </c>
      <c r="D373">
        <v>1</v>
      </c>
      <c r="E373" t="s">
        <v>21</v>
      </c>
      <c r="F373" s="10">
        <f t="shared" si="10"/>
        <v>0</v>
      </c>
      <c r="G373" s="14">
        <f t="shared" si="11"/>
        <v>783</v>
      </c>
    </row>
    <row r="374" spans="1:7" x14ac:dyDescent="0.3">
      <c r="A374" s="7">
        <v>457</v>
      </c>
      <c r="B374">
        <v>7</v>
      </c>
      <c r="C374">
        <v>20</v>
      </c>
      <c r="D374">
        <v>9</v>
      </c>
      <c r="E374" t="s">
        <v>17</v>
      </c>
      <c r="F374" s="10">
        <f t="shared" si="10"/>
        <v>32</v>
      </c>
      <c r="G374" s="14">
        <f t="shared" si="11"/>
        <v>91.4</v>
      </c>
    </row>
    <row r="375" spans="1:7" x14ac:dyDescent="0.3">
      <c r="A375" s="7">
        <v>991</v>
      </c>
      <c r="B375">
        <v>18</v>
      </c>
      <c r="C375">
        <v>5</v>
      </c>
      <c r="D375">
        <v>7</v>
      </c>
      <c r="E375" t="s">
        <v>21</v>
      </c>
      <c r="F375" s="10">
        <f t="shared" si="10"/>
        <v>179</v>
      </c>
      <c r="G375" s="14">
        <f t="shared" si="11"/>
        <v>49.55</v>
      </c>
    </row>
    <row r="376" spans="1:7" x14ac:dyDescent="0.3">
      <c r="A376" s="7">
        <v>1083</v>
      </c>
      <c r="B376">
        <v>2</v>
      </c>
      <c r="C376">
        <v>35</v>
      </c>
      <c r="D376">
        <v>3</v>
      </c>
      <c r="E376" t="s">
        <v>21</v>
      </c>
      <c r="F376" s="10">
        <f t="shared" si="10"/>
        <v>22</v>
      </c>
      <c r="G376" s="14">
        <f t="shared" si="11"/>
        <v>379.05</v>
      </c>
    </row>
    <row r="377" spans="1:7" x14ac:dyDescent="0.3">
      <c r="A377" s="7">
        <v>380</v>
      </c>
      <c r="B377">
        <v>20</v>
      </c>
      <c r="C377">
        <v>10</v>
      </c>
      <c r="D377">
        <v>8</v>
      </c>
      <c r="E377" t="s">
        <v>16</v>
      </c>
      <c r="F377" s="10">
        <f t="shared" si="10"/>
        <v>76</v>
      </c>
      <c r="G377" s="14">
        <f t="shared" si="11"/>
        <v>38</v>
      </c>
    </row>
    <row r="378" spans="1:7" x14ac:dyDescent="0.3">
      <c r="A378" s="7">
        <v>849</v>
      </c>
      <c r="B378">
        <v>13</v>
      </c>
      <c r="C378">
        <v>50</v>
      </c>
      <c r="D378">
        <v>8</v>
      </c>
      <c r="E378" t="s">
        <v>15</v>
      </c>
      <c r="F378" s="10">
        <f t="shared" si="10"/>
        <v>111</v>
      </c>
      <c r="G378" s="14">
        <f t="shared" si="11"/>
        <v>424.5</v>
      </c>
    </row>
    <row r="379" spans="1:7" x14ac:dyDescent="0.3">
      <c r="A379" s="7">
        <v>1453</v>
      </c>
      <c r="B379">
        <v>5</v>
      </c>
      <c r="C379">
        <v>50</v>
      </c>
      <c r="D379">
        <v>3</v>
      </c>
      <c r="E379" t="s">
        <v>15</v>
      </c>
      <c r="F379" s="10">
        <f t="shared" si="10"/>
        <v>73</v>
      </c>
      <c r="G379" s="14">
        <f t="shared" si="11"/>
        <v>726.5</v>
      </c>
    </row>
    <row r="380" spans="1:7" x14ac:dyDescent="0.3">
      <c r="A380" s="7">
        <v>4060</v>
      </c>
      <c r="B380">
        <v>5</v>
      </c>
      <c r="C380">
        <v>30</v>
      </c>
      <c r="D380">
        <v>1</v>
      </c>
      <c r="E380" t="s">
        <v>18</v>
      </c>
      <c r="F380" s="10">
        <f t="shared" si="10"/>
        <v>203</v>
      </c>
      <c r="G380" s="14">
        <f t="shared" si="11"/>
        <v>1218</v>
      </c>
    </row>
    <row r="381" spans="1:7" x14ac:dyDescent="0.3">
      <c r="A381" s="7">
        <v>997</v>
      </c>
      <c r="B381">
        <v>11</v>
      </c>
      <c r="C381">
        <v>10</v>
      </c>
      <c r="D381">
        <v>6</v>
      </c>
      <c r="E381" t="s">
        <v>16</v>
      </c>
      <c r="F381" s="10">
        <f t="shared" si="10"/>
        <v>110</v>
      </c>
      <c r="G381" s="14">
        <f t="shared" si="11"/>
        <v>99.7</v>
      </c>
    </row>
    <row r="382" spans="1:7" x14ac:dyDescent="0.3">
      <c r="A382" s="7">
        <v>3445</v>
      </c>
      <c r="B382">
        <v>10</v>
      </c>
      <c r="C382">
        <v>50</v>
      </c>
      <c r="D382">
        <v>2</v>
      </c>
      <c r="E382" t="s">
        <v>21</v>
      </c>
      <c r="F382" s="10">
        <f t="shared" si="10"/>
        <v>345</v>
      </c>
      <c r="G382" s="14">
        <f t="shared" si="11"/>
        <v>1722.5</v>
      </c>
    </row>
    <row r="383" spans="1:7" x14ac:dyDescent="0.3">
      <c r="A383" s="7">
        <v>1158</v>
      </c>
      <c r="B383">
        <v>12</v>
      </c>
      <c r="C383">
        <v>25</v>
      </c>
      <c r="D383">
        <v>5</v>
      </c>
      <c r="E383" t="s">
        <v>20</v>
      </c>
      <c r="F383" s="10">
        <f t="shared" si="10"/>
        <v>139</v>
      </c>
      <c r="G383" s="14">
        <f t="shared" si="11"/>
        <v>289.5</v>
      </c>
    </row>
    <row r="384" spans="1:7" x14ac:dyDescent="0.3">
      <c r="A384" s="7">
        <v>3250</v>
      </c>
      <c r="B384">
        <v>10</v>
      </c>
      <c r="C384">
        <v>15</v>
      </c>
      <c r="D384">
        <v>1</v>
      </c>
      <c r="E384" t="s">
        <v>18</v>
      </c>
      <c r="F384" s="10">
        <f t="shared" si="10"/>
        <v>325</v>
      </c>
      <c r="G384" s="14">
        <f t="shared" si="11"/>
        <v>487.5</v>
      </c>
    </row>
    <row r="385" spans="1:7" x14ac:dyDescent="0.3">
      <c r="A385" s="7">
        <v>6940</v>
      </c>
      <c r="B385">
        <v>18</v>
      </c>
      <c r="C385">
        <v>35</v>
      </c>
      <c r="D385">
        <v>1</v>
      </c>
      <c r="E385" t="s">
        <v>21</v>
      </c>
      <c r="F385" s="10">
        <f t="shared" si="10"/>
        <v>1250</v>
      </c>
      <c r="G385" s="14">
        <f t="shared" si="11"/>
        <v>2429</v>
      </c>
    </row>
    <row r="386" spans="1:7" x14ac:dyDescent="0.3">
      <c r="A386" s="7">
        <v>2725</v>
      </c>
      <c r="B386">
        <v>11</v>
      </c>
      <c r="C386">
        <v>45</v>
      </c>
      <c r="D386">
        <v>2</v>
      </c>
      <c r="E386" t="s">
        <v>18</v>
      </c>
      <c r="F386" s="10">
        <f t="shared" si="10"/>
        <v>300</v>
      </c>
      <c r="G386" s="14">
        <f t="shared" si="11"/>
        <v>1226.25</v>
      </c>
    </row>
    <row r="387" spans="1:7" x14ac:dyDescent="0.3">
      <c r="A387" s="7">
        <v>6000</v>
      </c>
      <c r="B387">
        <v>19</v>
      </c>
      <c r="C387">
        <v>15</v>
      </c>
      <c r="D387">
        <v>1</v>
      </c>
      <c r="E387" t="s">
        <v>20</v>
      </c>
      <c r="F387" s="10">
        <f t="shared" ref="F387:F450" si="12">ROUNDUP(0.01*B387*A387,0)</f>
        <v>1140</v>
      </c>
      <c r="G387" s="14">
        <f t="shared" ref="G387:G450" si="13">ROUND(C387/100*A387,2)</f>
        <v>900</v>
      </c>
    </row>
    <row r="388" spans="1:7" x14ac:dyDescent="0.3">
      <c r="A388" s="7">
        <v>628</v>
      </c>
      <c r="B388">
        <v>12</v>
      </c>
      <c r="C388">
        <v>15</v>
      </c>
      <c r="D388">
        <v>8</v>
      </c>
      <c r="E388" t="s">
        <v>21</v>
      </c>
      <c r="F388" s="10">
        <f t="shared" si="12"/>
        <v>76</v>
      </c>
      <c r="G388" s="14">
        <f t="shared" si="13"/>
        <v>94.2</v>
      </c>
    </row>
    <row r="389" spans="1:7" x14ac:dyDescent="0.3">
      <c r="A389" s="7">
        <v>3250</v>
      </c>
      <c r="B389">
        <v>17</v>
      </c>
      <c r="C389">
        <v>10</v>
      </c>
      <c r="D389">
        <v>2</v>
      </c>
      <c r="E389" t="s">
        <v>16</v>
      </c>
      <c r="F389" s="10">
        <f t="shared" si="12"/>
        <v>553</v>
      </c>
      <c r="G389" s="14">
        <f t="shared" si="13"/>
        <v>325</v>
      </c>
    </row>
    <row r="390" spans="1:7" x14ac:dyDescent="0.3">
      <c r="A390" s="7">
        <v>469</v>
      </c>
      <c r="B390">
        <v>15</v>
      </c>
      <c r="C390">
        <v>15</v>
      </c>
      <c r="D390">
        <v>7</v>
      </c>
      <c r="E390" t="s">
        <v>15</v>
      </c>
      <c r="F390" s="10">
        <f t="shared" si="12"/>
        <v>71</v>
      </c>
      <c r="G390" s="14">
        <f t="shared" si="13"/>
        <v>70.349999999999994</v>
      </c>
    </row>
    <row r="391" spans="1:7" x14ac:dyDescent="0.3">
      <c r="A391" s="7">
        <v>5590</v>
      </c>
      <c r="B391">
        <v>13</v>
      </c>
      <c r="C391">
        <v>0</v>
      </c>
      <c r="D391">
        <v>1</v>
      </c>
      <c r="E391" t="s">
        <v>16</v>
      </c>
      <c r="F391" s="10">
        <f t="shared" si="12"/>
        <v>727</v>
      </c>
      <c r="G391" s="14">
        <f t="shared" si="13"/>
        <v>0</v>
      </c>
    </row>
    <row r="392" spans="1:7" x14ac:dyDescent="0.3">
      <c r="A392" s="7">
        <v>1680</v>
      </c>
      <c r="B392">
        <v>10</v>
      </c>
      <c r="C392">
        <v>35</v>
      </c>
      <c r="D392">
        <v>4</v>
      </c>
      <c r="E392" t="s">
        <v>20</v>
      </c>
      <c r="F392" s="10">
        <f t="shared" si="12"/>
        <v>168</v>
      </c>
      <c r="G392" s="14">
        <f t="shared" si="13"/>
        <v>588</v>
      </c>
    </row>
    <row r="393" spans="1:7" x14ac:dyDescent="0.3">
      <c r="A393" s="7">
        <v>526</v>
      </c>
      <c r="B393">
        <v>16</v>
      </c>
      <c r="C393">
        <v>45</v>
      </c>
      <c r="D393">
        <v>7</v>
      </c>
      <c r="E393" t="s">
        <v>15</v>
      </c>
      <c r="F393" s="10">
        <f t="shared" si="12"/>
        <v>85</v>
      </c>
      <c r="G393" s="14">
        <f t="shared" si="13"/>
        <v>236.7</v>
      </c>
    </row>
    <row r="394" spans="1:7" x14ac:dyDescent="0.3">
      <c r="A394" s="7">
        <v>4240</v>
      </c>
      <c r="B394">
        <v>1</v>
      </c>
      <c r="C394">
        <v>40</v>
      </c>
      <c r="D394">
        <v>1</v>
      </c>
      <c r="E394" t="s">
        <v>21</v>
      </c>
      <c r="F394" s="10">
        <f t="shared" si="12"/>
        <v>43</v>
      </c>
      <c r="G394" s="14">
        <f t="shared" si="13"/>
        <v>1696</v>
      </c>
    </row>
    <row r="395" spans="1:7" x14ac:dyDescent="0.3">
      <c r="A395" s="7">
        <v>622</v>
      </c>
      <c r="B395">
        <v>10</v>
      </c>
      <c r="C395">
        <v>10</v>
      </c>
      <c r="D395">
        <v>10</v>
      </c>
      <c r="E395" t="s">
        <v>16</v>
      </c>
      <c r="F395" s="10">
        <f t="shared" si="12"/>
        <v>63</v>
      </c>
      <c r="G395" s="14">
        <f t="shared" si="13"/>
        <v>62.2</v>
      </c>
    </row>
    <row r="396" spans="1:7" x14ac:dyDescent="0.3">
      <c r="A396" s="7">
        <v>372</v>
      </c>
      <c r="B396">
        <v>15</v>
      </c>
      <c r="C396">
        <v>40</v>
      </c>
      <c r="D396">
        <v>9</v>
      </c>
      <c r="E396" t="s">
        <v>16</v>
      </c>
      <c r="F396" s="10">
        <f t="shared" si="12"/>
        <v>56</v>
      </c>
      <c r="G396" s="14">
        <f t="shared" si="13"/>
        <v>148.80000000000001</v>
      </c>
    </row>
    <row r="397" spans="1:7" x14ac:dyDescent="0.3">
      <c r="A397" s="7">
        <v>509</v>
      </c>
      <c r="B397">
        <v>4</v>
      </c>
      <c r="C397">
        <v>10</v>
      </c>
      <c r="D397">
        <v>10</v>
      </c>
      <c r="E397" t="s">
        <v>20</v>
      </c>
      <c r="F397" s="10">
        <f t="shared" si="12"/>
        <v>21</v>
      </c>
      <c r="G397" s="14">
        <f t="shared" si="13"/>
        <v>50.9</v>
      </c>
    </row>
    <row r="398" spans="1:7" x14ac:dyDescent="0.3">
      <c r="A398" s="7">
        <v>1228</v>
      </c>
      <c r="B398">
        <v>0</v>
      </c>
      <c r="C398">
        <v>5</v>
      </c>
      <c r="D398">
        <v>4</v>
      </c>
      <c r="E398" t="s">
        <v>16</v>
      </c>
      <c r="F398" s="10">
        <f t="shared" si="12"/>
        <v>0</v>
      </c>
      <c r="G398" s="14">
        <f t="shared" si="13"/>
        <v>61.4</v>
      </c>
    </row>
    <row r="399" spans="1:7" x14ac:dyDescent="0.3">
      <c r="A399" s="7">
        <v>1360</v>
      </c>
      <c r="B399">
        <v>12</v>
      </c>
      <c r="C399">
        <v>25</v>
      </c>
      <c r="D399">
        <v>3</v>
      </c>
      <c r="E399" t="s">
        <v>17</v>
      </c>
      <c r="F399" s="10">
        <f t="shared" si="12"/>
        <v>164</v>
      </c>
      <c r="G399" s="14">
        <f t="shared" si="13"/>
        <v>340</v>
      </c>
    </row>
    <row r="400" spans="1:7" x14ac:dyDescent="0.3">
      <c r="A400" s="7">
        <v>4650</v>
      </c>
      <c r="B400">
        <v>2</v>
      </c>
      <c r="C400">
        <v>50</v>
      </c>
      <c r="D400">
        <v>1</v>
      </c>
      <c r="E400" t="s">
        <v>17</v>
      </c>
      <c r="F400" s="10">
        <f t="shared" si="12"/>
        <v>93</v>
      </c>
      <c r="G400" s="14">
        <f t="shared" si="13"/>
        <v>2325</v>
      </c>
    </row>
    <row r="401" spans="1:7" x14ac:dyDescent="0.3">
      <c r="A401" s="7">
        <v>2860</v>
      </c>
      <c r="B401">
        <v>14</v>
      </c>
      <c r="C401">
        <v>35</v>
      </c>
      <c r="D401">
        <v>1</v>
      </c>
      <c r="E401" t="s">
        <v>15</v>
      </c>
      <c r="F401" s="10">
        <f t="shared" si="12"/>
        <v>401</v>
      </c>
      <c r="G401" s="14">
        <f t="shared" si="13"/>
        <v>1001</v>
      </c>
    </row>
    <row r="402" spans="1:7" x14ac:dyDescent="0.3">
      <c r="A402" s="7">
        <v>1615</v>
      </c>
      <c r="B402">
        <v>2</v>
      </c>
      <c r="C402">
        <v>5</v>
      </c>
      <c r="D402">
        <v>4</v>
      </c>
      <c r="E402" t="s">
        <v>19</v>
      </c>
      <c r="F402" s="10">
        <f t="shared" si="12"/>
        <v>33</v>
      </c>
      <c r="G402" s="14">
        <f t="shared" si="13"/>
        <v>80.75</v>
      </c>
    </row>
    <row r="403" spans="1:7" x14ac:dyDescent="0.3">
      <c r="A403" s="7">
        <v>1650</v>
      </c>
      <c r="B403">
        <v>10</v>
      </c>
      <c r="C403">
        <v>15</v>
      </c>
      <c r="D403">
        <v>2</v>
      </c>
      <c r="E403" t="s">
        <v>15</v>
      </c>
      <c r="F403" s="10">
        <f t="shared" si="12"/>
        <v>165</v>
      </c>
      <c r="G403" s="14">
        <f t="shared" si="13"/>
        <v>247.5</v>
      </c>
    </row>
    <row r="404" spans="1:7" x14ac:dyDescent="0.3">
      <c r="A404" s="7">
        <v>5870</v>
      </c>
      <c r="B404">
        <v>19</v>
      </c>
      <c r="C404">
        <v>45</v>
      </c>
      <c r="D404">
        <v>1</v>
      </c>
      <c r="E404" t="s">
        <v>20</v>
      </c>
      <c r="F404" s="10">
        <f t="shared" si="12"/>
        <v>1116</v>
      </c>
      <c r="G404" s="14">
        <f t="shared" si="13"/>
        <v>2641.5</v>
      </c>
    </row>
    <row r="405" spans="1:7" x14ac:dyDescent="0.3">
      <c r="A405" s="7">
        <v>4450</v>
      </c>
      <c r="B405">
        <v>10</v>
      </c>
      <c r="C405">
        <v>25</v>
      </c>
      <c r="D405">
        <v>1</v>
      </c>
      <c r="E405" t="s">
        <v>17</v>
      </c>
      <c r="F405" s="10">
        <f t="shared" si="12"/>
        <v>445</v>
      </c>
      <c r="G405" s="14">
        <f t="shared" si="13"/>
        <v>1112.5</v>
      </c>
    </row>
    <row r="406" spans="1:7" x14ac:dyDescent="0.3">
      <c r="A406" s="7">
        <v>6830</v>
      </c>
      <c r="B406">
        <v>3</v>
      </c>
      <c r="C406">
        <v>25</v>
      </c>
      <c r="D406">
        <v>1</v>
      </c>
      <c r="E406" t="s">
        <v>18</v>
      </c>
      <c r="F406" s="10">
        <f t="shared" si="12"/>
        <v>205</v>
      </c>
      <c r="G406" s="14">
        <f t="shared" si="13"/>
        <v>1707.5</v>
      </c>
    </row>
    <row r="407" spans="1:7" x14ac:dyDescent="0.3">
      <c r="A407" s="7">
        <v>3940</v>
      </c>
      <c r="B407">
        <v>9</v>
      </c>
      <c r="C407">
        <v>30</v>
      </c>
      <c r="D407">
        <v>1</v>
      </c>
      <c r="E407" t="s">
        <v>19</v>
      </c>
      <c r="F407" s="10">
        <f t="shared" si="12"/>
        <v>355</v>
      </c>
      <c r="G407" s="14">
        <f t="shared" si="13"/>
        <v>1182</v>
      </c>
    </row>
    <row r="408" spans="1:7" x14ac:dyDescent="0.3">
      <c r="A408" s="7">
        <v>2480</v>
      </c>
      <c r="B408">
        <v>15</v>
      </c>
      <c r="C408">
        <v>35</v>
      </c>
      <c r="D408">
        <v>2</v>
      </c>
      <c r="E408" t="s">
        <v>17</v>
      </c>
      <c r="F408" s="10">
        <f t="shared" si="12"/>
        <v>372</v>
      </c>
      <c r="G408" s="14">
        <f t="shared" si="13"/>
        <v>868</v>
      </c>
    </row>
    <row r="409" spans="1:7" x14ac:dyDescent="0.3">
      <c r="A409" s="7">
        <v>1285</v>
      </c>
      <c r="B409">
        <v>8</v>
      </c>
      <c r="C409">
        <v>40</v>
      </c>
      <c r="D409">
        <v>4</v>
      </c>
      <c r="E409" t="s">
        <v>16</v>
      </c>
      <c r="F409" s="10">
        <f t="shared" si="12"/>
        <v>103</v>
      </c>
      <c r="G409" s="14">
        <f t="shared" si="13"/>
        <v>514</v>
      </c>
    </row>
    <row r="410" spans="1:7" x14ac:dyDescent="0.3">
      <c r="A410" s="7">
        <v>2870</v>
      </c>
      <c r="B410">
        <v>17</v>
      </c>
      <c r="C410">
        <v>50</v>
      </c>
      <c r="D410">
        <v>1</v>
      </c>
      <c r="E410" t="s">
        <v>15</v>
      </c>
      <c r="F410" s="10">
        <f t="shared" si="12"/>
        <v>488</v>
      </c>
      <c r="G410" s="14">
        <f t="shared" si="13"/>
        <v>1435</v>
      </c>
    </row>
    <row r="411" spans="1:7" x14ac:dyDescent="0.3">
      <c r="A411" s="7">
        <v>1483.5</v>
      </c>
      <c r="B411">
        <v>1</v>
      </c>
      <c r="C411">
        <v>45</v>
      </c>
      <c r="D411">
        <v>3</v>
      </c>
      <c r="E411" t="s">
        <v>19</v>
      </c>
      <c r="F411" s="10">
        <f t="shared" si="12"/>
        <v>15</v>
      </c>
      <c r="G411" s="14">
        <f t="shared" si="13"/>
        <v>667.58</v>
      </c>
    </row>
    <row r="412" spans="1:7" x14ac:dyDescent="0.3">
      <c r="A412" s="7">
        <v>4590</v>
      </c>
      <c r="B412">
        <v>1</v>
      </c>
      <c r="C412">
        <v>40</v>
      </c>
      <c r="D412">
        <v>1</v>
      </c>
      <c r="E412" t="s">
        <v>16</v>
      </c>
      <c r="F412" s="10">
        <f t="shared" si="12"/>
        <v>46</v>
      </c>
      <c r="G412" s="14">
        <f t="shared" si="13"/>
        <v>1836</v>
      </c>
    </row>
    <row r="413" spans="1:7" x14ac:dyDescent="0.3">
      <c r="A413" s="7">
        <v>3350</v>
      </c>
      <c r="B413">
        <v>9</v>
      </c>
      <c r="C413">
        <v>45</v>
      </c>
      <c r="D413">
        <v>1</v>
      </c>
      <c r="E413" t="s">
        <v>15</v>
      </c>
      <c r="F413" s="10">
        <f t="shared" si="12"/>
        <v>302</v>
      </c>
      <c r="G413" s="14">
        <f t="shared" si="13"/>
        <v>1507.5</v>
      </c>
    </row>
    <row r="414" spans="1:7" x14ac:dyDescent="0.3">
      <c r="A414" s="7">
        <v>5940</v>
      </c>
      <c r="B414">
        <v>8</v>
      </c>
      <c r="C414">
        <v>35</v>
      </c>
      <c r="D414">
        <v>1</v>
      </c>
      <c r="E414" t="s">
        <v>19</v>
      </c>
      <c r="F414" s="10">
        <f t="shared" si="12"/>
        <v>476</v>
      </c>
      <c r="G414" s="14">
        <f t="shared" si="13"/>
        <v>2079</v>
      </c>
    </row>
    <row r="415" spans="1:7" x14ac:dyDescent="0.3">
      <c r="A415" s="7">
        <v>1137</v>
      </c>
      <c r="B415">
        <v>20</v>
      </c>
      <c r="C415">
        <v>30</v>
      </c>
      <c r="D415">
        <v>6</v>
      </c>
      <c r="E415" t="s">
        <v>18</v>
      </c>
      <c r="F415" s="10">
        <f t="shared" si="12"/>
        <v>228</v>
      </c>
      <c r="G415" s="14">
        <f t="shared" si="13"/>
        <v>341.1</v>
      </c>
    </row>
    <row r="416" spans="1:7" x14ac:dyDescent="0.3">
      <c r="A416" s="7">
        <v>1396</v>
      </c>
      <c r="B416">
        <v>2</v>
      </c>
      <c r="C416">
        <v>45</v>
      </c>
      <c r="D416">
        <v>5</v>
      </c>
      <c r="E416" t="s">
        <v>17</v>
      </c>
      <c r="F416" s="10">
        <f t="shared" si="12"/>
        <v>28</v>
      </c>
      <c r="G416" s="14">
        <f t="shared" si="13"/>
        <v>628.20000000000005</v>
      </c>
    </row>
    <row r="417" spans="1:7" x14ac:dyDescent="0.3">
      <c r="A417" s="7">
        <v>6490</v>
      </c>
      <c r="B417">
        <v>1</v>
      </c>
      <c r="C417">
        <v>50</v>
      </c>
      <c r="D417">
        <v>1</v>
      </c>
      <c r="E417" t="s">
        <v>19</v>
      </c>
      <c r="F417" s="10">
        <f t="shared" si="12"/>
        <v>65</v>
      </c>
      <c r="G417" s="14">
        <f t="shared" si="13"/>
        <v>3245</v>
      </c>
    </row>
    <row r="418" spans="1:7" x14ac:dyDescent="0.3">
      <c r="A418" s="7">
        <v>326</v>
      </c>
      <c r="B418">
        <v>17</v>
      </c>
      <c r="C418">
        <v>40</v>
      </c>
      <c r="D418">
        <v>9</v>
      </c>
      <c r="E418" t="s">
        <v>15</v>
      </c>
      <c r="F418" s="10">
        <f t="shared" si="12"/>
        <v>56</v>
      </c>
      <c r="G418" s="14">
        <f t="shared" si="13"/>
        <v>130.4</v>
      </c>
    </row>
    <row r="419" spans="1:7" x14ac:dyDescent="0.3">
      <c r="A419" s="7">
        <v>5900</v>
      </c>
      <c r="B419">
        <v>6</v>
      </c>
      <c r="C419">
        <v>5</v>
      </c>
      <c r="D419">
        <v>1</v>
      </c>
      <c r="E419" t="s">
        <v>17</v>
      </c>
      <c r="F419" s="10">
        <f t="shared" si="12"/>
        <v>354</v>
      </c>
      <c r="G419" s="14">
        <f t="shared" si="13"/>
        <v>295</v>
      </c>
    </row>
    <row r="420" spans="1:7" x14ac:dyDescent="0.3">
      <c r="A420" s="7">
        <v>1897</v>
      </c>
      <c r="B420">
        <v>16</v>
      </c>
      <c r="C420">
        <v>5</v>
      </c>
      <c r="D420">
        <v>3</v>
      </c>
      <c r="E420" t="s">
        <v>15</v>
      </c>
      <c r="F420" s="10">
        <f t="shared" si="12"/>
        <v>304</v>
      </c>
      <c r="G420" s="14">
        <f t="shared" si="13"/>
        <v>94.85</v>
      </c>
    </row>
    <row r="421" spans="1:7" x14ac:dyDescent="0.3">
      <c r="A421" s="7">
        <v>835</v>
      </c>
      <c r="B421">
        <v>15</v>
      </c>
      <c r="C421">
        <v>5</v>
      </c>
      <c r="D421">
        <v>4</v>
      </c>
      <c r="E421" t="s">
        <v>19</v>
      </c>
      <c r="F421" s="10">
        <f t="shared" si="12"/>
        <v>126</v>
      </c>
      <c r="G421" s="14">
        <f t="shared" si="13"/>
        <v>41.75</v>
      </c>
    </row>
    <row r="422" spans="1:7" x14ac:dyDescent="0.3">
      <c r="A422" s="7">
        <v>1022</v>
      </c>
      <c r="B422">
        <v>4</v>
      </c>
      <c r="C422">
        <v>5</v>
      </c>
      <c r="D422">
        <v>6</v>
      </c>
      <c r="E422" t="s">
        <v>18</v>
      </c>
      <c r="F422" s="10">
        <f t="shared" si="12"/>
        <v>41</v>
      </c>
      <c r="G422" s="14">
        <f t="shared" si="13"/>
        <v>51.1</v>
      </c>
    </row>
    <row r="423" spans="1:7" x14ac:dyDescent="0.3">
      <c r="A423" s="7">
        <v>1680</v>
      </c>
      <c r="B423">
        <v>6</v>
      </c>
      <c r="C423">
        <v>15</v>
      </c>
      <c r="D423">
        <v>3</v>
      </c>
      <c r="E423" t="s">
        <v>15</v>
      </c>
      <c r="F423" s="10">
        <f t="shared" si="12"/>
        <v>101</v>
      </c>
      <c r="G423" s="14">
        <f t="shared" si="13"/>
        <v>252</v>
      </c>
    </row>
    <row r="424" spans="1:7" x14ac:dyDescent="0.3">
      <c r="A424" s="7">
        <v>510</v>
      </c>
      <c r="B424">
        <v>5</v>
      </c>
      <c r="C424">
        <v>0</v>
      </c>
      <c r="D424">
        <v>8</v>
      </c>
      <c r="E424" t="s">
        <v>17</v>
      </c>
      <c r="F424" s="10">
        <f t="shared" si="12"/>
        <v>26</v>
      </c>
      <c r="G424" s="14">
        <f t="shared" si="13"/>
        <v>0</v>
      </c>
    </row>
    <row r="425" spans="1:7" x14ac:dyDescent="0.3">
      <c r="A425" s="7">
        <v>1893</v>
      </c>
      <c r="B425">
        <v>5</v>
      </c>
      <c r="C425">
        <v>40</v>
      </c>
      <c r="D425">
        <v>3</v>
      </c>
      <c r="E425" t="s">
        <v>20</v>
      </c>
      <c r="F425" s="10">
        <f t="shared" si="12"/>
        <v>95</v>
      </c>
      <c r="G425" s="14">
        <f t="shared" si="13"/>
        <v>757.2</v>
      </c>
    </row>
    <row r="426" spans="1:7" x14ac:dyDescent="0.3">
      <c r="A426" s="7">
        <v>4620</v>
      </c>
      <c r="B426">
        <v>20</v>
      </c>
      <c r="C426">
        <v>20</v>
      </c>
      <c r="D426">
        <v>1</v>
      </c>
      <c r="E426" t="s">
        <v>18</v>
      </c>
      <c r="F426" s="10">
        <f t="shared" si="12"/>
        <v>924</v>
      </c>
      <c r="G426" s="14">
        <f t="shared" si="13"/>
        <v>924</v>
      </c>
    </row>
    <row r="427" spans="1:7" x14ac:dyDescent="0.3">
      <c r="A427" s="7">
        <v>3500</v>
      </c>
      <c r="B427">
        <v>7</v>
      </c>
      <c r="C427">
        <v>20</v>
      </c>
      <c r="D427">
        <v>1</v>
      </c>
      <c r="E427" t="s">
        <v>15</v>
      </c>
      <c r="F427" s="10">
        <f t="shared" si="12"/>
        <v>245</v>
      </c>
      <c r="G427" s="14">
        <f t="shared" si="13"/>
        <v>700</v>
      </c>
    </row>
    <row r="428" spans="1:7" x14ac:dyDescent="0.3">
      <c r="A428" s="7">
        <v>5890</v>
      </c>
      <c r="B428">
        <v>6</v>
      </c>
      <c r="C428">
        <v>45</v>
      </c>
      <c r="D428">
        <v>1</v>
      </c>
      <c r="E428" t="s">
        <v>21</v>
      </c>
      <c r="F428" s="10">
        <f t="shared" si="12"/>
        <v>354</v>
      </c>
      <c r="G428" s="14">
        <f t="shared" si="13"/>
        <v>2650.5</v>
      </c>
    </row>
    <row r="429" spans="1:7" x14ac:dyDescent="0.3">
      <c r="A429" s="7">
        <v>636</v>
      </c>
      <c r="B429">
        <v>20</v>
      </c>
      <c r="C429">
        <v>40</v>
      </c>
      <c r="D429">
        <v>8</v>
      </c>
      <c r="E429" t="s">
        <v>20</v>
      </c>
      <c r="F429" s="10">
        <f t="shared" si="12"/>
        <v>128</v>
      </c>
      <c r="G429" s="14">
        <f t="shared" si="13"/>
        <v>254.4</v>
      </c>
    </row>
    <row r="430" spans="1:7" x14ac:dyDescent="0.3">
      <c r="A430" s="7">
        <v>1543</v>
      </c>
      <c r="B430">
        <v>9</v>
      </c>
      <c r="C430">
        <v>45</v>
      </c>
      <c r="D430">
        <v>4</v>
      </c>
      <c r="E430" t="s">
        <v>19</v>
      </c>
      <c r="F430" s="10">
        <f t="shared" si="12"/>
        <v>139</v>
      </c>
      <c r="G430" s="14">
        <f t="shared" si="13"/>
        <v>694.35</v>
      </c>
    </row>
    <row r="431" spans="1:7" x14ac:dyDescent="0.3">
      <c r="A431" s="7">
        <v>306</v>
      </c>
      <c r="B431">
        <v>3</v>
      </c>
      <c r="C431">
        <v>45</v>
      </c>
      <c r="D431">
        <v>9</v>
      </c>
      <c r="E431" t="s">
        <v>15</v>
      </c>
      <c r="F431" s="10">
        <f t="shared" si="12"/>
        <v>10</v>
      </c>
      <c r="G431" s="14">
        <f t="shared" si="13"/>
        <v>137.69999999999999</v>
      </c>
    </row>
    <row r="432" spans="1:7" x14ac:dyDescent="0.3">
      <c r="A432" s="7">
        <v>1690</v>
      </c>
      <c r="B432">
        <v>11</v>
      </c>
      <c r="C432">
        <v>40</v>
      </c>
      <c r="D432">
        <v>3</v>
      </c>
      <c r="E432" t="s">
        <v>16</v>
      </c>
      <c r="F432" s="10">
        <f t="shared" si="12"/>
        <v>186</v>
      </c>
      <c r="G432" s="14">
        <f t="shared" si="13"/>
        <v>676</v>
      </c>
    </row>
    <row r="433" spans="1:7" x14ac:dyDescent="0.3">
      <c r="A433" s="7">
        <v>606</v>
      </c>
      <c r="B433">
        <v>16</v>
      </c>
      <c r="C433">
        <v>30</v>
      </c>
      <c r="D433">
        <v>7</v>
      </c>
      <c r="E433" t="s">
        <v>21</v>
      </c>
      <c r="F433" s="10">
        <f t="shared" si="12"/>
        <v>97</v>
      </c>
      <c r="G433" s="14">
        <f t="shared" si="13"/>
        <v>181.8</v>
      </c>
    </row>
    <row r="434" spans="1:7" x14ac:dyDescent="0.3">
      <c r="A434" s="7">
        <v>5910</v>
      </c>
      <c r="B434">
        <v>17</v>
      </c>
      <c r="C434">
        <v>5</v>
      </c>
      <c r="D434">
        <v>1</v>
      </c>
      <c r="E434" t="s">
        <v>19</v>
      </c>
      <c r="F434" s="10">
        <f t="shared" si="12"/>
        <v>1005</v>
      </c>
      <c r="G434" s="14">
        <f t="shared" si="13"/>
        <v>295.5</v>
      </c>
    </row>
    <row r="435" spans="1:7" x14ac:dyDescent="0.3">
      <c r="A435" s="7">
        <v>339</v>
      </c>
      <c r="B435">
        <v>18</v>
      </c>
      <c r="C435">
        <v>25</v>
      </c>
      <c r="D435">
        <v>10</v>
      </c>
      <c r="E435" t="s">
        <v>21</v>
      </c>
      <c r="F435" s="10">
        <f t="shared" si="12"/>
        <v>62</v>
      </c>
      <c r="G435" s="14">
        <f t="shared" si="13"/>
        <v>84.75</v>
      </c>
    </row>
    <row r="436" spans="1:7" x14ac:dyDescent="0.3">
      <c r="A436" s="7">
        <v>4060</v>
      </c>
      <c r="B436">
        <v>4</v>
      </c>
      <c r="C436">
        <v>25</v>
      </c>
      <c r="D436">
        <v>1</v>
      </c>
      <c r="E436" t="s">
        <v>19</v>
      </c>
      <c r="F436" s="10">
        <f t="shared" si="12"/>
        <v>163</v>
      </c>
      <c r="G436" s="14">
        <f t="shared" si="13"/>
        <v>1015</v>
      </c>
    </row>
    <row r="437" spans="1:7" x14ac:dyDescent="0.3">
      <c r="A437" s="7">
        <v>1160</v>
      </c>
      <c r="B437">
        <v>0</v>
      </c>
      <c r="C437">
        <v>25</v>
      </c>
      <c r="D437">
        <v>6</v>
      </c>
      <c r="E437" t="s">
        <v>15</v>
      </c>
      <c r="F437" s="10">
        <f t="shared" si="12"/>
        <v>0</v>
      </c>
      <c r="G437" s="14">
        <f t="shared" si="13"/>
        <v>290</v>
      </c>
    </row>
    <row r="438" spans="1:7" x14ac:dyDescent="0.3">
      <c r="A438" s="7">
        <v>394</v>
      </c>
      <c r="B438">
        <v>12</v>
      </c>
      <c r="C438">
        <v>30</v>
      </c>
      <c r="D438">
        <v>9</v>
      </c>
      <c r="E438" t="s">
        <v>17</v>
      </c>
      <c r="F438" s="10">
        <f t="shared" si="12"/>
        <v>48</v>
      </c>
      <c r="G438" s="14">
        <f t="shared" si="13"/>
        <v>118.2</v>
      </c>
    </row>
    <row r="439" spans="1:7" x14ac:dyDescent="0.3">
      <c r="A439" s="7">
        <v>930</v>
      </c>
      <c r="B439">
        <v>7</v>
      </c>
      <c r="C439">
        <v>35</v>
      </c>
      <c r="D439">
        <v>7</v>
      </c>
      <c r="E439" t="s">
        <v>19</v>
      </c>
      <c r="F439" s="10">
        <f t="shared" si="12"/>
        <v>66</v>
      </c>
      <c r="G439" s="14">
        <f t="shared" si="13"/>
        <v>325.5</v>
      </c>
    </row>
    <row r="440" spans="1:7" x14ac:dyDescent="0.3">
      <c r="A440" s="7">
        <v>366</v>
      </c>
      <c r="B440">
        <v>7</v>
      </c>
      <c r="C440">
        <v>35</v>
      </c>
      <c r="D440">
        <v>10</v>
      </c>
      <c r="E440" t="s">
        <v>17</v>
      </c>
      <c r="F440" s="10">
        <f t="shared" si="12"/>
        <v>26</v>
      </c>
      <c r="G440" s="14">
        <f t="shared" si="13"/>
        <v>128.1</v>
      </c>
    </row>
    <row r="441" spans="1:7" x14ac:dyDescent="0.3">
      <c r="A441" s="7">
        <v>413</v>
      </c>
      <c r="B441">
        <v>11</v>
      </c>
      <c r="C441">
        <v>10</v>
      </c>
      <c r="D441">
        <v>9</v>
      </c>
      <c r="E441" t="s">
        <v>18</v>
      </c>
      <c r="F441" s="10">
        <f t="shared" si="12"/>
        <v>46</v>
      </c>
      <c r="G441" s="14">
        <f t="shared" si="13"/>
        <v>41.3</v>
      </c>
    </row>
    <row r="442" spans="1:7" x14ac:dyDescent="0.3">
      <c r="A442" s="7">
        <v>357.5</v>
      </c>
      <c r="B442">
        <v>10</v>
      </c>
      <c r="C442">
        <v>25</v>
      </c>
      <c r="D442">
        <v>9</v>
      </c>
      <c r="E442" t="s">
        <v>15</v>
      </c>
      <c r="F442" s="10">
        <f t="shared" si="12"/>
        <v>36</v>
      </c>
      <c r="G442" s="14">
        <f t="shared" si="13"/>
        <v>89.38</v>
      </c>
    </row>
    <row r="443" spans="1:7" x14ac:dyDescent="0.3">
      <c r="A443" s="7">
        <v>2825</v>
      </c>
      <c r="B443">
        <v>2</v>
      </c>
      <c r="C443">
        <v>10</v>
      </c>
      <c r="D443">
        <v>2</v>
      </c>
      <c r="E443" t="s">
        <v>21</v>
      </c>
      <c r="F443" s="10">
        <f t="shared" si="12"/>
        <v>57</v>
      </c>
      <c r="G443" s="14">
        <f t="shared" si="13"/>
        <v>282.5</v>
      </c>
    </row>
    <row r="444" spans="1:7" x14ac:dyDescent="0.3">
      <c r="A444" s="7">
        <v>608</v>
      </c>
      <c r="B444">
        <v>1</v>
      </c>
      <c r="C444">
        <v>15</v>
      </c>
      <c r="D444">
        <v>6</v>
      </c>
      <c r="E444" t="s">
        <v>16</v>
      </c>
      <c r="F444" s="10">
        <f t="shared" si="12"/>
        <v>7</v>
      </c>
      <c r="G444" s="14">
        <f t="shared" si="13"/>
        <v>91.2</v>
      </c>
    </row>
    <row r="445" spans="1:7" x14ac:dyDescent="0.3">
      <c r="A445" s="7">
        <v>4130</v>
      </c>
      <c r="B445">
        <v>18</v>
      </c>
      <c r="C445">
        <v>0</v>
      </c>
      <c r="D445">
        <v>1</v>
      </c>
      <c r="E445" t="s">
        <v>19</v>
      </c>
      <c r="F445" s="10">
        <f t="shared" si="12"/>
        <v>744</v>
      </c>
      <c r="G445" s="14">
        <f t="shared" si="13"/>
        <v>0</v>
      </c>
    </row>
    <row r="446" spans="1:7" x14ac:dyDescent="0.3">
      <c r="A446" s="7">
        <v>851</v>
      </c>
      <c r="B446">
        <v>15</v>
      </c>
      <c r="C446">
        <v>30</v>
      </c>
      <c r="D446">
        <v>8</v>
      </c>
      <c r="E446" t="s">
        <v>17</v>
      </c>
      <c r="F446" s="10">
        <f t="shared" si="12"/>
        <v>128</v>
      </c>
      <c r="G446" s="14">
        <f t="shared" si="13"/>
        <v>255.3</v>
      </c>
    </row>
    <row r="447" spans="1:7" x14ac:dyDescent="0.3">
      <c r="A447" s="7">
        <v>422</v>
      </c>
      <c r="B447">
        <v>20</v>
      </c>
      <c r="C447">
        <v>10</v>
      </c>
      <c r="D447">
        <v>9</v>
      </c>
      <c r="E447" t="s">
        <v>17</v>
      </c>
      <c r="F447" s="10">
        <f t="shared" si="12"/>
        <v>85</v>
      </c>
      <c r="G447" s="14">
        <f t="shared" si="13"/>
        <v>42.2</v>
      </c>
    </row>
    <row r="448" spans="1:7" x14ac:dyDescent="0.3">
      <c r="A448" s="7">
        <v>698</v>
      </c>
      <c r="B448">
        <v>15</v>
      </c>
      <c r="C448">
        <v>0</v>
      </c>
      <c r="D448">
        <v>9</v>
      </c>
      <c r="E448" t="s">
        <v>20</v>
      </c>
      <c r="F448" s="10">
        <f t="shared" si="12"/>
        <v>105</v>
      </c>
      <c r="G448" s="14">
        <f t="shared" si="13"/>
        <v>0</v>
      </c>
    </row>
    <row r="449" spans="1:7" x14ac:dyDescent="0.3">
      <c r="A449" s="7">
        <v>657</v>
      </c>
      <c r="B449">
        <v>2</v>
      </c>
      <c r="C449">
        <v>45</v>
      </c>
      <c r="D449">
        <v>7</v>
      </c>
      <c r="E449" t="s">
        <v>18</v>
      </c>
      <c r="F449" s="10">
        <f t="shared" si="12"/>
        <v>14</v>
      </c>
      <c r="G449" s="14">
        <f t="shared" si="13"/>
        <v>295.64999999999998</v>
      </c>
    </row>
    <row r="450" spans="1:7" x14ac:dyDescent="0.3">
      <c r="A450" s="7">
        <v>957</v>
      </c>
      <c r="B450">
        <v>5</v>
      </c>
      <c r="C450">
        <v>35</v>
      </c>
      <c r="D450">
        <v>3</v>
      </c>
      <c r="E450" t="s">
        <v>18</v>
      </c>
      <c r="F450" s="10">
        <f t="shared" si="12"/>
        <v>48</v>
      </c>
      <c r="G450" s="14">
        <f t="shared" si="13"/>
        <v>334.95</v>
      </c>
    </row>
    <row r="451" spans="1:7" x14ac:dyDescent="0.3">
      <c r="A451" s="7">
        <v>2790</v>
      </c>
      <c r="B451">
        <v>18</v>
      </c>
      <c r="C451">
        <v>30</v>
      </c>
      <c r="D451">
        <v>1</v>
      </c>
      <c r="E451" t="s">
        <v>18</v>
      </c>
      <c r="F451" s="10">
        <f t="shared" ref="F451:F501" si="14">ROUNDUP(0.01*B451*A451,0)</f>
        <v>503</v>
      </c>
      <c r="G451" s="14">
        <f t="shared" ref="G451:G501" si="15">ROUND(C451/100*A451,2)</f>
        <v>837</v>
      </c>
    </row>
    <row r="452" spans="1:7" x14ac:dyDescent="0.3">
      <c r="A452" s="7">
        <v>585</v>
      </c>
      <c r="B452">
        <v>6</v>
      </c>
      <c r="C452">
        <v>5</v>
      </c>
      <c r="D452">
        <v>10</v>
      </c>
      <c r="E452" t="s">
        <v>17</v>
      </c>
      <c r="F452" s="10">
        <f t="shared" si="14"/>
        <v>36</v>
      </c>
      <c r="G452" s="14">
        <f t="shared" si="15"/>
        <v>29.25</v>
      </c>
    </row>
    <row r="453" spans="1:7" x14ac:dyDescent="0.3">
      <c r="A453" s="7">
        <v>1323</v>
      </c>
      <c r="B453">
        <v>2</v>
      </c>
      <c r="C453">
        <v>50</v>
      </c>
      <c r="D453">
        <v>4</v>
      </c>
      <c r="E453" t="s">
        <v>19</v>
      </c>
      <c r="F453" s="10">
        <f t="shared" si="14"/>
        <v>27</v>
      </c>
      <c r="G453" s="14">
        <f t="shared" si="15"/>
        <v>661.5</v>
      </c>
    </row>
    <row r="454" spans="1:7" x14ac:dyDescent="0.3">
      <c r="A454" s="7">
        <v>5490</v>
      </c>
      <c r="B454">
        <v>17</v>
      </c>
      <c r="C454">
        <v>0</v>
      </c>
      <c r="D454">
        <v>1</v>
      </c>
      <c r="E454" t="s">
        <v>18</v>
      </c>
      <c r="F454" s="10">
        <f t="shared" si="14"/>
        <v>934</v>
      </c>
      <c r="G454" s="14">
        <f t="shared" si="15"/>
        <v>0</v>
      </c>
    </row>
    <row r="455" spans="1:7" x14ac:dyDescent="0.3">
      <c r="A455" s="7">
        <v>484</v>
      </c>
      <c r="B455">
        <v>8</v>
      </c>
      <c r="C455">
        <v>0</v>
      </c>
      <c r="D455">
        <v>9</v>
      </c>
      <c r="E455" t="s">
        <v>21</v>
      </c>
      <c r="F455" s="10">
        <f t="shared" si="14"/>
        <v>39</v>
      </c>
      <c r="G455" s="14">
        <f t="shared" si="15"/>
        <v>0</v>
      </c>
    </row>
    <row r="456" spans="1:7" x14ac:dyDescent="0.3">
      <c r="A456" s="7">
        <v>950</v>
      </c>
      <c r="B456">
        <v>8</v>
      </c>
      <c r="C456">
        <v>30</v>
      </c>
      <c r="D456">
        <v>3</v>
      </c>
      <c r="E456" t="s">
        <v>18</v>
      </c>
      <c r="F456" s="10">
        <f t="shared" si="14"/>
        <v>76</v>
      </c>
      <c r="G456" s="14">
        <f t="shared" si="15"/>
        <v>285</v>
      </c>
    </row>
    <row r="457" spans="1:7" x14ac:dyDescent="0.3">
      <c r="A457" s="7">
        <v>672</v>
      </c>
      <c r="B457">
        <v>14</v>
      </c>
      <c r="C457">
        <v>20</v>
      </c>
      <c r="D457">
        <v>5</v>
      </c>
      <c r="E457" t="s">
        <v>18</v>
      </c>
      <c r="F457" s="10">
        <f t="shared" si="14"/>
        <v>95</v>
      </c>
      <c r="G457" s="14">
        <f t="shared" si="15"/>
        <v>134.4</v>
      </c>
    </row>
    <row r="458" spans="1:7" x14ac:dyDescent="0.3">
      <c r="A458" s="7">
        <v>315</v>
      </c>
      <c r="B458">
        <v>13</v>
      </c>
      <c r="C458">
        <v>15</v>
      </c>
      <c r="D458">
        <v>10</v>
      </c>
      <c r="E458" t="s">
        <v>16</v>
      </c>
      <c r="F458" s="10">
        <f t="shared" si="14"/>
        <v>41</v>
      </c>
      <c r="G458" s="14">
        <f t="shared" si="15"/>
        <v>47.25</v>
      </c>
    </row>
    <row r="459" spans="1:7" x14ac:dyDescent="0.3">
      <c r="A459" s="7">
        <v>513</v>
      </c>
      <c r="B459">
        <v>2</v>
      </c>
      <c r="C459">
        <v>50</v>
      </c>
      <c r="D459">
        <v>10</v>
      </c>
      <c r="E459" t="s">
        <v>16</v>
      </c>
      <c r="F459" s="10">
        <f t="shared" si="14"/>
        <v>11</v>
      </c>
      <c r="G459" s="14">
        <f t="shared" si="15"/>
        <v>256.5</v>
      </c>
    </row>
    <row r="460" spans="1:7" x14ac:dyDescent="0.3">
      <c r="A460" s="7">
        <v>417</v>
      </c>
      <c r="B460">
        <v>12</v>
      </c>
      <c r="C460">
        <v>0</v>
      </c>
      <c r="D460">
        <v>9</v>
      </c>
      <c r="E460" t="s">
        <v>16</v>
      </c>
      <c r="F460" s="10">
        <f t="shared" si="14"/>
        <v>51</v>
      </c>
      <c r="G460" s="14">
        <f t="shared" si="15"/>
        <v>0</v>
      </c>
    </row>
    <row r="461" spans="1:7" x14ac:dyDescent="0.3">
      <c r="A461" s="7">
        <v>3485</v>
      </c>
      <c r="B461">
        <v>20</v>
      </c>
      <c r="C461">
        <v>25</v>
      </c>
      <c r="D461">
        <v>2</v>
      </c>
      <c r="E461" t="s">
        <v>16</v>
      </c>
      <c r="F461" s="10">
        <f t="shared" si="14"/>
        <v>697</v>
      </c>
      <c r="G461" s="14">
        <f t="shared" si="15"/>
        <v>871.25</v>
      </c>
    </row>
    <row r="462" spans="1:7" x14ac:dyDescent="0.3">
      <c r="A462" s="7">
        <v>2165</v>
      </c>
      <c r="B462">
        <v>16</v>
      </c>
      <c r="C462">
        <v>0</v>
      </c>
      <c r="D462">
        <v>2</v>
      </c>
      <c r="E462" t="s">
        <v>20</v>
      </c>
      <c r="F462" s="10">
        <f t="shared" si="14"/>
        <v>347</v>
      </c>
      <c r="G462" s="14">
        <f t="shared" si="15"/>
        <v>0</v>
      </c>
    </row>
    <row r="463" spans="1:7" x14ac:dyDescent="0.3">
      <c r="A463" s="7">
        <v>4870</v>
      </c>
      <c r="B463">
        <v>11</v>
      </c>
      <c r="C463">
        <v>0</v>
      </c>
      <c r="D463">
        <v>1</v>
      </c>
      <c r="E463" t="s">
        <v>17</v>
      </c>
      <c r="F463" s="10">
        <f t="shared" si="14"/>
        <v>536</v>
      </c>
      <c r="G463" s="14">
        <f t="shared" si="15"/>
        <v>0</v>
      </c>
    </row>
    <row r="464" spans="1:7" x14ac:dyDescent="0.3">
      <c r="A464" s="7">
        <v>3820</v>
      </c>
      <c r="B464">
        <v>14</v>
      </c>
      <c r="C464">
        <v>25</v>
      </c>
      <c r="D464">
        <v>1</v>
      </c>
      <c r="E464" t="s">
        <v>15</v>
      </c>
      <c r="F464" s="10">
        <f t="shared" si="14"/>
        <v>535</v>
      </c>
      <c r="G464" s="14">
        <f t="shared" si="15"/>
        <v>955</v>
      </c>
    </row>
    <row r="465" spans="1:7" x14ac:dyDescent="0.3">
      <c r="A465" s="7">
        <v>822</v>
      </c>
      <c r="B465">
        <v>7</v>
      </c>
      <c r="C465">
        <v>35</v>
      </c>
      <c r="D465">
        <v>6</v>
      </c>
      <c r="E465" t="s">
        <v>15</v>
      </c>
      <c r="F465" s="10">
        <f t="shared" si="14"/>
        <v>58</v>
      </c>
      <c r="G465" s="14">
        <f t="shared" si="15"/>
        <v>287.7</v>
      </c>
    </row>
    <row r="466" spans="1:7" x14ac:dyDescent="0.3">
      <c r="A466" s="7">
        <v>714</v>
      </c>
      <c r="B466">
        <v>2</v>
      </c>
      <c r="C466">
        <v>30</v>
      </c>
      <c r="D466">
        <v>7</v>
      </c>
      <c r="E466" t="s">
        <v>17</v>
      </c>
      <c r="F466" s="10">
        <f t="shared" si="14"/>
        <v>15</v>
      </c>
      <c r="G466" s="14">
        <f t="shared" si="15"/>
        <v>214.2</v>
      </c>
    </row>
    <row r="467" spans="1:7" x14ac:dyDescent="0.3">
      <c r="A467" s="7">
        <v>3710</v>
      </c>
      <c r="B467">
        <v>2</v>
      </c>
      <c r="C467">
        <v>40</v>
      </c>
      <c r="D467">
        <v>1</v>
      </c>
      <c r="E467" t="s">
        <v>15</v>
      </c>
      <c r="F467" s="10">
        <f t="shared" si="14"/>
        <v>75</v>
      </c>
      <c r="G467" s="14">
        <f t="shared" si="15"/>
        <v>1484</v>
      </c>
    </row>
    <row r="468" spans="1:7" x14ac:dyDescent="0.3">
      <c r="A468" s="7">
        <v>474</v>
      </c>
      <c r="B468">
        <v>13</v>
      </c>
      <c r="C468">
        <v>40</v>
      </c>
      <c r="D468">
        <v>7</v>
      </c>
      <c r="E468" t="s">
        <v>20</v>
      </c>
      <c r="F468" s="10">
        <f t="shared" si="14"/>
        <v>62</v>
      </c>
      <c r="G468" s="14">
        <f t="shared" si="15"/>
        <v>189.6</v>
      </c>
    </row>
    <row r="469" spans="1:7" x14ac:dyDescent="0.3">
      <c r="A469" s="7">
        <v>3220</v>
      </c>
      <c r="B469">
        <v>12</v>
      </c>
      <c r="C469">
        <v>40</v>
      </c>
      <c r="D469">
        <v>1</v>
      </c>
      <c r="E469" t="s">
        <v>15</v>
      </c>
      <c r="F469" s="10">
        <f t="shared" si="14"/>
        <v>387</v>
      </c>
      <c r="G469" s="14">
        <f t="shared" si="15"/>
        <v>1288</v>
      </c>
    </row>
    <row r="470" spans="1:7" x14ac:dyDescent="0.3">
      <c r="A470" s="7">
        <v>6270</v>
      </c>
      <c r="B470">
        <v>14</v>
      </c>
      <c r="C470">
        <v>5</v>
      </c>
      <c r="D470">
        <v>1</v>
      </c>
      <c r="E470" t="s">
        <v>21</v>
      </c>
      <c r="F470" s="10">
        <f t="shared" si="14"/>
        <v>878</v>
      </c>
      <c r="G470" s="14">
        <f t="shared" si="15"/>
        <v>313.5</v>
      </c>
    </row>
    <row r="471" spans="1:7" x14ac:dyDescent="0.3">
      <c r="A471" s="7">
        <v>773</v>
      </c>
      <c r="B471">
        <v>12</v>
      </c>
      <c r="C471">
        <v>30</v>
      </c>
      <c r="D471">
        <v>8</v>
      </c>
      <c r="E471" t="s">
        <v>15</v>
      </c>
      <c r="F471" s="10">
        <f t="shared" si="14"/>
        <v>93</v>
      </c>
      <c r="G471" s="14">
        <f t="shared" si="15"/>
        <v>231.9</v>
      </c>
    </row>
    <row r="472" spans="1:7" x14ac:dyDescent="0.3">
      <c r="A472" s="7">
        <v>590</v>
      </c>
      <c r="B472">
        <v>0</v>
      </c>
      <c r="C472">
        <v>45</v>
      </c>
      <c r="D472">
        <v>10</v>
      </c>
      <c r="E472" t="s">
        <v>21</v>
      </c>
      <c r="F472" s="10">
        <f t="shared" si="14"/>
        <v>0</v>
      </c>
      <c r="G472" s="14">
        <f t="shared" si="15"/>
        <v>265.5</v>
      </c>
    </row>
    <row r="473" spans="1:7" x14ac:dyDescent="0.3">
      <c r="A473" s="7">
        <v>569</v>
      </c>
      <c r="B473">
        <v>2</v>
      </c>
      <c r="C473">
        <v>20</v>
      </c>
      <c r="D473">
        <v>10</v>
      </c>
      <c r="E473" t="s">
        <v>17</v>
      </c>
      <c r="F473" s="10">
        <f t="shared" si="14"/>
        <v>12</v>
      </c>
      <c r="G473" s="14">
        <f t="shared" si="15"/>
        <v>113.8</v>
      </c>
    </row>
    <row r="474" spans="1:7" x14ac:dyDescent="0.3">
      <c r="A474" s="7">
        <v>3730</v>
      </c>
      <c r="B474">
        <v>17</v>
      </c>
      <c r="C474">
        <v>40</v>
      </c>
      <c r="D474">
        <v>1</v>
      </c>
      <c r="E474" t="s">
        <v>17</v>
      </c>
      <c r="F474" s="10">
        <f t="shared" si="14"/>
        <v>635</v>
      </c>
      <c r="G474" s="14">
        <f t="shared" si="15"/>
        <v>1492</v>
      </c>
    </row>
    <row r="475" spans="1:7" x14ac:dyDescent="0.3">
      <c r="A475" s="7">
        <v>3160</v>
      </c>
      <c r="B475">
        <v>11</v>
      </c>
      <c r="C475">
        <v>20</v>
      </c>
      <c r="D475">
        <v>1</v>
      </c>
      <c r="E475" t="s">
        <v>16</v>
      </c>
      <c r="F475" s="10">
        <f t="shared" si="14"/>
        <v>348</v>
      </c>
      <c r="G475" s="14">
        <f t="shared" si="15"/>
        <v>632</v>
      </c>
    </row>
    <row r="476" spans="1:7" x14ac:dyDescent="0.3">
      <c r="A476" s="7">
        <v>596</v>
      </c>
      <c r="B476">
        <v>6</v>
      </c>
      <c r="C476">
        <v>25</v>
      </c>
      <c r="D476">
        <v>7</v>
      </c>
      <c r="E476" t="s">
        <v>19</v>
      </c>
      <c r="F476" s="10">
        <f t="shared" si="14"/>
        <v>36</v>
      </c>
      <c r="G476" s="14">
        <f t="shared" si="15"/>
        <v>149</v>
      </c>
    </row>
    <row r="477" spans="1:7" x14ac:dyDescent="0.3">
      <c r="A477" s="7">
        <v>6170</v>
      </c>
      <c r="B477">
        <v>14</v>
      </c>
      <c r="C477">
        <v>20</v>
      </c>
      <c r="D477">
        <v>1</v>
      </c>
      <c r="E477" t="s">
        <v>18</v>
      </c>
      <c r="F477" s="10">
        <f t="shared" si="14"/>
        <v>864</v>
      </c>
      <c r="G477" s="14">
        <f t="shared" si="15"/>
        <v>1234</v>
      </c>
    </row>
    <row r="478" spans="1:7" x14ac:dyDescent="0.3">
      <c r="A478" s="7">
        <v>1300</v>
      </c>
      <c r="B478">
        <v>14</v>
      </c>
      <c r="C478">
        <v>40</v>
      </c>
      <c r="D478">
        <v>4</v>
      </c>
      <c r="E478" t="s">
        <v>20</v>
      </c>
      <c r="F478" s="10">
        <f t="shared" si="14"/>
        <v>182</v>
      </c>
      <c r="G478" s="14">
        <f t="shared" si="15"/>
        <v>520</v>
      </c>
    </row>
    <row r="479" spans="1:7" x14ac:dyDescent="0.3">
      <c r="A479" s="7">
        <v>345</v>
      </c>
      <c r="B479">
        <v>7</v>
      </c>
      <c r="C479">
        <v>10</v>
      </c>
      <c r="D479">
        <v>10</v>
      </c>
      <c r="E479" t="s">
        <v>20</v>
      </c>
      <c r="F479" s="10">
        <f t="shared" si="14"/>
        <v>25</v>
      </c>
      <c r="G479" s="14">
        <f t="shared" si="15"/>
        <v>34.5</v>
      </c>
    </row>
    <row r="480" spans="1:7" x14ac:dyDescent="0.3">
      <c r="A480" s="7">
        <v>1623</v>
      </c>
      <c r="B480">
        <v>6</v>
      </c>
      <c r="C480">
        <v>35</v>
      </c>
      <c r="D480">
        <v>4</v>
      </c>
      <c r="E480" t="s">
        <v>17</v>
      </c>
      <c r="F480" s="10">
        <f t="shared" si="14"/>
        <v>98</v>
      </c>
      <c r="G480" s="14">
        <f t="shared" si="15"/>
        <v>568.04999999999995</v>
      </c>
    </row>
    <row r="481" spans="1:7" x14ac:dyDescent="0.3">
      <c r="A481" s="7">
        <v>6450</v>
      </c>
      <c r="B481">
        <v>3</v>
      </c>
      <c r="C481">
        <v>25</v>
      </c>
      <c r="D481">
        <v>1</v>
      </c>
      <c r="E481" t="s">
        <v>21</v>
      </c>
      <c r="F481" s="10">
        <f t="shared" si="14"/>
        <v>194</v>
      </c>
      <c r="G481" s="14">
        <f t="shared" si="15"/>
        <v>1612.5</v>
      </c>
    </row>
    <row r="482" spans="1:7" x14ac:dyDescent="0.3">
      <c r="A482" s="7">
        <v>6140</v>
      </c>
      <c r="B482">
        <v>19</v>
      </c>
      <c r="C482">
        <v>45</v>
      </c>
      <c r="D482">
        <v>1</v>
      </c>
      <c r="E482" t="s">
        <v>20</v>
      </c>
      <c r="F482" s="10">
        <f t="shared" si="14"/>
        <v>1167</v>
      </c>
      <c r="G482" s="14">
        <f t="shared" si="15"/>
        <v>2763</v>
      </c>
    </row>
    <row r="483" spans="1:7" x14ac:dyDescent="0.3">
      <c r="A483" s="7">
        <v>1640</v>
      </c>
      <c r="B483">
        <v>5</v>
      </c>
      <c r="C483">
        <v>15</v>
      </c>
      <c r="D483">
        <v>4</v>
      </c>
      <c r="E483" t="s">
        <v>21</v>
      </c>
      <c r="F483" s="10">
        <f t="shared" si="14"/>
        <v>82</v>
      </c>
      <c r="G483" s="14">
        <f t="shared" si="15"/>
        <v>246</v>
      </c>
    </row>
    <row r="484" spans="1:7" x14ac:dyDescent="0.3">
      <c r="A484" s="7">
        <v>610</v>
      </c>
      <c r="B484">
        <v>11</v>
      </c>
      <c r="C484">
        <v>35</v>
      </c>
      <c r="D484">
        <v>10</v>
      </c>
      <c r="E484" t="s">
        <v>19</v>
      </c>
      <c r="F484" s="10">
        <f t="shared" si="14"/>
        <v>68</v>
      </c>
      <c r="G484" s="14">
        <f t="shared" si="15"/>
        <v>213.5</v>
      </c>
    </row>
    <row r="485" spans="1:7" x14ac:dyDescent="0.3">
      <c r="A485" s="7">
        <v>531</v>
      </c>
      <c r="B485">
        <v>18</v>
      </c>
      <c r="C485">
        <v>30</v>
      </c>
      <c r="D485">
        <v>10</v>
      </c>
      <c r="E485" t="s">
        <v>17</v>
      </c>
      <c r="F485" s="10">
        <f t="shared" si="14"/>
        <v>96</v>
      </c>
      <c r="G485" s="14">
        <f t="shared" si="15"/>
        <v>159.30000000000001</v>
      </c>
    </row>
    <row r="486" spans="1:7" x14ac:dyDescent="0.3">
      <c r="A486" s="7">
        <v>588</v>
      </c>
      <c r="B486">
        <v>14</v>
      </c>
      <c r="C486">
        <v>20</v>
      </c>
      <c r="D486">
        <v>5</v>
      </c>
      <c r="E486" t="s">
        <v>16</v>
      </c>
      <c r="F486" s="10">
        <f t="shared" si="14"/>
        <v>83</v>
      </c>
      <c r="G486" s="14">
        <f t="shared" si="15"/>
        <v>117.6</v>
      </c>
    </row>
    <row r="487" spans="1:7" x14ac:dyDescent="0.3">
      <c r="A487" s="7">
        <v>4630</v>
      </c>
      <c r="B487">
        <v>18</v>
      </c>
      <c r="C487">
        <v>25</v>
      </c>
      <c r="D487">
        <v>1</v>
      </c>
      <c r="E487" t="s">
        <v>16</v>
      </c>
      <c r="F487" s="10">
        <f t="shared" si="14"/>
        <v>834</v>
      </c>
      <c r="G487" s="14">
        <f t="shared" si="15"/>
        <v>1157.5</v>
      </c>
    </row>
    <row r="488" spans="1:7" x14ac:dyDescent="0.3">
      <c r="A488" s="7">
        <v>669.9</v>
      </c>
      <c r="B488">
        <v>6</v>
      </c>
      <c r="C488">
        <v>0</v>
      </c>
      <c r="D488">
        <v>9</v>
      </c>
      <c r="E488" t="s">
        <v>16</v>
      </c>
      <c r="F488" s="10">
        <f t="shared" si="14"/>
        <v>41</v>
      </c>
      <c r="G488" s="14">
        <f t="shared" si="15"/>
        <v>0</v>
      </c>
    </row>
    <row r="489" spans="1:7" x14ac:dyDescent="0.3">
      <c r="A489" s="7">
        <v>4250</v>
      </c>
      <c r="B489">
        <v>19</v>
      </c>
      <c r="C489">
        <v>35</v>
      </c>
      <c r="D489">
        <v>1</v>
      </c>
      <c r="E489" t="s">
        <v>21</v>
      </c>
      <c r="F489" s="10">
        <f t="shared" si="14"/>
        <v>808</v>
      </c>
      <c r="G489" s="14">
        <f t="shared" si="15"/>
        <v>1487.5</v>
      </c>
    </row>
    <row r="490" spans="1:7" x14ac:dyDescent="0.3">
      <c r="A490" s="7">
        <v>5970</v>
      </c>
      <c r="B490">
        <v>5</v>
      </c>
      <c r="C490">
        <v>20</v>
      </c>
      <c r="D490">
        <v>1</v>
      </c>
      <c r="E490" t="s">
        <v>20</v>
      </c>
      <c r="F490" s="10">
        <f t="shared" si="14"/>
        <v>299</v>
      </c>
      <c r="G490" s="14">
        <f t="shared" si="15"/>
        <v>1194</v>
      </c>
    </row>
    <row r="491" spans="1:7" x14ac:dyDescent="0.3">
      <c r="A491" s="7">
        <v>386</v>
      </c>
      <c r="B491">
        <v>14</v>
      </c>
      <c r="C491">
        <v>15</v>
      </c>
      <c r="D491">
        <v>10</v>
      </c>
      <c r="E491" t="s">
        <v>16</v>
      </c>
      <c r="F491" s="10">
        <f t="shared" si="14"/>
        <v>55</v>
      </c>
      <c r="G491" s="14">
        <f t="shared" si="15"/>
        <v>57.9</v>
      </c>
    </row>
    <row r="492" spans="1:7" x14ac:dyDescent="0.3">
      <c r="A492" s="7">
        <v>510</v>
      </c>
      <c r="B492">
        <v>8</v>
      </c>
      <c r="C492">
        <v>20</v>
      </c>
      <c r="D492">
        <v>10</v>
      </c>
      <c r="E492" t="s">
        <v>17</v>
      </c>
      <c r="F492" s="10">
        <f t="shared" si="14"/>
        <v>41</v>
      </c>
      <c r="G492" s="14">
        <f t="shared" si="15"/>
        <v>102</v>
      </c>
    </row>
    <row r="493" spans="1:7" x14ac:dyDescent="0.3">
      <c r="A493" s="7">
        <v>4490</v>
      </c>
      <c r="B493">
        <v>1</v>
      </c>
      <c r="C493">
        <v>5</v>
      </c>
      <c r="D493">
        <v>1</v>
      </c>
      <c r="E493" t="s">
        <v>18</v>
      </c>
      <c r="F493" s="10">
        <f t="shared" si="14"/>
        <v>45</v>
      </c>
      <c r="G493" s="14">
        <f t="shared" si="15"/>
        <v>224.5</v>
      </c>
    </row>
    <row r="494" spans="1:7" x14ac:dyDescent="0.3">
      <c r="A494" s="7">
        <v>6880</v>
      </c>
      <c r="B494">
        <v>0</v>
      </c>
      <c r="C494">
        <v>40</v>
      </c>
      <c r="D494">
        <v>1</v>
      </c>
      <c r="E494" t="s">
        <v>19</v>
      </c>
      <c r="F494" s="10">
        <f t="shared" si="14"/>
        <v>0</v>
      </c>
      <c r="G494" s="14">
        <f t="shared" si="15"/>
        <v>2752</v>
      </c>
    </row>
    <row r="495" spans="1:7" x14ac:dyDescent="0.3">
      <c r="A495" s="7">
        <v>1208</v>
      </c>
      <c r="B495">
        <v>15</v>
      </c>
      <c r="C495">
        <v>0</v>
      </c>
      <c r="D495">
        <v>4</v>
      </c>
      <c r="E495" t="s">
        <v>20</v>
      </c>
      <c r="F495" s="10">
        <f t="shared" si="14"/>
        <v>182</v>
      </c>
      <c r="G495" s="14">
        <f t="shared" si="15"/>
        <v>0</v>
      </c>
    </row>
    <row r="496" spans="1:7" x14ac:dyDescent="0.3">
      <c r="A496" s="7">
        <v>5100</v>
      </c>
      <c r="B496">
        <v>13</v>
      </c>
      <c r="C496">
        <v>45</v>
      </c>
      <c r="D496">
        <v>1</v>
      </c>
      <c r="E496" t="s">
        <v>17</v>
      </c>
      <c r="F496" s="10">
        <f t="shared" si="14"/>
        <v>663</v>
      </c>
      <c r="G496" s="14">
        <f t="shared" si="15"/>
        <v>2295</v>
      </c>
    </row>
    <row r="497" spans="1:7" x14ac:dyDescent="0.3">
      <c r="A497" s="7">
        <v>900</v>
      </c>
      <c r="B497">
        <v>0</v>
      </c>
      <c r="C497">
        <v>40</v>
      </c>
      <c r="D497">
        <v>7</v>
      </c>
      <c r="E497" t="s">
        <v>18</v>
      </c>
      <c r="F497" s="10">
        <f t="shared" si="14"/>
        <v>0</v>
      </c>
      <c r="G497" s="14">
        <f t="shared" si="15"/>
        <v>360</v>
      </c>
    </row>
    <row r="498" spans="1:7" x14ac:dyDescent="0.3">
      <c r="A498" s="7">
        <v>911</v>
      </c>
      <c r="B498">
        <v>5</v>
      </c>
      <c r="C498">
        <v>10</v>
      </c>
      <c r="D498">
        <v>7</v>
      </c>
      <c r="E498" t="s">
        <v>20</v>
      </c>
      <c r="F498" s="10">
        <f t="shared" si="14"/>
        <v>46</v>
      </c>
      <c r="G498" s="14">
        <f t="shared" si="15"/>
        <v>91.1</v>
      </c>
    </row>
    <row r="499" spans="1:7" x14ac:dyDescent="0.3">
      <c r="A499" s="7">
        <v>463</v>
      </c>
      <c r="B499">
        <v>8</v>
      </c>
      <c r="C499">
        <v>20</v>
      </c>
      <c r="D499">
        <v>7</v>
      </c>
      <c r="E499" t="s">
        <v>16</v>
      </c>
      <c r="F499" s="10">
        <f t="shared" si="14"/>
        <v>38</v>
      </c>
      <c r="G499" s="14">
        <f t="shared" si="15"/>
        <v>92.6</v>
      </c>
    </row>
    <row r="500" spans="1:7" x14ac:dyDescent="0.3">
      <c r="A500" s="7">
        <v>641.20000000000005</v>
      </c>
      <c r="B500">
        <v>12</v>
      </c>
      <c r="C500">
        <v>14</v>
      </c>
      <c r="D500">
        <v>6</v>
      </c>
      <c r="E500" t="s">
        <v>19</v>
      </c>
      <c r="F500" s="10">
        <f t="shared" si="14"/>
        <v>77</v>
      </c>
      <c r="G500" s="14">
        <f t="shared" si="15"/>
        <v>89.77</v>
      </c>
    </row>
    <row r="501" spans="1:7" x14ac:dyDescent="0.3">
      <c r="A501" s="7">
        <v>550</v>
      </c>
      <c r="B501">
        <v>14</v>
      </c>
      <c r="C501">
        <v>45</v>
      </c>
      <c r="D501">
        <v>7</v>
      </c>
      <c r="E501" t="s">
        <v>21</v>
      </c>
      <c r="F501" s="10">
        <f t="shared" si="14"/>
        <v>77</v>
      </c>
      <c r="G501" s="14">
        <f t="shared" si="15"/>
        <v>247.5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1"/>
  <sheetViews>
    <sheetView workbookViewId="0">
      <selection activeCell="P22" sqref="P22"/>
    </sheetView>
  </sheetViews>
  <sheetFormatPr defaultRowHeight="14.4" x14ac:dyDescent="0.3"/>
  <cols>
    <col min="1" max="1" width="13.33203125" style="7" bestFit="1" customWidth="1"/>
    <col min="2" max="2" width="10.109375" bestFit="1" customWidth="1"/>
    <col min="3" max="3" width="12" bestFit="1" customWidth="1"/>
    <col min="4" max="4" width="4.77734375" bestFit="1" customWidth="1"/>
    <col min="5" max="5" width="6.77734375" bestFit="1" customWidth="1"/>
    <col min="6" max="6" width="13.6640625" customWidth="1"/>
    <col min="7" max="7" width="11.88671875" customWidth="1"/>
    <col min="13" max="13" width="16.6640625" bestFit="1" customWidth="1"/>
    <col min="14" max="14" width="19.88671875" bestFit="1" customWidth="1"/>
  </cols>
  <sheetData>
    <row r="1" spans="1:14" x14ac:dyDescent="0.3">
      <c r="A1" s="8" t="s">
        <v>10</v>
      </c>
      <c r="B1" s="9" t="s">
        <v>11</v>
      </c>
      <c r="C1" s="9" t="s">
        <v>12</v>
      </c>
      <c r="D1" s="9" t="s">
        <v>13</v>
      </c>
      <c r="E1" s="9" t="s">
        <v>14</v>
      </c>
      <c r="F1" s="9" t="s">
        <v>26</v>
      </c>
      <c r="J1">
        <v>0</v>
      </c>
      <c r="K1" t="s">
        <v>22</v>
      </c>
      <c r="M1" s="2" t="s">
        <v>14</v>
      </c>
      <c r="N1" t="s">
        <v>18</v>
      </c>
    </row>
    <row r="2" spans="1:14" x14ac:dyDescent="0.3">
      <c r="A2" s="7">
        <v>1445.5</v>
      </c>
      <c r="B2">
        <v>3</v>
      </c>
      <c r="C2">
        <v>27</v>
      </c>
      <c r="D2">
        <v>4</v>
      </c>
      <c r="E2" t="s">
        <v>15</v>
      </c>
      <c r="F2" t="str">
        <f>VLOOKUP(B2,$J$1:$K$4,2)</f>
        <v>[0 - 4]</v>
      </c>
      <c r="J2">
        <v>5</v>
      </c>
      <c r="K2" t="s">
        <v>23</v>
      </c>
    </row>
    <row r="3" spans="1:14" x14ac:dyDescent="0.3">
      <c r="A3" s="7">
        <v>2690</v>
      </c>
      <c r="B3">
        <v>1</v>
      </c>
      <c r="C3">
        <v>5</v>
      </c>
      <c r="D3">
        <v>2</v>
      </c>
      <c r="E3" t="s">
        <v>16</v>
      </c>
      <c r="F3" t="str">
        <f t="shared" ref="F3:F66" si="0">VLOOKUP(B3,$J$1:$K$4,2)</f>
        <v>[0 - 4]</v>
      </c>
      <c r="J3">
        <v>10</v>
      </c>
      <c r="K3" t="s">
        <v>24</v>
      </c>
      <c r="M3" s="2" t="s">
        <v>4</v>
      </c>
      <c r="N3" s="5" t="s">
        <v>27</v>
      </c>
    </row>
    <row r="4" spans="1:14" x14ac:dyDescent="0.3">
      <c r="A4" s="7">
        <v>3300</v>
      </c>
      <c r="B4">
        <v>19</v>
      </c>
      <c r="C4">
        <v>30</v>
      </c>
      <c r="D4">
        <v>1</v>
      </c>
      <c r="E4" t="s">
        <v>15</v>
      </c>
      <c r="F4" t="str">
        <f t="shared" si="0"/>
        <v>[15 - 20]</v>
      </c>
      <c r="J4">
        <v>15</v>
      </c>
      <c r="K4" t="s">
        <v>25</v>
      </c>
      <c r="M4" s="3" t="s">
        <v>22</v>
      </c>
      <c r="N4" s="5">
        <v>2.2142857142857144</v>
      </c>
    </row>
    <row r="5" spans="1:14" x14ac:dyDescent="0.3">
      <c r="A5" s="7">
        <v>3900</v>
      </c>
      <c r="B5">
        <v>1</v>
      </c>
      <c r="C5">
        <v>10</v>
      </c>
      <c r="D5">
        <v>1</v>
      </c>
      <c r="E5" t="s">
        <v>16</v>
      </c>
      <c r="F5" t="str">
        <f t="shared" si="0"/>
        <v>[0 - 4]</v>
      </c>
      <c r="M5" s="3" t="s">
        <v>24</v>
      </c>
      <c r="N5" s="5">
        <v>12.529411764705882</v>
      </c>
    </row>
    <row r="6" spans="1:14" x14ac:dyDescent="0.3">
      <c r="A6" s="7">
        <v>3560</v>
      </c>
      <c r="B6">
        <v>17</v>
      </c>
      <c r="C6">
        <v>29</v>
      </c>
      <c r="D6">
        <v>1</v>
      </c>
      <c r="E6" t="s">
        <v>17</v>
      </c>
      <c r="F6" t="str">
        <f t="shared" si="0"/>
        <v>[15 - 20]</v>
      </c>
      <c r="M6" s="3" t="s">
        <v>25</v>
      </c>
      <c r="N6" s="5">
        <v>18.3125</v>
      </c>
    </row>
    <row r="7" spans="1:14" x14ac:dyDescent="0.3">
      <c r="A7" s="7">
        <v>586</v>
      </c>
      <c r="B7">
        <v>10</v>
      </c>
      <c r="C7">
        <v>1</v>
      </c>
      <c r="D7">
        <v>7</v>
      </c>
      <c r="E7" t="s">
        <v>16</v>
      </c>
      <c r="F7" t="str">
        <f t="shared" si="0"/>
        <v>[10 - 14]</v>
      </c>
      <c r="M7" s="3" t="s">
        <v>23</v>
      </c>
      <c r="N7" s="5">
        <v>7.166666666666667</v>
      </c>
    </row>
    <row r="8" spans="1:14" x14ac:dyDescent="0.3">
      <c r="A8" s="7">
        <v>520</v>
      </c>
      <c r="B8">
        <v>9</v>
      </c>
      <c r="C8">
        <v>40</v>
      </c>
      <c r="D8">
        <v>9</v>
      </c>
      <c r="E8" t="s">
        <v>18</v>
      </c>
      <c r="F8" t="str">
        <f t="shared" si="0"/>
        <v>[5 - 9]</v>
      </c>
      <c r="M8" s="3" t="s">
        <v>5</v>
      </c>
      <c r="N8" s="5">
        <v>10.246153846153845</v>
      </c>
    </row>
    <row r="9" spans="1:14" x14ac:dyDescent="0.3">
      <c r="A9" s="7">
        <v>3980</v>
      </c>
      <c r="B9">
        <v>3</v>
      </c>
      <c r="C9">
        <v>25</v>
      </c>
      <c r="D9">
        <v>1</v>
      </c>
      <c r="E9" t="s">
        <v>19</v>
      </c>
      <c r="F9" t="str">
        <f t="shared" si="0"/>
        <v>[0 - 4]</v>
      </c>
    </row>
    <row r="10" spans="1:14" x14ac:dyDescent="0.3">
      <c r="A10" s="7">
        <v>409.5</v>
      </c>
      <c r="B10">
        <v>0</v>
      </c>
      <c r="C10">
        <v>30</v>
      </c>
      <c r="D10">
        <v>9</v>
      </c>
      <c r="E10" t="s">
        <v>16</v>
      </c>
      <c r="F10" t="str">
        <f t="shared" si="0"/>
        <v>[0 - 4]</v>
      </c>
    </row>
    <row r="11" spans="1:14" x14ac:dyDescent="0.3">
      <c r="A11" s="7">
        <v>1475</v>
      </c>
      <c r="B11">
        <v>5</v>
      </c>
      <c r="C11">
        <v>15</v>
      </c>
      <c r="D11">
        <v>4</v>
      </c>
      <c r="E11" t="s">
        <v>20</v>
      </c>
      <c r="F11" t="str">
        <f t="shared" si="0"/>
        <v>[5 - 9]</v>
      </c>
    </row>
    <row r="12" spans="1:14" x14ac:dyDescent="0.3">
      <c r="A12" s="7">
        <v>906</v>
      </c>
      <c r="B12">
        <v>14</v>
      </c>
      <c r="C12">
        <v>5</v>
      </c>
      <c r="D12">
        <v>5</v>
      </c>
      <c r="E12" t="s">
        <v>17</v>
      </c>
      <c r="F12" t="str">
        <f t="shared" si="0"/>
        <v>[10 - 14]</v>
      </c>
    </row>
    <row r="13" spans="1:14" x14ac:dyDescent="0.3">
      <c r="A13" s="7">
        <v>2825</v>
      </c>
      <c r="B13">
        <v>12</v>
      </c>
      <c r="C13">
        <v>15</v>
      </c>
      <c r="D13">
        <v>2</v>
      </c>
      <c r="E13" t="s">
        <v>20</v>
      </c>
      <c r="F13" t="str">
        <f t="shared" si="0"/>
        <v>[10 - 14]</v>
      </c>
    </row>
    <row r="14" spans="1:14" x14ac:dyDescent="0.3">
      <c r="A14" s="7">
        <v>5810</v>
      </c>
      <c r="B14">
        <v>2</v>
      </c>
      <c r="C14">
        <v>5</v>
      </c>
      <c r="D14">
        <v>1</v>
      </c>
      <c r="E14" t="s">
        <v>18</v>
      </c>
      <c r="F14" t="str">
        <f t="shared" si="0"/>
        <v>[0 - 4]</v>
      </c>
    </row>
    <row r="15" spans="1:14" x14ac:dyDescent="0.3">
      <c r="A15" s="7">
        <v>889.7</v>
      </c>
      <c r="B15">
        <v>3</v>
      </c>
      <c r="C15">
        <v>45</v>
      </c>
      <c r="D15">
        <v>7</v>
      </c>
      <c r="E15" t="s">
        <v>17</v>
      </c>
      <c r="F15" t="str">
        <f t="shared" si="0"/>
        <v>[0 - 4]</v>
      </c>
    </row>
    <row r="16" spans="1:14" x14ac:dyDescent="0.3">
      <c r="A16" s="7">
        <v>5410</v>
      </c>
      <c r="B16">
        <v>7</v>
      </c>
      <c r="C16">
        <v>50</v>
      </c>
      <c r="D16">
        <v>1</v>
      </c>
      <c r="E16" t="s">
        <v>15</v>
      </c>
      <c r="F16" t="str">
        <f t="shared" si="0"/>
        <v>[5 - 9]</v>
      </c>
    </row>
    <row r="17" spans="1:6" x14ac:dyDescent="0.3">
      <c r="A17" s="7">
        <v>533</v>
      </c>
      <c r="B17">
        <v>6</v>
      </c>
      <c r="C17">
        <v>5</v>
      </c>
      <c r="D17">
        <v>8</v>
      </c>
      <c r="E17" t="s">
        <v>17</v>
      </c>
      <c r="F17" t="str">
        <f t="shared" si="0"/>
        <v>[5 - 9]</v>
      </c>
    </row>
    <row r="18" spans="1:6" x14ac:dyDescent="0.3">
      <c r="A18" s="7">
        <v>502</v>
      </c>
      <c r="B18">
        <v>1</v>
      </c>
      <c r="C18">
        <v>35</v>
      </c>
      <c r="D18">
        <v>6</v>
      </c>
      <c r="E18" t="s">
        <v>16</v>
      </c>
      <c r="F18" t="str">
        <f t="shared" si="0"/>
        <v>[0 - 4]</v>
      </c>
    </row>
    <row r="19" spans="1:6" x14ac:dyDescent="0.3">
      <c r="A19" s="7">
        <v>628</v>
      </c>
      <c r="B19">
        <v>15</v>
      </c>
      <c r="C19">
        <v>15</v>
      </c>
      <c r="D19">
        <v>8</v>
      </c>
      <c r="E19" t="s">
        <v>17</v>
      </c>
      <c r="F19" t="str">
        <f t="shared" si="0"/>
        <v>[15 - 20]</v>
      </c>
    </row>
    <row r="20" spans="1:6" x14ac:dyDescent="0.3">
      <c r="A20" s="7">
        <v>5640</v>
      </c>
      <c r="B20">
        <v>12</v>
      </c>
      <c r="C20">
        <v>40</v>
      </c>
      <c r="D20">
        <v>1</v>
      </c>
      <c r="E20" t="s">
        <v>16</v>
      </c>
      <c r="F20" t="str">
        <f t="shared" si="0"/>
        <v>[10 - 14]</v>
      </c>
    </row>
    <row r="21" spans="1:6" x14ac:dyDescent="0.3">
      <c r="A21" s="7">
        <v>4470</v>
      </c>
      <c r="B21">
        <v>3</v>
      </c>
      <c r="C21">
        <v>40</v>
      </c>
      <c r="D21">
        <v>1</v>
      </c>
      <c r="E21" t="s">
        <v>21</v>
      </c>
      <c r="F21" t="str">
        <f t="shared" si="0"/>
        <v>[0 - 4]</v>
      </c>
    </row>
    <row r="22" spans="1:6" x14ac:dyDescent="0.3">
      <c r="A22" s="7">
        <v>7000</v>
      </c>
      <c r="B22">
        <v>3</v>
      </c>
      <c r="C22">
        <v>40</v>
      </c>
      <c r="D22">
        <v>1</v>
      </c>
      <c r="E22" t="s">
        <v>19</v>
      </c>
      <c r="F22" t="str">
        <f t="shared" si="0"/>
        <v>[0 - 4]</v>
      </c>
    </row>
    <row r="23" spans="1:6" x14ac:dyDescent="0.3">
      <c r="A23" s="7">
        <v>1020</v>
      </c>
      <c r="B23">
        <v>15</v>
      </c>
      <c r="C23">
        <v>10</v>
      </c>
      <c r="D23">
        <v>5</v>
      </c>
      <c r="E23" t="s">
        <v>21</v>
      </c>
      <c r="F23" t="str">
        <f t="shared" si="0"/>
        <v>[15 - 20]</v>
      </c>
    </row>
    <row r="24" spans="1:6" x14ac:dyDescent="0.3">
      <c r="A24" s="7">
        <v>534.5</v>
      </c>
      <c r="B24">
        <v>15</v>
      </c>
      <c r="C24">
        <v>35</v>
      </c>
      <c r="D24">
        <v>8</v>
      </c>
      <c r="E24" t="s">
        <v>17</v>
      </c>
      <c r="F24" t="str">
        <f t="shared" si="0"/>
        <v>[15 - 20]</v>
      </c>
    </row>
    <row r="25" spans="1:6" x14ac:dyDescent="0.3">
      <c r="A25" s="7">
        <v>2113</v>
      </c>
      <c r="B25">
        <v>4</v>
      </c>
      <c r="C25">
        <v>20</v>
      </c>
      <c r="D25">
        <v>3</v>
      </c>
      <c r="E25" t="s">
        <v>15</v>
      </c>
      <c r="F25" t="str">
        <f t="shared" si="0"/>
        <v>[0 - 4]</v>
      </c>
    </row>
    <row r="26" spans="1:6" x14ac:dyDescent="0.3">
      <c r="A26" s="7">
        <v>623</v>
      </c>
      <c r="B26">
        <v>5</v>
      </c>
      <c r="C26">
        <v>5</v>
      </c>
      <c r="D26">
        <v>7</v>
      </c>
      <c r="E26" t="s">
        <v>21</v>
      </c>
      <c r="F26" t="str">
        <f t="shared" si="0"/>
        <v>[5 - 9]</v>
      </c>
    </row>
    <row r="27" spans="1:6" x14ac:dyDescent="0.3">
      <c r="A27" s="7">
        <v>530</v>
      </c>
      <c r="B27">
        <v>8</v>
      </c>
      <c r="C27">
        <v>5</v>
      </c>
      <c r="D27">
        <v>9</v>
      </c>
      <c r="E27" t="s">
        <v>18</v>
      </c>
      <c r="F27" t="str">
        <f t="shared" si="0"/>
        <v>[5 - 9]</v>
      </c>
    </row>
    <row r="28" spans="1:6" x14ac:dyDescent="0.3">
      <c r="A28" s="7">
        <v>406</v>
      </c>
      <c r="B28">
        <v>15</v>
      </c>
      <c r="C28">
        <v>45</v>
      </c>
      <c r="D28">
        <v>9</v>
      </c>
      <c r="E28" t="s">
        <v>21</v>
      </c>
      <c r="F28" t="str">
        <f t="shared" si="0"/>
        <v>[15 - 20]</v>
      </c>
    </row>
    <row r="29" spans="1:6" x14ac:dyDescent="0.3">
      <c r="A29" s="7">
        <v>1047</v>
      </c>
      <c r="B29">
        <v>12</v>
      </c>
      <c r="C29">
        <v>30</v>
      </c>
      <c r="D29">
        <v>6</v>
      </c>
      <c r="E29" t="s">
        <v>17</v>
      </c>
      <c r="F29" t="str">
        <f t="shared" si="0"/>
        <v>[10 - 14]</v>
      </c>
    </row>
    <row r="30" spans="1:6" x14ac:dyDescent="0.3">
      <c r="A30" s="7">
        <v>4450</v>
      </c>
      <c r="B30">
        <v>8</v>
      </c>
      <c r="C30">
        <v>15</v>
      </c>
      <c r="D30">
        <v>1</v>
      </c>
      <c r="E30" t="s">
        <v>18</v>
      </c>
      <c r="F30" t="str">
        <f t="shared" si="0"/>
        <v>[5 - 9]</v>
      </c>
    </row>
    <row r="31" spans="1:6" x14ac:dyDescent="0.3">
      <c r="A31" s="7">
        <v>3690</v>
      </c>
      <c r="B31">
        <v>16</v>
      </c>
      <c r="C31">
        <v>5</v>
      </c>
      <c r="D31">
        <v>1</v>
      </c>
      <c r="E31" t="s">
        <v>16</v>
      </c>
      <c r="F31" t="str">
        <f t="shared" si="0"/>
        <v>[15 - 20]</v>
      </c>
    </row>
    <row r="32" spans="1:6" x14ac:dyDescent="0.3">
      <c r="A32" s="7">
        <v>688</v>
      </c>
      <c r="B32">
        <v>19</v>
      </c>
      <c r="C32">
        <v>20</v>
      </c>
      <c r="D32">
        <v>9</v>
      </c>
      <c r="E32" t="s">
        <v>19</v>
      </c>
      <c r="F32" t="str">
        <f t="shared" si="0"/>
        <v>[15 - 20]</v>
      </c>
    </row>
    <row r="33" spans="1:6" x14ac:dyDescent="0.3">
      <c r="A33" s="7">
        <v>6870</v>
      </c>
      <c r="B33">
        <v>20</v>
      </c>
      <c r="C33">
        <v>5</v>
      </c>
      <c r="D33">
        <v>1</v>
      </c>
      <c r="E33" t="s">
        <v>20</v>
      </c>
      <c r="F33" t="str">
        <f t="shared" si="0"/>
        <v>[15 - 20]</v>
      </c>
    </row>
    <row r="34" spans="1:6" x14ac:dyDescent="0.3">
      <c r="A34" s="7">
        <v>5550</v>
      </c>
      <c r="B34">
        <v>8</v>
      </c>
      <c r="C34">
        <v>40</v>
      </c>
      <c r="D34">
        <v>1</v>
      </c>
      <c r="E34" t="s">
        <v>18</v>
      </c>
      <c r="F34" t="str">
        <f t="shared" si="0"/>
        <v>[5 - 9]</v>
      </c>
    </row>
    <row r="35" spans="1:6" x14ac:dyDescent="0.3">
      <c r="A35" s="7">
        <v>423</v>
      </c>
      <c r="B35">
        <v>12</v>
      </c>
      <c r="C35">
        <v>25</v>
      </c>
      <c r="D35">
        <v>7</v>
      </c>
      <c r="E35" t="s">
        <v>18</v>
      </c>
      <c r="F35" t="str">
        <f t="shared" si="0"/>
        <v>[10 - 14]</v>
      </c>
    </row>
    <row r="36" spans="1:6" x14ac:dyDescent="0.3">
      <c r="A36" s="7">
        <v>4160</v>
      </c>
      <c r="B36">
        <v>6</v>
      </c>
      <c r="C36">
        <v>15</v>
      </c>
      <c r="D36">
        <v>1</v>
      </c>
      <c r="E36" t="s">
        <v>17</v>
      </c>
      <c r="F36" t="str">
        <f t="shared" si="0"/>
        <v>[5 - 9]</v>
      </c>
    </row>
    <row r="37" spans="1:6" x14ac:dyDescent="0.3">
      <c r="A37" s="7">
        <v>1090</v>
      </c>
      <c r="B37">
        <v>16</v>
      </c>
      <c r="C37">
        <v>15</v>
      </c>
      <c r="D37">
        <v>3</v>
      </c>
      <c r="E37" t="s">
        <v>17</v>
      </c>
      <c r="F37" t="str">
        <f t="shared" si="0"/>
        <v>[15 - 20]</v>
      </c>
    </row>
    <row r="38" spans="1:6" x14ac:dyDescent="0.3">
      <c r="A38" s="7">
        <v>6460</v>
      </c>
      <c r="B38">
        <v>4</v>
      </c>
      <c r="C38">
        <v>40</v>
      </c>
      <c r="D38">
        <v>1</v>
      </c>
      <c r="E38" t="s">
        <v>15</v>
      </c>
      <c r="F38" t="str">
        <f t="shared" si="0"/>
        <v>[0 - 4]</v>
      </c>
    </row>
    <row r="39" spans="1:6" x14ac:dyDescent="0.3">
      <c r="A39" s="7">
        <v>332</v>
      </c>
      <c r="B39">
        <v>12</v>
      </c>
      <c r="C39">
        <v>40</v>
      </c>
      <c r="D39">
        <v>9</v>
      </c>
      <c r="E39" t="s">
        <v>19</v>
      </c>
      <c r="F39" t="str">
        <f t="shared" si="0"/>
        <v>[10 - 14]</v>
      </c>
    </row>
    <row r="40" spans="1:6" x14ac:dyDescent="0.3">
      <c r="A40" s="7">
        <v>1950</v>
      </c>
      <c r="B40">
        <v>5</v>
      </c>
      <c r="C40">
        <v>45</v>
      </c>
      <c r="D40">
        <v>3</v>
      </c>
      <c r="E40" t="s">
        <v>18</v>
      </c>
      <c r="F40" t="str">
        <f t="shared" si="0"/>
        <v>[5 - 9]</v>
      </c>
    </row>
    <row r="41" spans="1:6" x14ac:dyDescent="0.3">
      <c r="A41" s="7">
        <v>3880</v>
      </c>
      <c r="B41">
        <v>6</v>
      </c>
      <c r="C41">
        <v>40</v>
      </c>
      <c r="D41">
        <v>1</v>
      </c>
      <c r="E41" t="s">
        <v>20</v>
      </c>
      <c r="F41" t="str">
        <f t="shared" si="0"/>
        <v>[5 - 9]</v>
      </c>
    </row>
    <row r="42" spans="1:6" x14ac:dyDescent="0.3">
      <c r="A42" s="7">
        <v>1063</v>
      </c>
      <c r="B42">
        <v>4</v>
      </c>
      <c r="C42">
        <v>30</v>
      </c>
      <c r="D42">
        <v>6</v>
      </c>
      <c r="E42" t="s">
        <v>20</v>
      </c>
      <c r="F42" t="str">
        <f t="shared" si="0"/>
        <v>[0 - 4]</v>
      </c>
    </row>
    <row r="43" spans="1:6" x14ac:dyDescent="0.3">
      <c r="A43" s="7">
        <v>3660</v>
      </c>
      <c r="B43">
        <v>12</v>
      </c>
      <c r="C43">
        <v>10</v>
      </c>
      <c r="D43">
        <v>1</v>
      </c>
      <c r="E43" t="s">
        <v>20</v>
      </c>
      <c r="F43" t="str">
        <f t="shared" si="0"/>
        <v>[10 - 14]</v>
      </c>
    </row>
    <row r="44" spans="1:6" x14ac:dyDescent="0.3">
      <c r="A44" s="7">
        <v>2165</v>
      </c>
      <c r="B44">
        <v>11</v>
      </c>
      <c r="C44">
        <v>15</v>
      </c>
      <c r="D44">
        <v>2</v>
      </c>
      <c r="E44" t="s">
        <v>15</v>
      </c>
      <c r="F44" t="str">
        <f t="shared" si="0"/>
        <v>[10 - 14]</v>
      </c>
    </row>
    <row r="45" spans="1:6" x14ac:dyDescent="0.3">
      <c r="A45" s="7">
        <v>2000</v>
      </c>
      <c r="B45">
        <v>19</v>
      </c>
      <c r="C45">
        <v>0</v>
      </c>
      <c r="D45">
        <v>2</v>
      </c>
      <c r="E45" t="s">
        <v>17</v>
      </c>
      <c r="F45" t="str">
        <f t="shared" si="0"/>
        <v>[15 - 20]</v>
      </c>
    </row>
    <row r="46" spans="1:6" x14ac:dyDescent="0.3">
      <c r="A46" s="7">
        <v>3550</v>
      </c>
      <c r="B46">
        <v>8</v>
      </c>
      <c r="C46">
        <v>10</v>
      </c>
      <c r="D46">
        <v>1</v>
      </c>
      <c r="E46" t="s">
        <v>20</v>
      </c>
      <c r="F46" t="str">
        <f t="shared" si="0"/>
        <v>[5 - 9]</v>
      </c>
    </row>
    <row r="47" spans="1:6" x14ac:dyDescent="0.3">
      <c r="A47" s="7">
        <v>5530</v>
      </c>
      <c r="B47">
        <v>7</v>
      </c>
      <c r="C47">
        <v>35</v>
      </c>
      <c r="D47">
        <v>1</v>
      </c>
      <c r="E47" t="s">
        <v>18</v>
      </c>
      <c r="F47" t="str">
        <f t="shared" si="0"/>
        <v>[5 - 9]</v>
      </c>
    </row>
    <row r="48" spans="1:6" x14ac:dyDescent="0.3">
      <c r="A48" s="7">
        <v>1168</v>
      </c>
      <c r="B48">
        <v>5</v>
      </c>
      <c r="C48">
        <v>0</v>
      </c>
      <c r="D48">
        <v>5</v>
      </c>
      <c r="E48" t="s">
        <v>15</v>
      </c>
      <c r="F48" t="str">
        <f t="shared" si="0"/>
        <v>[5 - 9]</v>
      </c>
    </row>
    <row r="49" spans="1:6" x14ac:dyDescent="0.3">
      <c r="A49" s="7">
        <v>740</v>
      </c>
      <c r="B49">
        <v>0</v>
      </c>
      <c r="C49">
        <v>40</v>
      </c>
      <c r="D49">
        <v>4</v>
      </c>
      <c r="E49" t="s">
        <v>17</v>
      </c>
      <c r="F49" t="str">
        <f t="shared" si="0"/>
        <v>[0 - 4]</v>
      </c>
    </row>
    <row r="50" spans="1:6" x14ac:dyDescent="0.3">
      <c r="A50" s="7">
        <v>651</v>
      </c>
      <c r="B50">
        <v>7</v>
      </c>
      <c r="C50">
        <v>20</v>
      </c>
      <c r="D50">
        <v>10</v>
      </c>
      <c r="E50" t="s">
        <v>15</v>
      </c>
      <c r="F50" t="str">
        <f t="shared" si="0"/>
        <v>[5 - 9]</v>
      </c>
    </row>
    <row r="51" spans="1:6" x14ac:dyDescent="0.3">
      <c r="A51" s="7">
        <v>1055</v>
      </c>
      <c r="B51">
        <v>19</v>
      </c>
      <c r="C51">
        <v>45</v>
      </c>
      <c r="D51">
        <v>4</v>
      </c>
      <c r="E51" t="s">
        <v>20</v>
      </c>
      <c r="F51" t="str">
        <f t="shared" si="0"/>
        <v>[15 - 20]</v>
      </c>
    </row>
    <row r="52" spans="1:6" x14ac:dyDescent="0.3">
      <c r="A52" s="7">
        <v>900</v>
      </c>
      <c r="B52">
        <v>6</v>
      </c>
      <c r="C52">
        <v>20</v>
      </c>
      <c r="D52">
        <v>4</v>
      </c>
      <c r="E52" t="s">
        <v>15</v>
      </c>
      <c r="F52" t="str">
        <f t="shared" si="0"/>
        <v>[5 - 9]</v>
      </c>
    </row>
    <row r="53" spans="1:6" x14ac:dyDescent="0.3">
      <c r="A53" s="7">
        <v>2177</v>
      </c>
      <c r="B53">
        <v>6</v>
      </c>
      <c r="C53">
        <v>25</v>
      </c>
      <c r="D53">
        <v>3</v>
      </c>
      <c r="E53" t="s">
        <v>21</v>
      </c>
      <c r="F53" t="str">
        <f t="shared" si="0"/>
        <v>[5 - 9]</v>
      </c>
    </row>
    <row r="54" spans="1:6" x14ac:dyDescent="0.3">
      <c r="A54" s="7">
        <v>450</v>
      </c>
      <c r="B54">
        <v>20</v>
      </c>
      <c r="C54">
        <v>30</v>
      </c>
      <c r="D54">
        <v>10</v>
      </c>
      <c r="E54" t="s">
        <v>16</v>
      </c>
      <c r="F54" t="str">
        <f t="shared" si="0"/>
        <v>[15 - 20]</v>
      </c>
    </row>
    <row r="55" spans="1:6" x14ac:dyDescent="0.3">
      <c r="A55" s="7">
        <v>689</v>
      </c>
      <c r="B55">
        <v>7</v>
      </c>
      <c r="C55">
        <v>10</v>
      </c>
      <c r="D55">
        <v>9</v>
      </c>
      <c r="E55" t="s">
        <v>18</v>
      </c>
      <c r="F55" t="str">
        <f t="shared" si="0"/>
        <v>[5 - 9]</v>
      </c>
    </row>
    <row r="56" spans="1:6" x14ac:dyDescent="0.3">
      <c r="A56" s="7">
        <v>478</v>
      </c>
      <c r="B56">
        <v>9</v>
      </c>
      <c r="C56">
        <v>10</v>
      </c>
      <c r="D56">
        <v>8</v>
      </c>
      <c r="E56" t="s">
        <v>16</v>
      </c>
      <c r="F56" t="str">
        <f t="shared" si="0"/>
        <v>[5 - 9]</v>
      </c>
    </row>
    <row r="57" spans="1:6" x14ac:dyDescent="0.3">
      <c r="A57" s="7">
        <v>788</v>
      </c>
      <c r="B57">
        <v>9</v>
      </c>
      <c r="C57">
        <v>10</v>
      </c>
      <c r="D57">
        <v>5</v>
      </c>
      <c r="E57" t="s">
        <v>16</v>
      </c>
      <c r="F57" t="str">
        <f t="shared" si="0"/>
        <v>[5 - 9]</v>
      </c>
    </row>
    <row r="58" spans="1:6" x14ac:dyDescent="0.3">
      <c r="A58" s="7">
        <v>500</v>
      </c>
      <c r="B58">
        <v>7</v>
      </c>
      <c r="C58">
        <v>25</v>
      </c>
      <c r="D58">
        <v>9</v>
      </c>
      <c r="E58" t="s">
        <v>17</v>
      </c>
      <c r="F58" t="str">
        <f t="shared" si="0"/>
        <v>[5 - 9]</v>
      </c>
    </row>
    <row r="59" spans="1:6" x14ac:dyDescent="0.3">
      <c r="A59" s="7">
        <v>1347</v>
      </c>
      <c r="B59">
        <v>20</v>
      </c>
      <c r="C59">
        <v>45</v>
      </c>
      <c r="D59">
        <v>3</v>
      </c>
      <c r="E59" t="s">
        <v>16</v>
      </c>
      <c r="F59" t="str">
        <f t="shared" si="0"/>
        <v>[15 - 20]</v>
      </c>
    </row>
    <row r="60" spans="1:6" x14ac:dyDescent="0.3">
      <c r="A60" s="7">
        <v>4460</v>
      </c>
      <c r="B60">
        <v>18</v>
      </c>
      <c r="C60">
        <v>35</v>
      </c>
      <c r="D60">
        <v>1</v>
      </c>
      <c r="E60" t="s">
        <v>18</v>
      </c>
      <c r="F60" t="str">
        <f t="shared" si="0"/>
        <v>[15 - 20]</v>
      </c>
    </row>
    <row r="61" spans="1:6" x14ac:dyDescent="0.3">
      <c r="A61" s="7">
        <v>796.5</v>
      </c>
      <c r="B61">
        <v>9</v>
      </c>
      <c r="C61">
        <v>7</v>
      </c>
      <c r="D61">
        <v>7</v>
      </c>
      <c r="E61" t="s">
        <v>15</v>
      </c>
      <c r="F61" t="str">
        <f t="shared" si="0"/>
        <v>[5 - 9]</v>
      </c>
    </row>
    <row r="62" spans="1:6" x14ac:dyDescent="0.3">
      <c r="A62" s="7">
        <v>4210</v>
      </c>
      <c r="B62">
        <v>19</v>
      </c>
      <c r="C62">
        <v>20</v>
      </c>
      <c r="D62">
        <v>1</v>
      </c>
      <c r="E62" t="s">
        <v>15</v>
      </c>
      <c r="F62" t="str">
        <f t="shared" si="0"/>
        <v>[15 - 20]</v>
      </c>
    </row>
    <row r="63" spans="1:6" x14ac:dyDescent="0.3">
      <c r="A63" s="7">
        <v>460</v>
      </c>
      <c r="B63">
        <v>11</v>
      </c>
      <c r="C63">
        <v>40</v>
      </c>
      <c r="D63">
        <v>7</v>
      </c>
      <c r="E63" t="s">
        <v>20</v>
      </c>
      <c r="F63" t="str">
        <f t="shared" si="0"/>
        <v>[10 - 14]</v>
      </c>
    </row>
    <row r="64" spans="1:6" x14ac:dyDescent="0.3">
      <c r="A64" s="7">
        <v>1548</v>
      </c>
      <c r="B64">
        <v>17</v>
      </c>
      <c r="C64">
        <v>50</v>
      </c>
      <c r="D64">
        <v>4</v>
      </c>
      <c r="E64" t="s">
        <v>17</v>
      </c>
      <c r="F64" t="str">
        <f t="shared" si="0"/>
        <v>[15 - 20]</v>
      </c>
    </row>
    <row r="65" spans="1:6" x14ac:dyDescent="0.3">
      <c r="A65" s="7">
        <v>870</v>
      </c>
      <c r="B65">
        <v>18</v>
      </c>
      <c r="C65">
        <v>40</v>
      </c>
      <c r="D65">
        <v>6</v>
      </c>
      <c r="E65" t="s">
        <v>19</v>
      </c>
      <c r="F65" t="str">
        <f t="shared" si="0"/>
        <v>[15 - 20]</v>
      </c>
    </row>
    <row r="66" spans="1:6" x14ac:dyDescent="0.3">
      <c r="A66" s="7">
        <v>2950</v>
      </c>
      <c r="B66">
        <v>5</v>
      </c>
      <c r="C66">
        <v>50</v>
      </c>
      <c r="D66">
        <v>1</v>
      </c>
      <c r="E66" t="s">
        <v>15</v>
      </c>
      <c r="F66" t="str">
        <f t="shared" si="0"/>
        <v>[5 - 9]</v>
      </c>
    </row>
    <row r="67" spans="1:6" x14ac:dyDescent="0.3">
      <c r="A67" s="7">
        <v>6490</v>
      </c>
      <c r="B67">
        <v>9</v>
      </c>
      <c r="C67">
        <v>25</v>
      </c>
      <c r="D67">
        <v>1</v>
      </c>
      <c r="E67" t="s">
        <v>21</v>
      </c>
      <c r="F67" t="str">
        <f t="shared" ref="F67:F130" si="1">VLOOKUP(B67,$J$1:$K$4,2)</f>
        <v>[5 - 9]</v>
      </c>
    </row>
    <row r="68" spans="1:6" x14ac:dyDescent="0.3">
      <c r="A68" s="7">
        <v>4480</v>
      </c>
      <c r="B68">
        <v>4</v>
      </c>
      <c r="C68">
        <v>40</v>
      </c>
      <c r="D68">
        <v>1</v>
      </c>
      <c r="E68" t="s">
        <v>15</v>
      </c>
      <c r="F68" t="str">
        <f t="shared" si="1"/>
        <v>[0 - 4]</v>
      </c>
    </row>
    <row r="69" spans="1:6" x14ac:dyDescent="0.3">
      <c r="A69" s="7">
        <v>6590</v>
      </c>
      <c r="B69">
        <v>19</v>
      </c>
      <c r="C69">
        <v>5</v>
      </c>
      <c r="D69">
        <v>1</v>
      </c>
      <c r="E69" t="s">
        <v>20</v>
      </c>
      <c r="F69" t="str">
        <f t="shared" si="1"/>
        <v>[15 - 20]</v>
      </c>
    </row>
    <row r="70" spans="1:6" x14ac:dyDescent="0.3">
      <c r="A70" s="7">
        <v>3380</v>
      </c>
      <c r="B70">
        <v>15</v>
      </c>
      <c r="C70">
        <v>50</v>
      </c>
      <c r="D70">
        <v>1</v>
      </c>
      <c r="E70" t="s">
        <v>21</v>
      </c>
      <c r="F70" t="str">
        <f t="shared" si="1"/>
        <v>[15 - 20]</v>
      </c>
    </row>
    <row r="71" spans="1:6" x14ac:dyDescent="0.3">
      <c r="A71" s="7">
        <v>1085</v>
      </c>
      <c r="B71">
        <v>6</v>
      </c>
      <c r="C71">
        <v>35</v>
      </c>
      <c r="D71">
        <v>6</v>
      </c>
      <c r="E71" t="s">
        <v>15</v>
      </c>
      <c r="F71" t="str">
        <f t="shared" si="1"/>
        <v>[5 - 9]</v>
      </c>
    </row>
    <row r="72" spans="1:6" x14ac:dyDescent="0.3">
      <c r="A72" s="7">
        <v>546</v>
      </c>
      <c r="B72">
        <v>19</v>
      </c>
      <c r="C72">
        <v>45</v>
      </c>
      <c r="D72">
        <v>9</v>
      </c>
      <c r="E72" t="s">
        <v>20</v>
      </c>
      <c r="F72" t="str">
        <f t="shared" si="1"/>
        <v>[15 - 20]</v>
      </c>
    </row>
    <row r="73" spans="1:6" x14ac:dyDescent="0.3">
      <c r="A73" s="7">
        <v>5900</v>
      </c>
      <c r="B73">
        <v>14</v>
      </c>
      <c r="C73">
        <v>45</v>
      </c>
      <c r="D73">
        <v>1</v>
      </c>
      <c r="E73" t="s">
        <v>20</v>
      </c>
      <c r="F73" t="str">
        <f t="shared" si="1"/>
        <v>[10 - 14]</v>
      </c>
    </row>
    <row r="74" spans="1:6" x14ac:dyDescent="0.3">
      <c r="A74" s="7">
        <v>5000</v>
      </c>
      <c r="B74">
        <v>14</v>
      </c>
      <c r="C74">
        <v>40</v>
      </c>
      <c r="D74">
        <v>1</v>
      </c>
      <c r="E74" t="s">
        <v>17</v>
      </c>
      <c r="F74" t="str">
        <f t="shared" si="1"/>
        <v>[10 - 14]</v>
      </c>
    </row>
    <row r="75" spans="1:6" x14ac:dyDescent="0.3">
      <c r="A75" s="7">
        <v>6980</v>
      </c>
      <c r="B75">
        <v>20</v>
      </c>
      <c r="C75">
        <v>15</v>
      </c>
      <c r="D75">
        <v>1</v>
      </c>
      <c r="E75" t="s">
        <v>16</v>
      </c>
      <c r="F75" t="str">
        <f t="shared" si="1"/>
        <v>[15 - 20]</v>
      </c>
    </row>
    <row r="76" spans="1:6" x14ac:dyDescent="0.3">
      <c r="A76" s="7">
        <v>1120</v>
      </c>
      <c r="B76">
        <v>7</v>
      </c>
      <c r="C76">
        <v>0</v>
      </c>
      <c r="D76">
        <v>6</v>
      </c>
      <c r="E76" t="s">
        <v>18</v>
      </c>
      <c r="F76" t="str">
        <f t="shared" si="1"/>
        <v>[5 - 9]</v>
      </c>
    </row>
    <row r="77" spans="1:6" x14ac:dyDescent="0.3">
      <c r="A77" s="7">
        <v>410</v>
      </c>
      <c r="B77">
        <v>7</v>
      </c>
      <c r="C77">
        <v>30</v>
      </c>
      <c r="D77">
        <v>10</v>
      </c>
      <c r="E77" t="s">
        <v>20</v>
      </c>
      <c r="F77" t="str">
        <f t="shared" si="1"/>
        <v>[5 - 9]</v>
      </c>
    </row>
    <row r="78" spans="1:6" x14ac:dyDescent="0.3">
      <c r="A78" s="7">
        <v>1098</v>
      </c>
      <c r="B78">
        <v>0</v>
      </c>
      <c r="C78">
        <v>15</v>
      </c>
      <c r="D78">
        <v>5</v>
      </c>
      <c r="E78" t="s">
        <v>15</v>
      </c>
      <c r="F78" t="str">
        <f t="shared" si="1"/>
        <v>[0 - 4]</v>
      </c>
    </row>
    <row r="79" spans="1:6" x14ac:dyDescent="0.3">
      <c r="A79" s="7">
        <v>696</v>
      </c>
      <c r="B79">
        <v>4</v>
      </c>
      <c r="C79">
        <v>40</v>
      </c>
      <c r="D79">
        <v>10</v>
      </c>
      <c r="E79" t="s">
        <v>21</v>
      </c>
      <c r="F79" t="str">
        <f t="shared" si="1"/>
        <v>[0 - 4]</v>
      </c>
    </row>
    <row r="80" spans="1:6" x14ac:dyDescent="0.3">
      <c r="A80" s="7">
        <v>860</v>
      </c>
      <c r="B80">
        <v>5</v>
      </c>
      <c r="C80">
        <v>15</v>
      </c>
      <c r="D80">
        <v>6</v>
      </c>
      <c r="E80" t="s">
        <v>19</v>
      </c>
      <c r="F80" t="str">
        <f t="shared" si="1"/>
        <v>[5 - 9]</v>
      </c>
    </row>
    <row r="81" spans="1:6" x14ac:dyDescent="0.3">
      <c r="A81" s="7">
        <v>6400</v>
      </c>
      <c r="B81">
        <v>3</v>
      </c>
      <c r="C81">
        <v>5</v>
      </c>
      <c r="D81">
        <v>1</v>
      </c>
      <c r="E81" t="s">
        <v>15</v>
      </c>
      <c r="F81" t="str">
        <f t="shared" si="1"/>
        <v>[0 - 4]</v>
      </c>
    </row>
    <row r="82" spans="1:6" x14ac:dyDescent="0.3">
      <c r="A82" s="7">
        <v>4590</v>
      </c>
      <c r="B82">
        <v>18</v>
      </c>
      <c r="C82">
        <v>5</v>
      </c>
      <c r="D82">
        <v>1</v>
      </c>
      <c r="E82" t="s">
        <v>15</v>
      </c>
      <c r="F82" t="str">
        <f t="shared" si="1"/>
        <v>[15 - 20]</v>
      </c>
    </row>
    <row r="83" spans="1:6" x14ac:dyDescent="0.3">
      <c r="A83" s="7">
        <v>505</v>
      </c>
      <c r="B83">
        <v>1</v>
      </c>
      <c r="C83">
        <v>50</v>
      </c>
      <c r="D83">
        <v>6</v>
      </c>
      <c r="E83" t="s">
        <v>19</v>
      </c>
      <c r="F83" t="str">
        <f t="shared" si="1"/>
        <v>[0 - 4]</v>
      </c>
    </row>
    <row r="84" spans="1:6" x14ac:dyDescent="0.3">
      <c r="A84" s="7">
        <v>4620</v>
      </c>
      <c r="B84">
        <v>0</v>
      </c>
      <c r="C84">
        <v>45</v>
      </c>
      <c r="D84">
        <v>1</v>
      </c>
      <c r="E84" t="s">
        <v>19</v>
      </c>
      <c r="F84" t="str">
        <f t="shared" si="1"/>
        <v>[0 - 4]</v>
      </c>
    </row>
    <row r="85" spans="1:6" x14ac:dyDescent="0.3">
      <c r="A85" s="7">
        <v>3810</v>
      </c>
      <c r="B85">
        <v>20</v>
      </c>
      <c r="C85">
        <v>30</v>
      </c>
      <c r="D85">
        <v>1</v>
      </c>
      <c r="E85" t="s">
        <v>20</v>
      </c>
      <c r="F85" t="str">
        <f t="shared" si="1"/>
        <v>[15 - 20]</v>
      </c>
    </row>
    <row r="86" spans="1:6" x14ac:dyDescent="0.3">
      <c r="A86" s="7">
        <v>1588</v>
      </c>
      <c r="B86">
        <v>3</v>
      </c>
      <c r="C86">
        <v>10</v>
      </c>
      <c r="D86">
        <v>4</v>
      </c>
      <c r="E86" t="s">
        <v>21</v>
      </c>
      <c r="F86" t="str">
        <f t="shared" si="1"/>
        <v>[0 - 4]</v>
      </c>
    </row>
    <row r="87" spans="1:6" x14ac:dyDescent="0.3">
      <c r="A87" s="7">
        <v>5730</v>
      </c>
      <c r="B87">
        <v>12</v>
      </c>
      <c r="C87">
        <v>50</v>
      </c>
      <c r="D87">
        <v>1</v>
      </c>
      <c r="E87" t="s">
        <v>21</v>
      </c>
      <c r="F87" t="str">
        <f t="shared" si="1"/>
        <v>[10 - 14]</v>
      </c>
    </row>
    <row r="88" spans="1:6" x14ac:dyDescent="0.3">
      <c r="A88" s="7">
        <v>909</v>
      </c>
      <c r="B88">
        <v>11</v>
      </c>
      <c r="C88">
        <v>45</v>
      </c>
      <c r="D88">
        <v>7</v>
      </c>
      <c r="E88" t="s">
        <v>16</v>
      </c>
      <c r="F88" t="str">
        <f t="shared" si="1"/>
        <v>[10 - 14]</v>
      </c>
    </row>
    <row r="89" spans="1:6" x14ac:dyDescent="0.3">
      <c r="A89" s="7">
        <v>968</v>
      </c>
      <c r="B89">
        <v>10</v>
      </c>
      <c r="C89">
        <v>5</v>
      </c>
      <c r="D89">
        <v>6</v>
      </c>
      <c r="E89" t="s">
        <v>15</v>
      </c>
      <c r="F89" t="str">
        <f t="shared" si="1"/>
        <v>[10 - 14]</v>
      </c>
    </row>
    <row r="90" spans="1:6" x14ac:dyDescent="0.3">
      <c r="A90" s="7">
        <v>691</v>
      </c>
      <c r="B90">
        <v>17</v>
      </c>
      <c r="C90">
        <v>5</v>
      </c>
      <c r="D90">
        <v>10</v>
      </c>
      <c r="E90" t="s">
        <v>16</v>
      </c>
      <c r="F90" t="str">
        <f t="shared" si="1"/>
        <v>[15 - 20]</v>
      </c>
    </row>
    <row r="91" spans="1:6" x14ac:dyDescent="0.3">
      <c r="A91" s="7">
        <v>555</v>
      </c>
      <c r="B91">
        <v>18</v>
      </c>
      <c r="C91">
        <v>5</v>
      </c>
      <c r="D91">
        <v>8</v>
      </c>
      <c r="E91" t="s">
        <v>19</v>
      </c>
      <c r="F91" t="str">
        <f t="shared" si="1"/>
        <v>[15 - 20]</v>
      </c>
    </row>
    <row r="92" spans="1:6" x14ac:dyDescent="0.3">
      <c r="A92" s="7">
        <v>4350</v>
      </c>
      <c r="B92">
        <v>2</v>
      </c>
      <c r="C92">
        <v>5</v>
      </c>
      <c r="D92">
        <v>1</v>
      </c>
      <c r="E92" t="s">
        <v>17</v>
      </c>
      <c r="F92" t="str">
        <f t="shared" si="1"/>
        <v>[0 - 4]</v>
      </c>
    </row>
    <row r="93" spans="1:6" x14ac:dyDescent="0.3">
      <c r="A93" s="7">
        <v>930</v>
      </c>
      <c r="B93">
        <v>2</v>
      </c>
      <c r="C93">
        <v>15</v>
      </c>
      <c r="D93">
        <v>5</v>
      </c>
      <c r="E93" t="s">
        <v>16</v>
      </c>
      <c r="F93" t="str">
        <f t="shared" si="1"/>
        <v>[0 - 4]</v>
      </c>
    </row>
    <row r="94" spans="1:6" x14ac:dyDescent="0.3">
      <c r="A94" s="7">
        <v>1907</v>
      </c>
      <c r="B94">
        <v>11</v>
      </c>
      <c r="C94">
        <v>45</v>
      </c>
      <c r="D94">
        <v>3</v>
      </c>
      <c r="E94" t="s">
        <v>20</v>
      </c>
      <c r="F94" t="str">
        <f t="shared" si="1"/>
        <v>[10 - 14]</v>
      </c>
    </row>
    <row r="95" spans="1:6" x14ac:dyDescent="0.3">
      <c r="A95" s="7">
        <v>393</v>
      </c>
      <c r="B95">
        <v>2</v>
      </c>
      <c r="C95">
        <v>20</v>
      </c>
      <c r="D95">
        <v>9</v>
      </c>
      <c r="E95" t="s">
        <v>18</v>
      </c>
      <c r="F95" t="str">
        <f t="shared" si="1"/>
        <v>[0 - 4]</v>
      </c>
    </row>
    <row r="96" spans="1:6" x14ac:dyDescent="0.3">
      <c r="A96" s="7">
        <v>5760</v>
      </c>
      <c r="B96">
        <v>14</v>
      </c>
      <c r="C96">
        <v>20</v>
      </c>
      <c r="D96">
        <v>1</v>
      </c>
      <c r="E96" t="s">
        <v>18</v>
      </c>
      <c r="F96" t="str">
        <f t="shared" si="1"/>
        <v>[10 - 14]</v>
      </c>
    </row>
    <row r="97" spans="1:6" x14ac:dyDescent="0.3">
      <c r="A97" s="7">
        <v>1807</v>
      </c>
      <c r="B97">
        <v>11</v>
      </c>
      <c r="C97">
        <v>15</v>
      </c>
      <c r="D97">
        <v>3</v>
      </c>
      <c r="E97" t="s">
        <v>19</v>
      </c>
      <c r="F97" t="str">
        <f t="shared" si="1"/>
        <v>[10 - 14]</v>
      </c>
    </row>
    <row r="98" spans="1:6" x14ac:dyDescent="0.3">
      <c r="A98" s="7">
        <v>1107</v>
      </c>
      <c r="B98">
        <v>15</v>
      </c>
      <c r="C98">
        <v>10</v>
      </c>
      <c r="D98">
        <v>3</v>
      </c>
      <c r="E98" t="s">
        <v>18</v>
      </c>
      <c r="F98" t="str">
        <f t="shared" si="1"/>
        <v>[15 - 20]</v>
      </c>
    </row>
    <row r="99" spans="1:6" x14ac:dyDescent="0.3">
      <c r="A99" s="7">
        <v>370</v>
      </c>
      <c r="B99">
        <v>15</v>
      </c>
      <c r="C99">
        <v>10</v>
      </c>
      <c r="D99">
        <v>9</v>
      </c>
      <c r="E99" t="s">
        <v>17</v>
      </c>
      <c r="F99" t="str">
        <f t="shared" si="1"/>
        <v>[15 - 20]</v>
      </c>
    </row>
    <row r="100" spans="1:6" x14ac:dyDescent="0.3">
      <c r="A100" s="7">
        <v>3275</v>
      </c>
      <c r="B100">
        <v>10</v>
      </c>
      <c r="C100">
        <v>45</v>
      </c>
      <c r="D100">
        <v>2</v>
      </c>
      <c r="E100" t="s">
        <v>21</v>
      </c>
      <c r="F100" t="str">
        <f t="shared" si="1"/>
        <v>[10 - 14]</v>
      </c>
    </row>
    <row r="101" spans="1:6" x14ac:dyDescent="0.3">
      <c r="A101" s="7">
        <v>5960</v>
      </c>
      <c r="B101">
        <v>15</v>
      </c>
      <c r="C101">
        <v>35</v>
      </c>
      <c r="D101">
        <v>1</v>
      </c>
      <c r="E101" t="s">
        <v>15</v>
      </c>
      <c r="F101" t="str">
        <f t="shared" si="1"/>
        <v>[15 - 20]</v>
      </c>
    </row>
    <row r="102" spans="1:6" x14ac:dyDescent="0.3">
      <c r="A102" s="7">
        <v>4650</v>
      </c>
      <c r="B102">
        <v>5</v>
      </c>
      <c r="C102">
        <v>35</v>
      </c>
      <c r="D102">
        <v>1</v>
      </c>
      <c r="E102" t="s">
        <v>20</v>
      </c>
      <c r="F102" t="str">
        <f t="shared" si="1"/>
        <v>[5 - 9]</v>
      </c>
    </row>
    <row r="103" spans="1:6" x14ac:dyDescent="0.3">
      <c r="A103" s="7">
        <v>435</v>
      </c>
      <c r="B103">
        <v>7</v>
      </c>
      <c r="C103">
        <v>35</v>
      </c>
      <c r="D103">
        <v>10</v>
      </c>
      <c r="E103" t="s">
        <v>17</v>
      </c>
      <c r="F103" t="str">
        <f t="shared" si="1"/>
        <v>[5 - 9]</v>
      </c>
    </row>
    <row r="104" spans="1:6" x14ac:dyDescent="0.3">
      <c r="A104" s="7">
        <v>736</v>
      </c>
      <c r="B104">
        <v>19</v>
      </c>
      <c r="C104">
        <v>15</v>
      </c>
      <c r="D104">
        <v>7</v>
      </c>
      <c r="E104" t="s">
        <v>16</v>
      </c>
      <c r="F104" t="str">
        <f t="shared" si="1"/>
        <v>[15 - 20]</v>
      </c>
    </row>
    <row r="105" spans="1:6" x14ac:dyDescent="0.3">
      <c r="A105" s="7">
        <v>4230</v>
      </c>
      <c r="B105">
        <v>20</v>
      </c>
      <c r="C105">
        <v>35</v>
      </c>
      <c r="D105">
        <v>1</v>
      </c>
      <c r="E105" t="s">
        <v>18</v>
      </c>
      <c r="F105" t="str">
        <f t="shared" si="1"/>
        <v>[15 - 20]</v>
      </c>
    </row>
    <row r="106" spans="1:6" x14ac:dyDescent="0.3">
      <c r="A106" s="7">
        <v>1303</v>
      </c>
      <c r="B106">
        <v>12</v>
      </c>
      <c r="C106">
        <v>15</v>
      </c>
      <c r="D106">
        <v>4</v>
      </c>
      <c r="E106" t="s">
        <v>21</v>
      </c>
      <c r="F106" t="str">
        <f t="shared" si="1"/>
        <v>[10 - 14]</v>
      </c>
    </row>
    <row r="107" spans="1:6" x14ac:dyDescent="0.3">
      <c r="A107" s="7">
        <v>6290</v>
      </c>
      <c r="B107">
        <v>4</v>
      </c>
      <c r="C107">
        <v>30</v>
      </c>
      <c r="D107">
        <v>1</v>
      </c>
      <c r="E107" t="s">
        <v>21</v>
      </c>
      <c r="F107" t="str">
        <f t="shared" si="1"/>
        <v>[0 - 4]</v>
      </c>
    </row>
    <row r="108" spans="1:6" x14ac:dyDescent="0.3">
      <c r="A108" s="7">
        <v>3900</v>
      </c>
      <c r="B108">
        <v>5</v>
      </c>
      <c r="C108">
        <v>10</v>
      </c>
      <c r="D108">
        <v>1</v>
      </c>
      <c r="E108" t="s">
        <v>17</v>
      </c>
      <c r="F108" t="str">
        <f t="shared" si="1"/>
        <v>[5 - 9]</v>
      </c>
    </row>
    <row r="109" spans="1:6" x14ac:dyDescent="0.3">
      <c r="A109" s="7">
        <v>4650</v>
      </c>
      <c r="B109">
        <v>8</v>
      </c>
      <c r="C109">
        <v>10</v>
      </c>
      <c r="D109">
        <v>1</v>
      </c>
      <c r="E109" t="s">
        <v>20</v>
      </c>
      <c r="F109" t="str">
        <f t="shared" si="1"/>
        <v>[5 - 9]</v>
      </c>
    </row>
    <row r="110" spans="1:6" x14ac:dyDescent="0.3">
      <c r="A110" s="7">
        <v>974</v>
      </c>
      <c r="B110">
        <v>15</v>
      </c>
      <c r="C110">
        <v>15</v>
      </c>
      <c r="D110">
        <v>5</v>
      </c>
      <c r="E110" t="s">
        <v>18</v>
      </c>
      <c r="F110" t="str">
        <f t="shared" si="1"/>
        <v>[15 - 20]</v>
      </c>
    </row>
    <row r="111" spans="1:6" x14ac:dyDescent="0.3">
      <c r="A111" s="7">
        <v>1300.75</v>
      </c>
      <c r="B111">
        <v>5</v>
      </c>
      <c r="C111">
        <v>5</v>
      </c>
      <c r="D111">
        <v>3</v>
      </c>
      <c r="E111" t="s">
        <v>16</v>
      </c>
      <c r="F111" t="str">
        <f t="shared" si="1"/>
        <v>[5 - 9]</v>
      </c>
    </row>
    <row r="112" spans="1:6" x14ac:dyDescent="0.3">
      <c r="A112" s="7">
        <v>4560</v>
      </c>
      <c r="B112">
        <v>3</v>
      </c>
      <c r="C112">
        <v>50</v>
      </c>
      <c r="D112">
        <v>1</v>
      </c>
      <c r="E112" t="s">
        <v>20</v>
      </c>
      <c r="F112" t="str">
        <f t="shared" si="1"/>
        <v>[0 - 4]</v>
      </c>
    </row>
    <row r="113" spans="1:6" x14ac:dyDescent="0.3">
      <c r="A113" s="7">
        <v>4690</v>
      </c>
      <c r="B113">
        <v>1</v>
      </c>
      <c r="C113">
        <v>45</v>
      </c>
      <c r="D113">
        <v>1</v>
      </c>
      <c r="E113" t="s">
        <v>19</v>
      </c>
      <c r="F113" t="str">
        <f t="shared" si="1"/>
        <v>[0 - 4]</v>
      </c>
    </row>
    <row r="114" spans="1:6" x14ac:dyDescent="0.3">
      <c r="A114" s="7">
        <v>3420</v>
      </c>
      <c r="B114">
        <v>9</v>
      </c>
      <c r="C114">
        <v>15</v>
      </c>
      <c r="D114">
        <v>1</v>
      </c>
      <c r="E114" t="s">
        <v>15</v>
      </c>
      <c r="F114" t="str">
        <f t="shared" si="1"/>
        <v>[5 - 9]</v>
      </c>
    </row>
    <row r="115" spans="1:6" x14ac:dyDescent="0.3">
      <c r="A115" s="7">
        <v>690</v>
      </c>
      <c r="B115">
        <v>7</v>
      </c>
      <c r="C115">
        <v>35</v>
      </c>
      <c r="D115">
        <v>8</v>
      </c>
      <c r="E115" t="s">
        <v>18</v>
      </c>
      <c r="F115" t="str">
        <f t="shared" si="1"/>
        <v>[5 - 9]</v>
      </c>
    </row>
    <row r="116" spans="1:6" x14ac:dyDescent="0.3">
      <c r="A116" s="7">
        <v>1070</v>
      </c>
      <c r="B116">
        <v>11</v>
      </c>
      <c r="C116">
        <v>35</v>
      </c>
      <c r="D116">
        <v>5</v>
      </c>
      <c r="E116" t="s">
        <v>17</v>
      </c>
      <c r="F116" t="str">
        <f t="shared" si="1"/>
        <v>[10 - 14]</v>
      </c>
    </row>
    <row r="117" spans="1:6" x14ac:dyDescent="0.3">
      <c r="A117" s="7">
        <v>1337</v>
      </c>
      <c r="B117">
        <v>0</v>
      </c>
      <c r="C117">
        <v>25</v>
      </c>
      <c r="D117">
        <v>3</v>
      </c>
      <c r="E117" t="s">
        <v>16</v>
      </c>
      <c r="F117" t="str">
        <f t="shared" si="1"/>
        <v>[0 - 4]</v>
      </c>
    </row>
    <row r="118" spans="1:6" x14ac:dyDescent="0.3">
      <c r="A118" s="7">
        <v>6330</v>
      </c>
      <c r="B118">
        <v>20</v>
      </c>
      <c r="C118">
        <v>10</v>
      </c>
      <c r="D118">
        <v>1</v>
      </c>
      <c r="E118" t="s">
        <v>15</v>
      </c>
      <c r="F118" t="str">
        <f t="shared" si="1"/>
        <v>[15 - 20]</v>
      </c>
    </row>
    <row r="119" spans="1:6" x14ac:dyDescent="0.3">
      <c r="A119" s="7">
        <v>5020</v>
      </c>
      <c r="B119">
        <v>9</v>
      </c>
      <c r="C119">
        <v>30</v>
      </c>
      <c r="D119">
        <v>1</v>
      </c>
      <c r="E119" t="s">
        <v>17</v>
      </c>
      <c r="F119" t="str">
        <f t="shared" si="1"/>
        <v>[5 - 9]</v>
      </c>
    </row>
    <row r="120" spans="1:6" x14ac:dyDescent="0.3">
      <c r="A120" s="7">
        <v>4980</v>
      </c>
      <c r="B120">
        <v>13</v>
      </c>
      <c r="C120">
        <v>0</v>
      </c>
      <c r="D120">
        <v>1</v>
      </c>
      <c r="E120" t="s">
        <v>18</v>
      </c>
      <c r="F120" t="str">
        <f t="shared" si="1"/>
        <v>[10 - 14]</v>
      </c>
    </row>
    <row r="121" spans="1:6" x14ac:dyDescent="0.3">
      <c r="A121" s="7">
        <v>615</v>
      </c>
      <c r="B121">
        <v>13</v>
      </c>
      <c r="C121">
        <v>40</v>
      </c>
      <c r="D121">
        <v>8</v>
      </c>
      <c r="E121" t="s">
        <v>17</v>
      </c>
      <c r="F121" t="str">
        <f t="shared" si="1"/>
        <v>[10 - 14]</v>
      </c>
    </row>
    <row r="122" spans="1:6" x14ac:dyDescent="0.3">
      <c r="A122" s="7">
        <v>730</v>
      </c>
      <c r="B122">
        <v>18</v>
      </c>
      <c r="C122">
        <v>5</v>
      </c>
      <c r="D122">
        <v>6</v>
      </c>
      <c r="E122" t="s">
        <v>17</v>
      </c>
      <c r="F122" t="str">
        <f t="shared" si="1"/>
        <v>[15 - 20]</v>
      </c>
    </row>
    <row r="123" spans="1:6" x14ac:dyDescent="0.3">
      <c r="A123" s="7">
        <v>349</v>
      </c>
      <c r="B123">
        <v>8</v>
      </c>
      <c r="C123">
        <v>10</v>
      </c>
      <c r="D123">
        <v>10</v>
      </c>
      <c r="E123" t="s">
        <v>15</v>
      </c>
      <c r="F123" t="str">
        <f t="shared" si="1"/>
        <v>[5 - 9]</v>
      </c>
    </row>
    <row r="124" spans="1:6" x14ac:dyDescent="0.3">
      <c r="A124" s="7">
        <v>2023</v>
      </c>
      <c r="B124">
        <v>5</v>
      </c>
      <c r="C124">
        <v>10</v>
      </c>
      <c r="D124">
        <v>3</v>
      </c>
      <c r="E124" t="s">
        <v>21</v>
      </c>
      <c r="F124" t="str">
        <f t="shared" si="1"/>
        <v>[5 - 9]</v>
      </c>
    </row>
    <row r="125" spans="1:6" x14ac:dyDescent="0.3">
      <c r="A125" s="7">
        <v>6520</v>
      </c>
      <c r="B125">
        <v>8</v>
      </c>
      <c r="C125">
        <v>25</v>
      </c>
      <c r="D125">
        <v>1</v>
      </c>
      <c r="E125" t="s">
        <v>18</v>
      </c>
      <c r="F125" t="str">
        <f t="shared" si="1"/>
        <v>[5 - 9]</v>
      </c>
    </row>
    <row r="126" spans="1:6" x14ac:dyDescent="0.3">
      <c r="A126" s="7">
        <v>3960</v>
      </c>
      <c r="B126">
        <v>8</v>
      </c>
      <c r="C126">
        <v>15</v>
      </c>
      <c r="D126">
        <v>1</v>
      </c>
      <c r="E126" t="s">
        <v>18</v>
      </c>
      <c r="F126" t="str">
        <f t="shared" si="1"/>
        <v>[5 - 9]</v>
      </c>
    </row>
    <row r="127" spans="1:6" x14ac:dyDescent="0.3">
      <c r="A127" s="7">
        <v>5220</v>
      </c>
      <c r="B127">
        <v>15</v>
      </c>
      <c r="C127">
        <v>15</v>
      </c>
      <c r="D127">
        <v>1</v>
      </c>
      <c r="E127" t="s">
        <v>19</v>
      </c>
      <c r="F127" t="str">
        <f t="shared" si="1"/>
        <v>[15 - 20]</v>
      </c>
    </row>
    <row r="128" spans="1:6" x14ac:dyDescent="0.3">
      <c r="A128" s="7">
        <v>6500</v>
      </c>
      <c r="B128">
        <v>2</v>
      </c>
      <c r="C128">
        <v>15</v>
      </c>
      <c r="D128">
        <v>1</v>
      </c>
      <c r="E128" t="s">
        <v>18</v>
      </c>
      <c r="F128" t="str">
        <f t="shared" si="1"/>
        <v>[0 - 4]</v>
      </c>
    </row>
    <row r="129" spans="1:6" x14ac:dyDescent="0.3">
      <c r="A129" s="7">
        <v>4530</v>
      </c>
      <c r="B129">
        <v>13</v>
      </c>
      <c r="C129">
        <v>50</v>
      </c>
      <c r="D129">
        <v>1</v>
      </c>
      <c r="E129" t="s">
        <v>15</v>
      </c>
      <c r="F129" t="str">
        <f t="shared" si="1"/>
        <v>[10 - 14]</v>
      </c>
    </row>
    <row r="130" spans="1:6" x14ac:dyDescent="0.3">
      <c r="A130" s="7">
        <v>5210</v>
      </c>
      <c r="B130">
        <v>14</v>
      </c>
      <c r="C130">
        <v>25</v>
      </c>
      <c r="D130">
        <v>1</v>
      </c>
      <c r="E130" t="s">
        <v>17</v>
      </c>
      <c r="F130" t="str">
        <f t="shared" si="1"/>
        <v>[10 - 14]</v>
      </c>
    </row>
    <row r="131" spans="1:6" x14ac:dyDescent="0.3">
      <c r="A131" s="7">
        <v>746</v>
      </c>
      <c r="B131">
        <v>13</v>
      </c>
      <c r="C131">
        <v>25</v>
      </c>
      <c r="D131">
        <v>8</v>
      </c>
      <c r="E131" t="s">
        <v>15</v>
      </c>
      <c r="F131" t="str">
        <f t="shared" ref="F131:F194" si="2">VLOOKUP(B131,$J$1:$K$4,2)</f>
        <v>[10 - 14]</v>
      </c>
    </row>
    <row r="132" spans="1:6" x14ac:dyDescent="0.3">
      <c r="A132" s="7">
        <v>658</v>
      </c>
      <c r="B132">
        <v>1</v>
      </c>
      <c r="C132">
        <v>45</v>
      </c>
      <c r="D132">
        <v>10</v>
      </c>
      <c r="E132" t="s">
        <v>20</v>
      </c>
      <c r="F132" t="str">
        <f t="shared" si="2"/>
        <v>[0 - 4]</v>
      </c>
    </row>
    <row r="133" spans="1:6" x14ac:dyDescent="0.3">
      <c r="A133" s="7">
        <v>905</v>
      </c>
      <c r="B133">
        <v>5</v>
      </c>
      <c r="C133">
        <v>15</v>
      </c>
      <c r="D133">
        <v>4</v>
      </c>
      <c r="E133" t="s">
        <v>16</v>
      </c>
      <c r="F133" t="str">
        <f t="shared" si="2"/>
        <v>[5 - 9]</v>
      </c>
    </row>
    <row r="134" spans="1:6" x14ac:dyDescent="0.3">
      <c r="A134" s="7">
        <v>563</v>
      </c>
      <c r="B134">
        <v>3</v>
      </c>
      <c r="C134">
        <v>10</v>
      </c>
      <c r="D134">
        <v>9</v>
      </c>
      <c r="E134" t="s">
        <v>16</v>
      </c>
      <c r="F134" t="str">
        <f t="shared" si="2"/>
        <v>[0 - 4]</v>
      </c>
    </row>
    <row r="135" spans="1:6" x14ac:dyDescent="0.3">
      <c r="A135" s="7">
        <v>3620</v>
      </c>
      <c r="B135">
        <v>16</v>
      </c>
      <c r="C135">
        <v>40</v>
      </c>
      <c r="D135">
        <v>1</v>
      </c>
      <c r="E135" t="s">
        <v>17</v>
      </c>
      <c r="F135" t="str">
        <f t="shared" si="2"/>
        <v>[15 - 20]</v>
      </c>
    </row>
    <row r="136" spans="1:6" x14ac:dyDescent="0.3">
      <c r="A136" s="7">
        <v>2350</v>
      </c>
      <c r="B136">
        <v>12</v>
      </c>
      <c r="C136">
        <v>35</v>
      </c>
      <c r="D136">
        <v>2</v>
      </c>
      <c r="E136" t="s">
        <v>15</v>
      </c>
      <c r="F136" t="str">
        <f t="shared" si="2"/>
        <v>[10 - 14]</v>
      </c>
    </row>
    <row r="137" spans="1:6" x14ac:dyDescent="0.3">
      <c r="A137" s="7">
        <v>764</v>
      </c>
      <c r="B137">
        <v>4</v>
      </c>
      <c r="C137">
        <v>30</v>
      </c>
      <c r="D137">
        <v>8</v>
      </c>
      <c r="E137" t="s">
        <v>15</v>
      </c>
      <c r="F137" t="str">
        <f t="shared" si="2"/>
        <v>[0 - 4]</v>
      </c>
    </row>
    <row r="138" spans="1:6" x14ac:dyDescent="0.3">
      <c r="A138" s="7">
        <v>406</v>
      </c>
      <c r="B138">
        <v>10</v>
      </c>
      <c r="C138">
        <v>10</v>
      </c>
      <c r="D138">
        <v>10</v>
      </c>
      <c r="E138" t="s">
        <v>17</v>
      </c>
      <c r="F138" t="str">
        <f t="shared" si="2"/>
        <v>[10 - 14]</v>
      </c>
    </row>
    <row r="139" spans="1:6" x14ac:dyDescent="0.3">
      <c r="A139" s="7">
        <v>1123</v>
      </c>
      <c r="B139">
        <v>0</v>
      </c>
      <c r="C139">
        <v>25</v>
      </c>
      <c r="D139">
        <v>3</v>
      </c>
      <c r="E139" t="s">
        <v>16</v>
      </c>
      <c r="F139" t="str">
        <f t="shared" si="2"/>
        <v>[0 - 4]</v>
      </c>
    </row>
    <row r="140" spans="1:6" x14ac:dyDescent="0.3">
      <c r="A140" s="7">
        <v>1463</v>
      </c>
      <c r="B140">
        <v>9</v>
      </c>
      <c r="C140">
        <v>15</v>
      </c>
      <c r="D140">
        <v>4</v>
      </c>
      <c r="E140" t="s">
        <v>18</v>
      </c>
      <c r="F140" t="str">
        <f t="shared" si="2"/>
        <v>[5 - 9]</v>
      </c>
    </row>
    <row r="141" spans="1:6" x14ac:dyDescent="0.3">
      <c r="A141" s="7">
        <v>724</v>
      </c>
      <c r="B141">
        <v>20</v>
      </c>
      <c r="C141">
        <v>30</v>
      </c>
      <c r="D141">
        <v>7</v>
      </c>
      <c r="E141" t="s">
        <v>19</v>
      </c>
      <c r="F141" t="str">
        <f t="shared" si="2"/>
        <v>[15 - 20]</v>
      </c>
    </row>
    <row r="142" spans="1:6" x14ac:dyDescent="0.3">
      <c r="A142" s="7">
        <v>550</v>
      </c>
      <c r="B142">
        <v>17</v>
      </c>
      <c r="C142">
        <v>30</v>
      </c>
      <c r="D142">
        <v>10</v>
      </c>
      <c r="E142" t="s">
        <v>18</v>
      </c>
      <c r="F142" t="str">
        <f t="shared" si="2"/>
        <v>[15 - 20]</v>
      </c>
    </row>
    <row r="143" spans="1:6" x14ac:dyDescent="0.3">
      <c r="A143" s="7">
        <v>1807</v>
      </c>
      <c r="B143">
        <v>19</v>
      </c>
      <c r="C143">
        <v>50</v>
      </c>
      <c r="D143">
        <v>3</v>
      </c>
      <c r="E143" t="s">
        <v>19</v>
      </c>
      <c r="F143" t="str">
        <f t="shared" si="2"/>
        <v>[15 - 20]</v>
      </c>
    </row>
    <row r="144" spans="1:6" x14ac:dyDescent="0.3">
      <c r="A144" s="7">
        <v>1160</v>
      </c>
      <c r="B144">
        <v>5</v>
      </c>
      <c r="C144">
        <v>10</v>
      </c>
      <c r="D144">
        <v>3</v>
      </c>
      <c r="E144" t="s">
        <v>21</v>
      </c>
      <c r="F144" t="str">
        <f t="shared" si="2"/>
        <v>[5 - 9]</v>
      </c>
    </row>
    <row r="145" spans="1:6" x14ac:dyDescent="0.3">
      <c r="A145" s="7">
        <v>597</v>
      </c>
      <c r="B145">
        <v>2</v>
      </c>
      <c r="C145">
        <v>20</v>
      </c>
      <c r="D145">
        <v>7</v>
      </c>
      <c r="E145" t="s">
        <v>18</v>
      </c>
      <c r="F145" t="str">
        <f t="shared" si="2"/>
        <v>[0 - 4]</v>
      </c>
    </row>
    <row r="146" spans="1:6" x14ac:dyDescent="0.3">
      <c r="A146" s="7">
        <v>1270</v>
      </c>
      <c r="B146">
        <v>12</v>
      </c>
      <c r="C146">
        <v>35</v>
      </c>
      <c r="D146">
        <v>5</v>
      </c>
      <c r="E146" t="s">
        <v>21</v>
      </c>
      <c r="F146" t="str">
        <f t="shared" si="2"/>
        <v>[10 - 14]</v>
      </c>
    </row>
    <row r="147" spans="1:6" x14ac:dyDescent="0.3">
      <c r="A147" s="7">
        <v>6590</v>
      </c>
      <c r="B147">
        <v>20</v>
      </c>
      <c r="C147">
        <v>45</v>
      </c>
      <c r="D147">
        <v>1</v>
      </c>
      <c r="E147" t="s">
        <v>19</v>
      </c>
      <c r="F147" t="str">
        <f t="shared" si="2"/>
        <v>[15 - 20]</v>
      </c>
    </row>
    <row r="148" spans="1:6" x14ac:dyDescent="0.3">
      <c r="A148" s="7">
        <v>1056</v>
      </c>
      <c r="B148">
        <v>17</v>
      </c>
      <c r="C148">
        <v>50</v>
      </c>
      <c r="D148">
        <v>5</v>
      </c>
      <c r="E148" t="s">
        <v>15</v>
      </c>
      <c r="F148" t="str">
        <f t="shared" si="2"/>
        <v>[15 - 20]</v>
      </c>
    </row>
    <row r="149" spans="1:6" x14ac:dyDescent="0.3">
      <c r="A149" s="7">
        <v>6560</v>
      </c>
      <c r="B149">
        <v>7</v>
      </c>
      <c r="C149">
        <v>50</v>
      </c>
      <c r="D149">
        <v>1</v>
      </c>
      <c r="E149" t="s">
        <v>20</v>
      </c>
      <c r="F149" t="str">
        <f t="shared" si="2"/>
        <v>[5 - 9]</v>
      </c>
    </row>
    <row r="150" spans="1:6" x14ac:dyDescent="0.3">
      <c r="A150" s="7">
        <v>492</v>
      </c>
      <c r="B150">
        <v>16</v>
      </c>
      <c r="C150">
        <v>0</v>
      </c>
      <c r="D150">
        <v>10</v>
      </c>
      <c r="E150" t="s">
        <v>17</v>
      </c>
      <c r="F150" t="str">
        <f t="shared" si="2"/>
        <v>[15 - 20]</v>
      </c>
    </row>
    <row r="151" spans="1:6" x14ac:dyDescent="0.3">
      <c r="A151" s="7">
        <v>3075</v>
      </c>
      <c r="B151">
        <v>16</v>
      </c>
      <c r="C151">
        <v>15</v>
      </c>
      <c r="D151">
        <v>2</v>
      </c>
      <c r="E151" t="s">
        <v>21</v>
      </c>
      <c r="F151" t="str">
        <f t="shared" si="2"/>
        <v>[15 - 20]</v>
      </c>
    </row>
    <row r="152" spans="1:6" x14ac:dyDescent="0.3">
      <c r="A152" s="7">
        <v>920</v>
      </c>
      <c r="B152">
        <v>7</v>
      </c>
      <c r="C152">
        <v>0</v>
      </c>
      <c r="D152">
        <v>4</v>
      </c>
      <c r="E152" t="s">
        <v>21</v>
      </c>
      <c r="F152" t="str">
        <f t="shared" si="2"/>
        <v>[5 - 9]</v>
      </c>
    </row>
    <row r="153" spans="1:6" x14ac:dyDescent="0.3">
      <c r="A153" s="7">
        <v>637</v>
      </c>
      <c r="B153">
        <v>17</v>
      </c>
      <c r="C153">
        <v>35</v>
      </c>
      <c r="D153">
        <v>10</v>
      </c>
      <c r="E153" t="s">
        <v>16</v>
      </c>
      <c r="F153" t="str">
        <f t="shared" si="2"/>
        <v>[15 - 20]</v>
      </c>
    </row>
    <row r="154" spans="1:6" x14ac:dyDescent="0.3">
      <c r="A154" s="7">
        <v>5260</v>
      </c>
      <c r="B154">
        <v>16</v>
      </c>
      <c r="C154">
        <v>5</v>
      </c>
      <c r="D154">
        <v>1</v>
      </c>
      <c r="E154" t="s">
        <v>20</v>
      </c>
      <c r="F154" t="str">
        <f t="shared" si="2"/>
        <v>[15 - 20]</v>
      </c>
    </row>
    <row r="155" spans="1:6" x14ac:dyDescent="0.3">
      <c r="A155" s="7">
        <v>6400</v>
      </c>
      <c r="B155">
        <v>6</v>
      </c>
      <c r="C155">
        <v>10</v>
      </c>
      <c r="D155">
        <v>1</v>
      </c>
      <c r="E155" t="s">
        <v>20</v>
      </c>
      <c r="F155" t="str">
        <f t="shared" si="2"/>
        <v>[5 - 9]</v>
      </c>
    </row>
    <row r="156" spans="1:6" x14ac:dyDescent="0.3">
      <c r="A156" s="7">
        <v>1274</v>
      </c>
      <c r="B156">
        <v>4</v>
      </c>
      <c r="C156">
        <v>5</v>
      </c>
      <c r="D156">
        <v>5</v>
      </c>
      <c r="E156" t="s">
        <v>19</v>
      </c>
      <c r="F156" t="str">
        <f t="shared" si="2"/>
        <v>[0 - 4]</v>
      </c>
    </row>
    <row r="157" spans="1:6" x14ac:dyDescent="0.3">
      <c r="A157" s="7">
        <v>358</v>
      </c>
      <c r="B157">
        <v>7</v>
      </c>
      <c r="C157">
        <v>20</v>
      </c>
      <c r="D157">
        <v>10</v>
      </c>
      <c r="E157" t="s">
        <v>21</v>
      </c>
      <c r="F157" t="str">
        <f t="shared" si="2"/>
        <v>[5 - 9]</v>
      </c>
    </row>
    <row r="158" spans="1:6" x14ac:dyDescent="0.3">
      <c r="A158" s="7">
        <v>6790</v>
      </c>
      <c r="B158">
        <v>13</v>
      </c>
      <c r="C158">
        <v>45</v>
      </c>
      <c r="D158">
        <v>1</v>
      </c>
      <c r="E158" t="s">
        <v>19</v>
      </c>
      <c r="F158" t="str">
        <f t="shared" si="2"/>
        <v>[10 - 14]</v>
      </c>
    </row>
    <row r="159" spans="1:6" x14ac:dyDescent="0.3">
      <c r="A159" s="7">
        <v>1010</v>
      </c>
      <c r="B159">
        <v>6</v>
      </c>
      <c r="C159">
        <v>25</v>
      </c>
      <c r="D159">
        <v>3</v>
      </c>
      <c r="E159" t="s">
        <v>15</v>
      </c>
      <c r="F159" t="str">
        <f t="shared" si="2"/>
        <v>[5 - 9]</v>
      </c>
    </row>
    <row r="160" spans="1:6" x14ac:dyDescent="0.3">
      <c r="A160" s="7">
        <v>5100</v>
      </c>
      <c r="B160">
        <v>13</v>
      </c>
      <c r="C160">
        <v>45</v>
      </c>
      <c r="D160">
        <v>1</v>
      </c>
      <c r="E160" t="s">
        <v>20</v>
      </c>
      <c r="F160" t="str">
        <f t="shared" si="2"/>
        <v>[10 - 14]</v>
      </c>
    </row>
    <row r="161" spans="1:6" x14ac:dyDescent="0.3">
      <c r="A161" s="7">
        <v>447</v>
      </c>
      <c r="B161">
        <v>12</v>
      </c>
      <c r="C161">
        <v>25</v>
      </c>
      <c r="D161">
        <v>9</v>
      </c>
      <c r="E161" t="s">
        <v>19</v>
      </c>
      <c r="F161" t="str">
        <f t="shared" si="2"/>
        <v>[10 - 14]</v>
      </c>
    </row>
    <row r="162" spans="1:6" x14ac:dyDescent="0.3">
      <c r="A162" s="7">
        <v>3790</v>
      </c>
      <c r="B162">
        <v>2</v>
      </c>
      <c r="C162">
        <v>40</v>
      </c>
      <c r="D162">
        <v>1</v>
      </c>
      <c r="E162" t="s">
        <v>17</v>
      </c>
      <c r="F162" t="str">
        <f t="shared" si="2"/>
        <v>[0 - 4]</v>
      </c>
    </row>
    <row r="163" spans="1:6" x14ac:dyDescent="0.3">
      <c r="A163" s="7">
        <v>1320</v>
      </c>
      <c r="B163">
        <v>18</v>
      </c>
      <c r="C163">
        <v>25</v>
      </c>
      <c r="D163">
        <v>5</v>
      </c>
      <c r="E163" t="s">
        <v>20</v>
      </c>
      <c r="F163" t="str">
        <f t="shared" si="2"/>
        <v>[15 - 20]</v>
      </c>
    </row>
    <row r="164" spans="1:6" x14ac:dyDescent="0.3">
      <c r="A164" s="7">
        <v>808</v>
      </c>
      <c r="B164">
        <v>7</v>
      </c>
      <c r="C164">
        <v>45</v>
      </c>
      <c r="D164">
        <v>6</v>
      </c>
      <c r="E164" t="s">
        <v>20</v>
      </c>
      <c r="F164" t="str">
        <f t="shared" si="2"/>
        <v>[5 - 9]</v>
      </c>
    </row>
    <row r="165" spans="1:6" x14ac:dyDescent="0.3">
      <c r="A165" s="7">
        <v>1318</v>
      </c>
      <c r="B165">
        <v>16</v>
      </c>
      <c r="C165">
        <v>30</v>
      </c>
      <c r="D165">
        <v>5</v>
      </c>
      <c r="E165" t="s">
        <v>19</v>
      </c>
      <c r="F165" t="str">
        <f t="shared" si="2"/>
        <v>[15 - 20]</v>
      </c>
    </row>
    <row r="166" spans="1:6" x14ac:dyDescent="0.3">
      <c r="A166" s="7">
        <v>4690</v>
      </c>
      <c r="B166">
        <v>7</v>
      </c>
      <c r="C166">
        <v>0</v>
      </c>
      <c r="D166">
        <v>1</v>
      </c>
      <c r="E166" t="s">
        <v>21</v>
      </c>
      <c r="F166" t="str">
        <f t="shared" si="2"/>
        <v>[5 - 9]</v>
      </c>
    </row>
    <row r="167" spans="1:6" x14ac:dyDescent="0.3">
      <c r="A167" s="7">
        <v>401</v>
      </c>
      <c r="B167">
        <v>4</v>
      </c>
      <c r="C167">
        <v>50</v>
      </c>
      <c r="D167">
        <v>7</v>
      </c>
      <c r="E167" t="s">
        <v>21</v>
      </c>
      <c r="F167" t="str">
        <f t="shared" si="2"/>
        <v>[0 - 4]</v>
      </c>
    </row>
    <row r="168" spans="1:6" x14ac:dyDescent="0.3">
      <c r="A168" s="7">
        <v>420</v>
      </c>
      <c r="B168">
        <v>15</v>
      </c>
      <c r="C168">
        <v>10</v>
      </c>
      <c r="D168">
        <v>8</v>
      </c>
      <c r="E168" t="s">
        <v>19</v>
      </c>
      <c r="F168" t="str">
        <f t="shared" si="2"/>
        <v>[15 - 20]</v>
      </c>
    </row>
    <row r="169" spans="1:6" x14ac:dyDescent="0.3">
      <c r="A169" s="7">
        <v>5490</v>
      </c>
      <c r="B169">
        <v>10</v>
      </c>
      <c r="C169">
        <v>45</v>
      </c>
      <c r="D169">
        <v>1</v>
      </c>
      <c r="E169" t="s">
        <v>17</v>
      </c>
      <c r="F169" t="str">
        <f t="shared" si="2"/>
        <v>[10 - 14]</v>
      </c>
    </row>
    <row r="170" spans="1:6" x14ac:dyDescent="0.3">
      <c r="A170" s="7">
        <v>647</v>
      </c>
      <c r="B170">
        <v>17</v>
      </c>
      <c r="C170">
        <v>10</v>
      </c>
      <c r="D170">
        <v>9</v>
      </c>
      <c r="E170" t="s">
        <v>16</v>
      </c>
      <c r="F170" t="str">
        <f t="shared" si="2"/>
        <v>[15 - 20]</v>
      </c>
    </row>
    <row r="171" spans="1:6" x14ac:dyDescent="0.3">
      <c r="A171" s="7">
        <v>6240</v>
      </c>
      <c r="B171">
        <v>5</v>
      </c>
      <c r="C171">
        <v>50</v>
      </c>
      <c r="D171">
        <v>1</v>
      </c>
      <c r="E171" t="s">
        <v>17</v>
      </c>
      <c r="F171" t="str">
        <f t="shared" si="2"/>
        <v>[5 - 9]</v>
      </c>
    </row>
    <row r="172" spans="1:6" x14ac:dyDescent="0.3">
      <c r="A172" s="7">
        <v>677.1</v>
      </c>
      <c r="B172">
        <v>6</v>
      </c>
      <c r="C172">
        <v>45</v>
      </c>
      <c r="D172">
        <v>6</v>
      </c>
      <c r="E172" t="s">
        <v>17</v>
      </c>
      <c r="F172" t="str">
        <f t="shared" si="2"/>
        <v>[5 - 9]</v>
      </c>
    </row>
    <row r="173" spans="1:6" x14ac:dyDescent="0.3">
      <c r="A173" s="7">
        <v>1324</v>
      </c>
      <c r="B173">
        <v>1</v>
      </c>
      <c r="C173">
        <v>10</v>
      </c>
      <c r="D173">
        <v>5</v>
      </c>
      <c r="E173" t="s">
        <v>20</v>
      </c>
      <c r="F173" t="str">
        <f t="shared" si="2"/>
        <v>[0 - 4]</v>
      </c>
    </row>
    <row r="174" spans="1:6" x14ac:dyDescent="0.3">
      <c r="A174" s="7">
        <v>1525</v>
      </c>
      <c r="B174">
        <v>17</v>
      </c>
      <c r="C174">
        <v>20</v>
      </c>
      <c r="D174">
        <v>2</v>
      </c>
      <c r="E174" t="s">
        <v>21</v>
      </c>
      <c r="F174" t="str">
        <f t="shared" si="2"/>
        <v>[15 - 20]</v>
      </c>
    </row>
    <row r="175" spans="1:6" x14ac:dyDescent="0.3">
      <c r="A175" s="7">
        <v>4090</v>
      </c>
      <c r="B175">
        <v>9</v>
      </c>
      <c r="C175">
        <v>5</v>
      </c>
      <c r="D175">
        <v>1</v>
      </c>
      <c r="E175" t="s">
        <v>16</v>
      </c>
      <c r="F175" t="str">
        <f t="shared" si="2"/>
        <v>[5 - 9]</v>
      </c>
    </row>
    <row r="176" spans="1:6" x14ac:dyDescent="0.3">
      <c r="A176" s="7">
        <v>4050</v>
      </c>
      <c r="B176">
        <v>14</v>
      </c>
      <c r="C176">
        <v>50</v>
      </c>
      <c r="D176">
        <v>1</v>
      </c>
      <c r="E176" t="s">
        <v>17</v>
      </c>
      <c r="F176" t="str">
        <f t="shared" si="2"/>
        <v>[10 - 14]</v>
      </c>
    </row>
    <row r="177" spans="1:6" x14ac:dyDescent="0.3">
      <c r="A177" s="7">
        <v>371</v>
      </c>
      <c r="B177">
        <v>12</v>
      </c>
      <c r="C177">
        <v>50</v>
      </c>
      <c r="D177">
        <v>10</v>
      </c>
      <c r="E177" t="s">
        <v>15</v>
      </c>
      <c r="F177" t="str">
        <f t="shared" si="2"/>
        <v>[10 - 14]</v>
      </c>
    </row>
    <row r="178" spans="1:6" x14ac:dyDescent="0.3">
      <c r="A178" s="7">
        <v>1014</v>
      </c>
      <c r="B178">
        <v>3</v>
      </c>
      <c r="C178">
        <v>0</v>
      </c>
      <c r="D178">
        <v>5</v>
      </c>
      <c r="E178" t="s">
        <v>16</v>
      </c>
      <c r="F178" t="str">
        <f t="shared" si="2"/>
        <v>[0 - 4]</v>
      </c>
    </row>
    <row r="179" spans="1:6" x14ac:dyDescent="0.3">
      <c r="A179" s="7">
        <v>517</v>
      </c>
      <c r="B179">
        <v>12</v>
      </c>
      <c r="C179">
        <v>15</v>
      </c>
      <c r="D179">
        <v>10</v>
      </c>
      <c r="E179" t="s">
        <v>16</v>
      </c>
      <c r="F179" t="str">
        <f t="shared" si="2"/>
        <v>[10 - 14]</v>
      </c>
    </row>
    <row r="180" spans="1:6" x14ac:dyDescent="0.3">
      <c r="A180" s="7">
        <v>5340</v>
      </c>
      <c r="B180">
        <v>4</v>
      </c>
      <c r="C180">
        <v>30</v>
      </c>
      <c r="D180">
        <v>1</v>
      </c>
      <c r="E180" t="s">
        <v>16</v>
      </c>
      <c r="F180" t="str">
        <f t="shared" si="2"/>
        <v>[0 - 4]</v>
      </c>
    </row>
    <row r="181" spans="1:6" x14ac:dyDescent="0.3">
      <c r="A181" s="7">
        <v>589</v>
      </c>
      <c r="B181">
        <v>3</v>
      </c>
      <c r="C181">
        <v>15</v>
      </c>
      <c r="D181">
        <v>7</v>
      </c>
      <c r="E181" t="s">
        <v>16</v>
      </c>
      <c r="F181" t="str">
        <f t="shared" si="2"/>
        <v>[0 - 4]</v>
      </c>
    </row>
    <row r="182" spans="1:6" x14ac:dyDescent="0.3">
      <c r="A182" s="7">
        <v>6900</v>
      </c>
      <c r="B182">
        <v>2</v>
      </c>
      <c r="C182">
        <v>10</v>
      </c>
      <c r="D182">
        <v>1</v>
      </c>
      <c r="E182" t="s">
        <v>19</v>
      </c>
      <c r="F182" t="str">
        <f t="shared" si="2"/>
        <v>[0 - 4]</v>
      </c>
    </row>
    <row r="183" spans="1:6" x14ac:dyDescent="0.3">
      <c r="A183" s="7">
        <v>1963</v>
      </c>
      <c r="B183">
        <v>20</v>
      </c>
      <c r="C183">
        <v>45</v>
      </c>
      <c r="D183">
        <v>3</v>
      </c>
      <c r="E183" t="s">
        <v>15</v>
      </c>
      <c r="F183" t="str">
        <f t="shared" si="2"/>
        <v>[15 - 20]</v>
      </c>
    </row>
    <row r="184" spans="1:6" x14ac:dyDescent="0.3">
      <c r="A184" s="7">
        <v>3490</v>
      </c>
      <c r="B184">
        <v>16</v>
      </c>
      <c r="C184">
        <v>35</v>
      </c>
      <c r="D184">
        <v>1</v>
      </c>
      <c r="E184" t="s">
        <v>17</v>
      </c>
      <c r="F184" t="str">
        <f t="shared" si="2"/>
        <v>[15 - 20]</v>
      </c>
    </row>
    <row r="185" spans="1:6" x14ac:dyDescent="0.3">
      <c r="A185" s="7">
        <v>6690</v>
      </c>
      <c r="B185">
        <v>7</v>
      </c>
      <c r="C185">
        <v>50</v>
      </c>
      <c r="D185">
        <v>1</v>
      </c>
      <c r="E185" t="s">
        <v>19</v>
      </c>
      <c r="F185" t="str">
        <f t="shared" si="2"/>
        <v>[5 - 9]</v>
      </c>
    </row>
    <row r="186" spans="1:6" x14ac:dyDescent="0.3">
      <c r="A186" s="7">
        <v>3830</v>
      </c>
      <c r="B186">
        <v>4</v>
      </c>
      <c r="C186">
        <v>5</v>
      </c>
      <c r="D186">
        <v>1</v>
      </c>
      <c r="E186" t="s">
        <v>16</v>
      </c>
      <c r="F186" t="str">
        <f t="shared" si="2"/>
        <v>[0 - 4]</v>
      </c>
    </row>
    <row r="187" spans="1:6" x14ac:dyDescent="0.3">
      <c r="A187" s="7">
        <v>2095</v>
      </c>
      <c r="B187">
        <v>4</v>
      </c>
      <c r="C187">
        <v>15</v>
      </c>
      <c r="D187">
        <v>2</v>
      </c>
      <c r="E187" t="s">
        <v>18</v>
      </c>
      <c r="F187" t="str">
        <f t="shared" si="2"/>
        <v>[0 - 4]</v>
      </c>
    </row>
    <row r="188" spans="1:6" x14ac:dyDescent="0.3">
      <c r="A188" s="7">
        <v>410</v>
      </c>
      <c r="B188">
        <v>12</v>
      </c>
      <c r="C188">
        <v>10</v>
      </c>
      <c r="D188">
        <v>8</v>
      </c>
      <c r="E188" t="s">
        <v>20</v>
      </c>
      <c r="F188" t="str">
        <f t="shared" si="2"/>
        <v>[10 - 14]</v>
      </c>
    </row>
    <row r="189" spans="1:6" x14ac:dyDescent="0.3">
      <c r="A189" s="7">
        <v>3160</v>
      </c>
      <c r="B189">
        <v>8</v>
      </c>
      <c r="C189">
        <v>50</v>
      </c>
      <c r="D189">
        <v>1</v>
      </c>
      <c r="E189" t="s">
        <v>20</v>
      </c>
      <c r="F189" t="str">
        <f t="shared" si="2"/>
        <v>[5 - 9]</v>
      </c>
    </row>
    <row r="190" spans="1:6" x14ac:dyDescent="0.3">
      <c r="A190" s="7">
        <v>1174</v>
      </c>
      <c r="B190">
        <v>9</v>
      </c>
      <c r="C190">
        <v>35</v>
      </c>
      <c r="D190">
        <v>5</v>
      </c>
      <c r="E190" t="s">
        <v>21</v>
      </c>
      <c r="F190" t="str">
        <f t="shared" si="2"/>
        <v>[5 - 9]</v>
      </c>
    </row>
    <row r="191" spans="1:6" x14ac:dyDescent="0.3">
      <c r="A191" s="7">
        <v>5570</v>
      </c>
      <c r="B191">
        <v>10</v>
      </c>
      <c r="C191">
        <v>40</v>
      </c>
      <c r="D191">
        <v>1</v>
      </c>
      <c r="E191" t="s">
        <v>19</v>
      </c>
      <c r="F191" t="str">
        <f t="shared" si="2"/>
        <v>[10 - 14]</v>
      </c>
    </row>
    <row r="192" spans="1:6" x14ac:dyDescent="0.3">
      <c r="A192" s="7">
        <v>794</v>
      </c>
      <c r="B192">
        <v>16</v>
      </c>
      <c r="C192">
        <v>50</v>
      </c>
      <c r="D192">
        <v>7</v>
      </c>
      <c r="E192" t="s">
        <v>16</v>
      </c>
      <c r="F192" t="str">
        <f t="shared" si="2"/>
        <v>[15 - 20]</v>
      </c>
    </row>
    <row r="193" spans="1:6" x14ac:dyDescent="0.3">
      <c r="A193" s="7">
        <v>339</v>
      </c>
      <c r="B193">
        <v>19</v>
      </c>
      <c r="C193">
        <v>45</v>
      </c>
      <c r="D193">
        <v>9</v>
      </c>
      <c r="E193" t="s">
        <v>20</v>
      </c>
      <c r="F193" t="str">
        <f t="shared" si="2"/>
        <v>[15 - 20]</v>
      </c>
    </row>
    <row r="194" spans="1:6" x14ac:dyDescent="0.3">
      <c r="A194" s="7">
        <v>500</v>
      </c>
      <c r="B194">
        <v>11</v>
      </c>
      <c r="C194">
        <v>20</v>
      </c>
      <c r="D194">
        <v>6</v>
      </c>
      <c r="E194" t="s">
        <v>20</v>
      </c>
      <c r="F194" t="str">
        <f t="shared" si="2"/>
        <v>[10 - 14]</v>
      </c>
    </row>
    <row r="195" spans="1:6" x14ac:dyDescent="0.3">
      <c r="A195" s="7">
        <v>1186</v>
      </c>
      <c r="B195">
        <v>11</v>
      </c>
      <c r="C195">
        <v>10</v>
      </c>
      <c r="D195">
        <v>5</v>
      </c>
      <c r="E195" t="s">
        <v>17</v>
      </c>
      <c r="F195" t="str">
        <f t="shared" ref="F195:F258" si="3">VLOOKUP(B195,$J$1:$K$4,2)</f>
        <v>[10 - 14]</v>
      </c>
    </row>
    <row r="196" spans="1:6" x14ac:dyDescent="0.3">
      <c r="A196" s="7">
        <v>1815</v>
      </c>
      <c r="B196">
        <v>5</v>
      </c>
      <c r="C196">
        <v>35</v>
      </c>
      <c r="D196">
        <v>2</v>
      </c>
      <c r="E196" t="s">
        <v>17</v>
      </c>
      <c r="F196" t="str">
        <f t="shared" si="3"/>
        <v>[5 - 9]</v>
      </c>
    </row>
    <row r="197" spans="1:6" x14ac:dyDescent="0.3">
      <c r="A197" s="7">
        <v>1236</v>
      </c>
      <c r="B197">
        <v>8</v>
      </c>
      <c r="C197">
        <v>15</v>
      </c>
      <c r="D197">
        <v>5</v>
      </c>
      <c r="E197" t="s">
        <v>16</v>
      </c>
      <c r="F197" t="str">
        <f t="shared" si="3"/>
        <v>[5 - 9]</v>
      </c>
    </row>
    <row r="198" spans="1:6" x14ac:dyDescent="0.3">
      <c r="A198" s="7">
        <v>324</v>
      </c>
      <c r="B198">
        <v>18</v>
      </c>
      <c r="C198">
        <v>30</v>
      </c>
      <c r="D198">
        <v>9</v>
      </c>
      <c r="E198" t="s">
        <v>16</v>
      </c>
      <c r="F198" t="str">
        <f t="shared" si="3"/>
        <v>[15 - 20]</v>
      </c>
    </row>
    <row r="199" spans="1:6" x14ac:dyDescent="0.3">
      <c r="A199" s="7">
        <v>504</v>
      </c>
      <c r="B199">
        <v>9</v>
      </c>
      <c r="C199">
        <v>20</v>
      </c>
      <c r="D199">
        <v>9</v>
      </c>
      <c r="E199" t="s">
        <v>20</v>
      </c>
      <c r="F199" t="str">
        <f t="shared" si="3"/>
        <v>[5 - 9]</v>
      </c>
    </row>
    <row r="200" spans="1:6" x14ac:dyDescent="0.3">
      <c r="A200" s="7">
        <v>475</v>
      </c>
      <c r="B200">
        <v>11</v>
      </c>
      <c r="C200">
        <v>40</v>
      </c>
      <c r="D200">
        <v>10</v>
      </c>
      <c r="E200" t="s">
        <v>20</v>
      </c>
      <c r="F200" t="str">
        <f t="shared" si="3"/>
        <v>[10 - 14]</v>
      </c>
    </row>
    <row r="201" spans="1:6" x14ac:dyDescent="0.3">
      <c r="A201" s="7">
        <v>360</v>
      </c>
      <c r="B201">
        <v>4</v>
      </c>
      <c r="C201">
        <v>35</v>
      </c>
      <c r="D201">
        <v>8</v>
      </c>
      <c r="E201" t="s">
        <v>17</v>
      </c>
      <c r="F201" t="str">
        <f t="shared" si="3"/>
        <v>[0 - 4]</v>
      </c>
    </row>
    <row r="202" spans="1:6" x14ac:dyDescent="0.3">
      <c r="A202" s="7">
        <v>1340</v>
      </c>
      <c r="B202">
        <v>0</v>
      </c>
      <c r="C202">
        <v>5</v>
      </c>
      <c r="D202">
        <v>5</v>
      </c>
      <c r="E202" t="s">
        <v>19</v>
      </c>
      <c r="F202" t="str">
        <f t="shared" si="3"/>
        <v>[0 - 4]</v>
      </c>
    </row>
    <row r="203" spans="1:6" x14ac:dyDescent="0.3">
      <c r="A203" s="7">
        <v>1067</v>
      </c>
      <c r="B203">
        <v>2</v>
      </c>
      <c r="C203">
        <v>30</v>
      </c>
      <c r="D203">
        <v>3</v>
      </c>
      <c r="E203" t="s">
        <v>21</v>
      </c>
      <c r="F203" t="str">
        <f t="shared" si="3"/>
        <v>[0 - 4]</v>
      </c>
    </row>
    <row r="204" spans="1:6" x14ac:dyDescent="0.3">
      <c r="A204" s="7">
        <v>4330</v>
      </c>
      <c r="B204">
        <v>7</v>
      </c>
      <c r="C204">
        <v>50</v>
      </c>
      <c r="D204">
        <v>1</v>
      </c>
      <c r="E204" t="s">
        <v>15</v>
      </c>
      <c r="F204" t="str">
        <f t="shared" si="3"/>
        <v>[5 - 9]</v>
      </c>
    </row>
    <row r="205" spans="1:6" x14ac:dyDescent="0.3">
      <c r="A205" s="7">
        <v>4170</v>
      </c>
      <c r="B205">
        <v>12</v>
      </c>
      <c r="C205">
        <v>35</v>
      </c>
      <c r="D205">
        <v>1</v>
      </c>
      <c r="E205" t="s">
        <v>18</v>
      </c>
      <c r="F205" t="str">
        <f t="shared" si="3"/>
        <v>[10 - 14]</v>
      </c>
    </row>
    <row r="206" spans="1:6" x14ac:dyDescent="0.3">
      <c r="A206" s="7">
        <v>1860</v>
      </c>
      <c r="B206">
        <v>8</v>
      </c>
      <c r="C206">
        <v>30</v>
      </c>
      <c r="D206">
        <v>3</v>
      </c>
      <c r="E206" t="s">
        <v>17</v>
      </c>
      <c r="F206" t="str">
        <f t="shared" si="3"/>
        <v>[5 - 9]</v>
      </c>
    </row>
    <row r="207" spans="1:6" x14ac:dyDescent="0.3">
      <c r="A207" s="7">
        <v>6550</v>
      </c>
      <c r="B207">
        <v>8</v>
      </c>
      <c r="C207">
        <v>30</v>
      </c>
      <c r="D207">
        <v>1</v>
      </c>
      <c r="E207" t="s">
        <v>19</v>
      </c>
      <c r="F207" t="str">
        <f t="shared" si="3"/>
        <v>[5 - 9]</v>
      </c>
    </row>
    <row r="208" spans="1:6" x14ac:dyDescent="0.3">
      <c r="A208" s="7">
        <v>6790</v>
      </c>
      <c r="B208">
        <v>13</v>
      </c>
      <c r="C208">
        <v>40</v>
      </c>
      <c r="D208">
        <v>1</v>
      </c>
      <c r="E208" t="s">
        <v>19</v>
      </c>
      <c r="F208" t="str">
        <f t="shared" si="3"/>
        <v>[10 - 14]</v>
      </c>
    </row>
    <row r="209" spans="1:6" x14ac:dyDescent="0.3">
      <c r="A209" s="7">
        <v>4600</v>
      </c>
      <c r="B209">
        <v>11</v>
      </c>
      <c r="C209">
        <v>30</v>
      </c>
      <c r="D209">
        <v>1</v>
      </c>
      <c r="E209" t="s">
        <v>16</v>
      </c>
      <c r="F209" t="str">
        <f t="shared" si="3"/>
        <v>[10 - 14]</v>
      </c>
    </row>
    <row r="210" spans="1:6" x14ac:dyDescent="0.3">
      <c r="A210" s="7">
        <v>5720</v>
      </c>
      <c r="B210">
        <v>15</v>
      </c>
      <c r="C210">
        <v>0</v>
      </c>
      <c r="D210">
        <v>1</v>
      </c>
      <c r="E210" t="s">
        <v>19</v>
      </c>
      <c r="F210" t="str">
        <f t="shared" si="3"/>
        <v>[15 - 20]</v>
      </c>
    </row>
    <row r="211" spans="1:6" x14ac:dyDescent="0.3">
      <c r="A211" s="7">
        <v>1102</v>
      </c>
      <c r="B211">
        <v>12</v>
      </c>
      <c r="C211">
        <v>10</v>
      </c>
      <c r="D211">
        <v>5</v>
      </c>
      <c r="E211" t="s">
        <v>15</v>
      </c>
      <c r="F211" t="str">
        <f t="shared" si="3"/>
        <v>[10 - 14]</v>
      </c>
    </row>
    <row r="212" spans="1:6" x14ac:dyDescent="0.3">
      <c r="A212" s="7">
        <v>999</v>
      </c>
      <c r="B212">
        <v>20</v>
      </c>
      <c r="C212">
        <v>50</v>
      </c>
      <c r="D212">
        <v>7</v>
      </c>
      <c r="E212" t="s">
        <v>17</v>
      </c>
      <c r="F212" t="str">
        <f t="shared" si="3"/>
        <v>[15 - 20]</v>
      </c>
    </row>
    <row r="213" spans="1:6" x14ac:dyDescent="0.3">
      <c r="A213" s="7">
        <v>5130</v>
      </c>
      <c r="B213">
        <v>17</v>
      </c>
      <c r="C213">
        <v>45</v>
      </c>
      <c r="D213">
        <v>1</v>
      </c>
      <c r="E213" t="s">
        <v>21</v>
      </c>
      <c r="F213" t="str">
        <f t="shared" si="3"/>
        <v>[15 - 20]</v>
      </c>
    </row>
    <row r="214" spans="1:6" x14ac:dyDescent="0.3">
      <c r="A214" s="7">
        <v>2115</v>
      </c>
      <c r="B214">
        <v>10</v>
      </c>
      <c r="C214">
        <v>50</v>
      </c>
      <c r="D214">
        <v>2</v>
      </c>
      <c r="E214" t="s">
        <v>17</v>
      </c>
      <c r="F214" t="str">
        <f t="shared" si="3"/>
        <v>[10 - 14]</v>
      </c>
    </row>
    <row r="215" spans="1:6" x14ac:dyDescent="0.3">
      <c r="A215" s="7">
        <v>1455</v>
      </c>
      <c r="B215">
        <v>13</v>
      </c>
      <c r="C215">
        <v>40</v>
      </c>
      <c r="D215">
        <v>4</v>
      </c>
      <c r="E215" t="s">
        <v>15</v>
      </c>
      <c r="F215" t="str">
        <f t="shared" si="3"/>
        <v>[10 - 14]</v>
      </c>
    </row>
    <row r="216" spans="1:6" x14ac:dyDescent="0.3">
      <c r="A216" s="7">
        <v>1138</v>
      </c>
      <c r="B216">
        <v>13</v>
      </c>
      <c r="C216">
        <v>10</v>
      </c>
      <c r="D216">
        <v>5</v>
      </c>
      <c r="E216" t="s">
        <v>20</v>
      </c>
      <c r="F216" t="str">
        <f t="shared" si="3"/>
        <v>[10 - 14]</v>
      </c>
    </row>
    <row r="217" spans="1:6" x14ac:dyDescent="0.3">
      <c r="A217" s="7">
        <v>490</v>
      </c>
      <c r="B217">
        <v>10</v>
      </c>
      <c r="C217">
        <v>30</v>
      </c>
      <c r="D217">
        <v>7</v>
      </c>
      <c r="E217" t="s">
        <v>19</v>
      </c>
      <c r="F217" t="str">
        <f t="shared" si="3"/>
        <v>[10 - 14]</v>
      </c>
    </row>
    <row r="218" spans="1:6" x14ac:dyDescent="0.3">
      <c r="A218" s="7">
        <v>2800</v>
      </c>
      <c r="B218">
        <v>7</v>
      </c>
      <c r="C218">
        <v>30</v>
      </c>
      <c r="D218">
        <v>2</v>
      </c>
      <c r="E218" t="s">
        <v>21</v>
      </c>
      <c r="F218" t="str">
        <f t="shared" si="3"/>
        <v>[5 - 9]</v>
      </c>
    </row>
    <row r="219" spans="1:6" x14ac:dyDescent="0.3">
      <c r="A219" s="7">
        <v>3770</v>
      </c>
      <c r="B219">
        <v>13</v>
      </c>
      <c r="C219">
        <v>5</v>
      </c>
      <c r="D219">
        <v>1</v>
      </c>
      <c r="E219" t="s">
        <v>20</v>
      </c>
      <c r="F219" t="str">
        <f t="shared" si="3"/>
        <v>[10 - 14]</v>
      </c>
    </row>
    <row r="220" spans="1:6" x14ac:dyDescent="0.3">
      <c r="A220" s="7">
        <v>917</v>
      </c>
      <c r="B220">
        <v>8</v>
      </c>
      <c r="C220">
        <v>5</v>
      </c>
      <c r="D220">
        <v>7</v>
      </c>
      <c r="E220" t="s">
        <v>20</v>
      </c>
      <c r="F220" t="str">
        <f t="shared" si="3"/>
        <v>[5 - 9]</v>
      </c>
    </row>
    <row r="221" spans="1:6" x14ac:dyDescent="0.3">
      <c r="A221" s="7">
        <v>776</v>
      </c>
      <c r="B221">
        <v>12</v>
      </c>
      <c r="C221">
        <v>20</v>
      </c>
      <c r="D221">
        <v>7</v>
      </c>
      <c r="E221" t="s">
        <v>16</v>
      </c>
      <c r="F221" t="str">
        <f t="shared" si="3"/>
        <v>[10 - 14]</v>
      </c>
    </row>
    <row r="222" spans="1:6" x14ac:dyDescent="0.3">
      <c r="A222" s="7">
        <v>5030</v>
      </c>
      <c r="B222">
        <v>9</v>
      </c>
      <c r="C222">
        <v>0</v>
      </c>
      <c r="D222">
        <v>1</v>
      </c>
      <c r="E222" t="s">
        <v>18</v>
      </c>
      <c r="F222" t="str">
        <f t="shared" si="3"/>
        <v>[5 - 9]</v>
      </c>
    </row>
    <row r="223" spans="1:6" x14ac:dyDescent="0.3">
      <c r="A223" s="7">
        <v>773</v>
      </c>
      <c r="B223">
        <v>9</v>
      </c>
      <c r="C223">
        <v>5</v>
      </c>
      <c r="D223">
        <v>8</v>
      </c>
      <c r="E223" t="s">
        <v>19</v>
      </c>
      <c r="F223" t="str">
        <f t="shared" si="3"/>
        <v>[5 - 9]</v>
      </c>
    </row>
    <row r="224" spans="1:6" x14ac:dyDescent="0.3">
      <c r="A224" s="7">
        <v>1727</v>
      </c>
      <c r="B224">
        <v>19</v>
      </c>
      <c r="C224">
        <v>25</v>
      </c>
      <c r="D224">
        <v>3</v>
      </c>
      <c r="E224" t="s">
        <v>18</v>
      </c>
      <c r="F224" t="str">
        <f t="shared" si="3"/>
        <v>[15 - 20]</v>
      </c>
    </row>
    <row r="225" spans="1:6" x14ac:dyDescent="0.3">
      <c r="A225" s="7">
        <v>1588</v>
      </c>
      <c r="B225">
        <v>6</v>
      </c>
      <c r="C225">
        <v>15</v>
      </c>
      <c r="D225">
        <v>4</v>
      </c>
      <c r="E225" t="s">
        <v>21</v>
      </c>
      <c r="F225" t="str">
        <f t="shared" si="3"/>
        <v>[5 - 9]</v>
      </c>
    </row>
    <row r="226" spans="1:6" x14ac:dyDescent="0.3">
      <c r="A226" s="7">
        <v>5340</v>
      </c>
      <c r="B226">
        <v>16</v>
      </c>
      <c r="C226">
        <v>30</v>
      </c>
      <c r="D226">
        <v>1</v>
      </c>
      <c r="E226" t="s">
        <v>20</v>
      </c>
      <c r="F226" t="str">
        <f t="shared" si="3"/>
        <v>[15 - 20]</v>
      </c>
    </row>
    <row r="227" spans="1:6" x14ac:dyDescent="0.3">
      <c r="A227" s="7">
        <v>424</v>
      </c>
      <c r="B227">
        <v>2</v>
      </c>
      <c r="C227">
        <v>15</v>
      </c>
      <c r="D227">
        <v>8</v>
      </c>
      <c r="E227" t="s">
        <v>18</v>
      </c>
      <c r="F227" t="str">
        <f t="shared" si="3"/>
        <v>[0 - 4]</v>
      </c>
    </row>
    <row r="228" spans="1:6" x14ac:dyDescent="0.3">
      <c r="A228" s="7">
        <v>2255</v>
      </c>
      <c r="B228">
        <v>9</v>
      </c>
      <c r="C228">
        <v>30</v>
      </c>
      <c r="D228">
        <v>2</v>
      </c>
      <c r="E228" t="s">
        <v>19</v>
      </c>
      <c r="F228" t="str">
        <f t="shared" si="3"/>
        <v>[5 - 9]</v>
      </c>
    </row>
    <row r="229" spans="1:6" x14ac:dyDescent="0.3">
      <c r="A229" s="7">
        <v>3280</v>
      </c>
      <c r="B229">
        <v>10</v>
      </c>
      <c r="C229">
        <v>20</v>
      </c>
      <c r="D229">
        <v>1</v>
      </c>
      <c r="E229" t="s">
        <v>20</v>
      </c>
      <c r="F229" t="str">
        <f t="shared" si="3"/>
        <v>[10 - 14]</v>
      </c>
    </row>
    <row r="230" spans="1:6" x14ac:dyDescent="0.3">
      <c r="A230" s="7">
        <v>1197</v>
      </c>
      <c r="B230">
        <v>14</v>
      </c>
      <c r="C230">
        <v>5</v>
      </c>
      <c r="D230">
        <v>3</v>
      </c>
      <c r="E230" t="s">
        <v>21</v>
      </c>
      <c r="F230" t="str">
        <f t="shared" si="3"/>
        <v>[10 - 14]</v>
      </c>
    </row>
    <row r="231" spans="1:6" x14ac:dyDescent="0.3">
      <c r="A231" s="7">
        <v>710.1</v>
      </c>
      <c r="B231">
        <v>2</v>
      </c>
      <c r="C231">
        <v>10</v>
      </c>
      <c r="D231">
        <v>5</v>
      </c>
      <c r="E231" t="s">
        <v>21</v>
      </c>
      <c r="F231" t="str">
        <f t="shared" si="3"/>
        <v>[0 - 4]</v>
      </c>
    </row>
    <row r="232" spans="1:6" x14ac:dyDescent="0.3">
      <c r="A232" s="7">
        <v>6320</v>
      </c>
      <c r="B232">
        <v>2</v>
      </c>
      <c r="C232">
        <v>50</v>
      </c>
      <c r="D232">
        <v>1</v>
      </c>
      <c r="E232" t="s">
        <v>21</v>
      </c>
      <c r="F232" t="str">
        <f t="shared" si="3"/>
        <v>[0 - 4]</v>
      </c>
    </row>
    <row r="233" spans="1:6" x14ac:dyDescent="0.3">
      <c r="A233" s="7">
        <v>5250</v>
      </c>
      <c r="B233">
        <v>2</v>
      </c>
      <c r="C233">
        <v>50</v>
      </c>
      <c r="D233">
        <v>1</v>
      </c>
      <c r="E233" t="s">
        <v>16</v>
      </c>
      <c r="F233" t="str">
        <f t="shared" si="3"/>
        <v>[0 - 4]</v>
      </c>
    </row>
    <row r="234" spans="1:6" x14ac:dyDescent="0.3">
      <c r="A234" s="7">
        <v>2005</v>
      </c>
      <c r="B234">
        <v>18</v>
      </c>
      <c r="C234">
        <v>45</v>
      </c>
      <c r="D234">
        <v>2</v>
      </c>
      <c r="E234" t="s">
        <v>20</v>
      </c>
      <c r="F234" t="str">
        <f t="shared" si="3"/>
        <v>[15 - 20]</v>
      </c>
    </row>
    <row r="235" spans="1:6" x14ac:dyDescent="0.3">
      <c r="A235" s="7">
        <v>973.3</v>
      </c>
      <c r="B235">
        <v>16</v>
      </c>
      <c r="C235">
        <v>35</v>
      </c>
      <c r="D235">
        <v>7</v>
      </c>
      <c r="E235" t="s">
        <v>20</v>
      </c>
      <c r="F235" t="str">
        <f t="shared" si="3"/>
        <v>[15 - 20]</v>
      </c>
    </row>
    <row r="236" spans="1:6" x14ac:dyDescent="0.3">
      <c r="A236" s="7">
        <v>1890</v>
      </c>
      <c r="B236">
        <v>0</v>
      </c>
      <c r="C236">
        <v>45</v>
      </c>
      <c r="D236">
        <v>3</v>
      </c>
      <c r="E236" t="s">
        <v>17</v>
      </c>
      <c r="F236" t="str">
        <f t="shared" si="3"/>
        <v>[0 - 4]</v>
      </c>
    </row>
    <row r="237" spans="1:6" x14ac:dyDescent="0.3">
      <c r="A237" s="7">
        <v>815</v>
      </c>
      <c r="B237">
        <v>8</v>
      </c>
      <c r="C237">
        <v>20</v>
      </c>
      <c r="D237">
        <v>8</v>
      </c>
      <c r="E237" t="s">
        <v>16</v>
      </c>
      <c r="F237" t="str">
        <f t="shared" si="3"/>
        <v>[5 - 9]</v>
      </c>
    </row>
    <row r="238" spans="1:6" x14ac:dyDescent="0.3">
      <c r="A238" s="7">
        <v>2960</v>
      </c>
      <c r="B238">
        <v>15</v>
      </c>
      <c r="C238">
        <v>20</v>
      </c>
      <c r="D238">
        <v>1</v>
      </c>
      <c r="E238" t="s">
        <v>20</v>
      </c>
      <c r="F238" t="str">
        <f t="shared" si="3"/>
        <v>[15 - 20]</v>
      </c>
    </row>
    <row r="239" spans="1:6" x14ac:dyDescent="0.3">
      <c r="A239" s="7">
        <v>5430</v>
      </c>
      <c r="B239">
        <v>19</v>
      </c>
      <c r="C239">
        <v>15</v>
      </c>
      <c r="D239">
        <v>1</v>
      </c>
      <c r="E239" t="s">
        <v>18</v>
      </c>
      <c r="F239" t="str">
        <f t="shared" si="3"/>
        <v>[15 - 20]</v>
      </c>
    </row>
    <row r="240" spans="1:6" x14ac:dyDescent="0.3">
      <c r="A240" s="7">
        <v>2115</v>
      </c>
      <c r="B240">
        <v>6</v>
      </c>
      <c r="C240">
        <v>45</v>
      </c>
      <c r="D240">
        <v>2</v>
      </c>
      <c r="E240" t="s">
        <v>17</v>
      </c>
      <c r="F240" t="str">
        <f t="shared" si="3"/>
        <v>[5 - 9]</v>
      </c>
    </row>
    <row r="241" spans="1:6" x14ac:dyDescent="0.3">
      <c r="A241" s="7">
        <v>1643</v>
      </c>
      <c r="B241">
        <v>1</v>
      </c>
      <c r="C241">
        <v>35</v>
      </c>
      <c r="D241">
        <v>3</v>
      </c>
      <c r="E241" t="s">
        <v>17</v>
      </c>
      <c r="F241" t="str">
        <f t="shared" si="3"/>
        <v>[0 - 4]</v>
      </c>
    </row>
    <row r="242" spans="1:6" x14ac:dyDescent="0.3">
      <c r="A242" s="7">
        <v>2320</v>
      </c>
      <c r="B242">
        <v>10</v>
      </c>
      <c r="C242">
        <v>25</v>
      </c>
      <c r="D242">
        <v>3</v>
      </c>
      <c r="E242" t="s">
        <v>16</v>
      </c>
      <c r="F242" t="str">
        <f t="shared" si="3"/>
        <v>[10 - 14]</v>
      </c>
    </row>
    <row r="243" spans="1:6" x14ac:dyDescent="0.3">
      <c r="A243" s="7">
        <v>1183</v>
      </c>
      <c r="B243">
        <v>19</v>
      </c>
      <c r="C243">
        <v>20</v>
      </c>
      <c r="D243">
        <v>4</v>
      </c>
      <c r="E243" t="s">
        <v>18</v>
      </c>
      <c r="F243" t="str">
        <f t="shared" si="3"/>
        <v>[15 - 20]</v>
      </c>
    </row>
    <row r="244" spans="1:6" x14ac:dyDescent="0.3">
      <c r="A244" s="7">
        <v>676</v>
      </c>
      <c r="B244">
        <v>11</v>
      </c>
      <c r="C244">
        <v>50</v>
      </c>
      <c r="D244">
        <v>7</v>
      </c>
      <c r="E244" t="s">
        <v>20</v>
      </c>
      <c r="F244" t="str">
        <f t="shared" si="3"/>
        <v>[10 - 14]</v>
      </c>
    </row>
    <row r="245" spans="1:6" x14ac:dyDescent="0.3">
      <c r="A245" s="7">
        <v>375</v>
      </c>
      <c r="B245">
        <v>0</v>
      </c>
      <c r="C245">
        <v>10</v>
      </c>
      <c r="D245">
        <v>10</v>
      </c>
      <c r="E245" t="s">
        <v>20</v>
      </c>
      <c r="F245" t="str">
        <f t="shared" si="3"/>
        <v>[0 - 4]</v>
      </c>
    </row>
    <row r="246" spans="1:6" x14ac:dyDescent="0.3">
      <c r="A246" s="7">
        <v>666</v>
      </c>
      <c r="B246">
        <v>18</v>
      </c>
      <c r="C246">
        <v>35</v>
      </c>
      <c r="D246">
        <v>9</v>
      </c>
      <c r="E246" t="s">
        <v>17</v>
      </c>
      <c r="F246" t="str">
        <f t="shared" si="3"/>
        <v>[15 - 20]</v>
      </c>
    </row>
    <row r="247" spans="1:6" x14ac:dyDescent="0.3">
      <c r="A247" s="7">
        <v>1020</v>
      </c>
      <c r="B247">
        <v>4</v>
      </c>
      <c r="C247">
        <v>50</v>
      </c>
      <c r="D247">
        <v>6</v>
      </c>
      <c r="E247" t="s">
        <v>15</v>
      </c>
      <c r="F247" t="str">
        <f t="shared" si="3"/>
        <v>[0 - 4]</v>
      </c>
    </row>
    <row r="248" spans="1:6" x14ac:dyDescent="0.3">
      <c r="A248" s="7">
        <v>705</v>
      </c>
      <c r="B248">
        <v>16</v>
      </c>
      <c r="C248">
        <v>30</v>
      </c>
      <c r="D248">
        <v>8</v>
      </c>
      <c r="E248" t="s">
        <v>16</v>
      </c>
      <c r="F248" t="str">
        <f t="shared" si="3"/>
        <v>[15 - 20]</v>
      </c>
    </row>
    <row r="249" spans="1:6" x14ac:dyDescent="0.3">
      <c r="A249" s="7">
        <v>676</v>
      </c>
      <c r="B249">
        <v>9</v>
      </c>
      <c r="C249">
        <v>0</v>
      </c>
      <c r="D249">
        <v>7</v>
      </c>
      <c r="E249" t="s">
        <v>19</v>
      </c>
      <c r="F249" t="str">
        <f t="shared" si="3"/>
        <v>[5 - 9]</v>
      </c>
    </row>
    <row r="250" spans="1:6" x14ac:dyDescent="0.3">
      <c r="A250" s="7">
        <v>560</v>
      </c>
      <c r="B250">
        <v>8</v>
      </c>
      <c r="C250">
        <v>30</v>
      </c>
      <c r="D250">
        <v>8</v>
      </c>
      <c r="E250" t="s">
        <v>15</v>
      </c>
      <c r="F250" t="str">
        <f t="shared" si="3"/>
        <v>[5 - 9]</v>
      </c>
    </row>
    <row r="251" spans="1:6" x14ac:dyDescent="0.3">
      <c r="A251" s="7">
        <v>1455</v>
      </c>
      <c r="B251">
        <v>17</v>
      </c>
      <c r="C251">
        <v>0</v>
      </c>
      <c r="D251">
        <v>4</v>
      </c>
      <c r="E251" t="s">
        <v>18</v>
      </c>
      <c r="F251" t="str">
        <f t="shared" si="3"/>
        <v>[15 - 20]</v>
      </c>
    </row>
    <row r="252" spans="1:6" x14ac:dyDescent="0.3">
      <c r="A252" s="7">
        <v>727</v>
      </c>
      <c r="B252">
        <v>14</v>
      </c>
      <c r="C252">
        <v>50</v>
      </c>
      <c r="D252">
        <v>6</v>
      </c>
      <c r="E252" t="s">
        <v>18</v>
      </c>
      <c r="F252" t="str">
        <f t="shared" si="3"/>
        <v>[10 - 14]</v>
      </c>
    </row>
    <row r="253" spans="1:6" x14ac:dyDescent="0.3">
      <c r="A253" s="7">
        <v>497</v>
      </c>
      <c r="B253">
        <v>13</v>
      </c>
      <c r="C253">
        <v>40</v>
      </c>
      <c r="D253">
        <v>9</v>
      </c>
      <c r="E253" t="s">
        <v>19</v>
      </c>
      <c r="F253" t="str">
        <f t="shared" si="3"/>
        <v>[10 - 14]</v>
      </c>
    </row>
    <row r="254" spans="1:6" x14ac:dyDescent="0.3">
      <c r="A254" s="7">
        <v>1113</v>
      </c>
      <c r="B254">
        <v>18</v>
      </c>
      <c r="C254">
        <v>20</v>
      </c>
      <c r="D254">
        <v>4</v>
      </c>
      <c r="E254" t="s">
        <v>21</v>
      </c>
      <c r="F254" t="str">
        <f t="shared" si="3"/>
        <v>[15 - 20]</v>
      </c>
    </row>
    <row r="255" spans="1:6" x14ac:dyDescent="0.3">
      <c r="A255" s="7">
        <v>6370</v>
      </c>
      <c r="B255">
        <v>0</v>
      </c>
      <c r="C255">
        <v>15</v>
      </c>
      <c r="D255">
        <v>1</v>
      </c>
      <c r="E255" t="s">
        <v>17</v>
      </c>
      <c r="F255" t="str">
        <f t="shared" si="3"/>
        <v>[0 - 4]</v>
      </c>
    </row>
    <row r="256" spans="1:6" x14ac:dyDescent="0.3">
      <c r="A256" s="7">
        <v>1268</v>
      </c>
      <c r="B256">
        <v>5</v>
      </c>
      <c r="C256">
        <v>0</v>
      </c>
      <c r="D256">
        <v>5</v>
      </c>
      <c r="E256" t="s">
        <v>15</v>
      </c>
      <c r="F256" t="str">
        <f t="shared" si="3"/>
        <v>[5 - 9]</v>
      </c>
    </row>
    <row r="257" spans="1:6" x14ac:dyDescent="0.3">
      <c r="A257" s="7">
        <v>5390</v>
      </c>
      <c r="B257">
        <v>9</v>
      </c>
      <c r="C257">
        <v>35</v>
      </c>
      <c r="D257">
        <v>1</v>
      </c>
      <c r="E257" t="s">
        <v>16</v>
      </c>
      <c r="F257" t="str">
        <f t="shared" si="3"/>
        <v>[5 - 9]</v>
      </c>
    </row>
    <row r="258" spans="1:6" x14ac:dyDescent="0.3">
      <c r="A258" s="7">
        <v>306</v>
      </c>
      <c r="B258">
        <v>13</v>
      </c>
      <c r="C258">
        <v>45</v>
      </c>
      <c r="D258">
        <v>9</v>
      </c>
      <c r="E258" t="s">
        <v>18</v>
      </c>
      <c r="F258" t="str">
        <f t="shared" si="3"/>
        <v>[10 - 14]</v>
      </c>
    </row>
    <row r="259" spans="1:6" x14ac:dyDescent="0.3">
      <c r="A259" s="7">
        <v>3530</v>
      </c>
      <c r="B259">
        <v>14</v>
      </c>
      <c r="C259">
        <v>25</v>
      </c>
      <c r="D259">
        <v>1</v>
      </c>
      <c r="E259" t="s">
        <v>16</v>
      </c>
      <c r="F259" t="str">
        <f t="shared" ref="F259:F322" si="4">VLOOKUP(B259,$J$1:$K$4,2)</f>
        <v>[10 - 14]</v>
      </c>
    </row>
    <row r="260" spans="1:6" x14ac:dyDescent="0.3">
      <c r="A260" s="7">
        <v>5130</v>
      </c>
      <c r="B260">
        <v>19</v>
      </c>
      <c r="C260">
        <v>20</v>
      </c>
      <c r="D260">
        <v>1</v>
      </c>
      <c r="E260" t="s">
        <v>17</v>
      </c>
      <c r="F260" t="str">
        <f t="shared" si="4"/>
        <v>[15 - 20]</v>
      </c>
    </row>
    <row r="261" spans="1:6" x14ac:dyDescent="0.3">
      <c r="A261" s="7">
        <v>521</v>
      </c>
      <c r="B261">
        <v>7</v>
      </c>
      <c r="C261">
        <v>50</v>
      </c>
      <c r="D261">
        <v>7</v>
      </c>
      <c r="E261" t="s">
        <v>16</v>
      </c>
      <c r="F261" t="str">
        <f t="shared" si="4"/>
        <v>[5 - 9]</v>
      </c>
    </row>
    <row r="262" spans="1:6" x14ac:dyDescent="0.3">
      <c r="A262" s="7">
        <v>845</v>
      </c>
      <c r="B262">
        <v>13</v>
      </c>
      <c r="C262">
        <v>50</v>
      </c>
      <c r="D262">
        <v>8</v>
      </c>
      <c r="E262" t="s">
        <v>18</v>
      </c>
      <c r="F262" t="str">
        <f t="shared" si="4"/>
        <v>[10 - 14]</v>
      </c>
    </row>
    <row r="263" spans="1:6" x14ac:dyDescent="0.3">
      <c r="A263" s="7">
        <v>713</v>
      </c>
      <c r="B263">
        <v>16</v>
      </c>
      <c r="C263">
        <v>5</v>
      </c>
      <c r="D263">
        <v>9</v>
      </c>
      <c r="E263" t="s">
        <v>20</v>
      </c>
      <c r="F263" t="str">
        <f t="shared" si="4"/>
        <v>[15 - 20]</v>
      </c>
    </row>
    <row r="264" spans="1:6" x14ac:dyDescent="0.3">
      <c r="A264" s="7">
        <v>560</v>
      </c>
      <c r="B264">
        <v>16</v>
      </c>
      <c r="C264">
        <v>25</v>
      </c>
      <c r="D264">
        <v>9</v>
      </c>
      <c r="E264" t="s">
        <v>19</v>
      </c>
      <c r="F264" t="str">
        <f t="shared" si="4"/>
        <v>[15 - 20]</v>
      </c>
    </row>
    <row r="265" spans="1:6" x14ac:dyDescent="0.3">
      <c r="A265" s="7">
        <v>3000</v>
      </c>
      <c r="B265">
        <v>10</v>
      </c>
      <c r="C265">
        <v>30</v>
      </c>
      <c r="D265">
        <v>1</v>
      </c>
      <c r="E265" t="s">
        <v>20</v>
      </c>
      <c r="F265" t="str">
        <f t="shared" si="4"/>
        <v>[10 - 14]</v>
      </c>
    </row>
    <row r="266" spans="1:6" x14ac:dyDescent="0.3">
      <c r="A266" s="7">
        <v>651</v>
      </c>
      <c r="B266">
        <v>10</v>
      </c>
      <c r="C266">
        <v>25</v>
      </c>
      <c r="D266">
        <v>10</v>
      </c>
      <c r="E266" t="s">
        <v>19</v>
      </c>
      <c r="F266" t="str">
        <f t="shared" si="4"/>
        <v>[10 - 14]</v>
      </c>
    </row>
    <row r="267" spans="1:6" x14ac:dyDescent="0.3">
      <c r="A267" s="7">
        <v>5970</v>
      </c>
      <c r="B267">
        <v>7</v>
      </c>
      <c r="C267">
        <v>25</v>
      </c>
      <c r="D267">
        <v>1</v>
      </c>
      <c r="E267" t="s">
        <v>15</v>
      </c>
      <c r="F267" t="str">
        <f t="shared" si="4"/>
        <v>[5 - 9]</v>
      </c>
    </row>
    <row r="268" spans="1:6" x14ac:dyDescent="0.3">
      <c r="A268" s="7">
        <v>1423</v>
      </c>
      <c r="B268">
        <v>0</v>
      </c>
      <c r="C268">
        <v>15</v>
      </c>
      <c r="D268">
        <v>3</v>
      </c>
      <c r="E268" t="s">
        <v>18</v>
      </c>
      <c r="F268" t="str">
        <f t="shared" si="4"/>
        <v>[0 - 4]</v>
      </c>
    </row>
    <row r="269" spans="1:6" x14ac:dyDescent="0.3">
      <c r="A269" s="7">
        <v>5330</v>
      </c>
      <c r="B269">
        <v>10</v>
      </c>
      <c r="C269">
        <v>5</v>
      </c>
      <c r="D269">
        <v>1</v>
      </c>
      <c r="E269" t="s">
        <v>16</v>
      </c>
      <c r="F269" t="str">
        <f t="shared" si="4"/>
        <v>[10 - 14]</v>
      </c>
    </row>
    <row r="270" spans="1:6" x14ac:dyDescent="0.3">
      <c r="A270" s="7">
        <v>4730</v>
      </c>
      <c r="B270">
        <v>13</v>
      </c>
      <c r="C270">
        <v>15</v>
      </c>
      <c r="D270">
        <v>1</v>
      </c>
      <c r="E270" t="s">
        <v>20</v>
      </c>
      <c r="F270" t="str">
        <f t="shared" si="4"/>
        <v>[10 - 14]</v>
      </c>
    </row>
    <row r="271" spans="1:6" x14ac:dyDescent="0.3">
      <c r="A271" s="7">
        <v>789</v>
      </c>
      <c r="B271">
        <v>10</v>
      </c>
      <c r="C271">
        <v>40</v>
      </c>
      <c r="D271">
        <v>8</v>
      </c>
      <c r="E271" t="s">
        <v>15</v>
      </c>
      <c r="F271" t="str">
        <f t="shared" si="4"/>
        <v>[10 - 14]</v>
      </c>
    </row>
    <row r="272" spans="1:6" x14ac:dyDescent="0.3">
      <c r="A272" s="7">
        <v>773</v>
      </c>
      <c r="B272">
        <v>6</v>
      </c>
      <c r="C272">
        <v>45</v>
      </c>
      <c r="D272">
        <v>8</v>
      </c>
      <c r="E272" t="s">
        <v>18</v>
      </c>
      <c r="F272" t="str">
        <f t="shared" si="4"/>
        <v>[5 - 9]</v>
      </c>
    </row>
    <row r="273" spans="1:6" x14ac:dyDescent="0.3">
      <c r="A273" s="7">
        <v>6380</v>
      </c>
      <c r="B273">
        <v>14</v>
      </c>
      <c r="C273">
        <v>5</v>
      </c>
      <c r="D273">
        <v>1</v>
      </c>
      <c r="E273" t="s">
        <v>15</v>
      </c>
      <c r="F273" t="str">
        <f t="shared" si="4"/>
        <v>[10 - 14]</v>
      </c>
    </row>
    <row r="274" spans="1:6" x14ac:dyDescent="0.3">
      <c r="A274" s="7">
        <v>459</v>
      </c>
      <c r="B274">
        <v>13</v>
      </c>
      <c r="C274">
        <v>30</v>
      </c>
      <c r="D274">
        <v>10</v>
      </c>
      <c r="E274" t="s">
        <v>17</v>
      </c>
      <c r="F274" t="str">
        <f t="shared" si="4"/>
        <v>[10 - 14]</v>
      </c>
    </row>
    <row r="275" spans="1:6" x14ac:dyDescent="0.3">
      <c r="A275" s="7">
        <v>6360</v>
      </c>
      <c r="B275">
        <v>1</v>
      </c>
      <c r="C275">
        <v>20</v>
      </c>
      <c r="D275">
        <v>1</v>
      </c>
      <c r="E275" t="s">
        <v>16</v>
      </c>
      <c r="F275" t="str">
        <f t="shared" si="4"/>
        <v>[0 - 4]</v>
      </c>
    </row>
    <row r="276" spans="1:6" x14ac:dyDescent="0.3">
      <c r="A276" s="7">
        <v>3355</v>
      </c>
      <c r="B276">
        <v>14</v>
      </c>
      <c r="C276">
        <v>25</v>
      </c>
      <c r="D276">
        <v>2</v>
      </c>
      <c r="E276" t="s">
        <v>21</v>
      </c>
      <c r="F276" t="str">
        <f t="shared" si="4"/>
        <v>[10 - 14]</v>
      </c>
    </row>
    <row r="277" spans="1:6" x14ac:dyDescent="0.3">
      <c r="A277" s="7">
        <v>1200</v>
      </c>
      <c r="B277">
        <v>9</v>
      </c>
      <c r="C277">
        <v>10</v>
      </c>
      <c r="D277">
        <v>3</v>
      </c>
      <c r="E277" t="s">
        <v>21</v>
      </c>
      <c r="F277" t="str">
        <f t="shared" si="4"/>
        <v>[5 - 9]</v>
      </c>
    </row>
    <row r="278" spans="1:6" x14ac:dyDescent="0.3">
      <c r="A278" s="7">
        <v>763</v>
      </c>
      <c r="B278">
        <v>10</v>
      </c>
      <c r="C278">
        <v>25</v>
      </c>
      <c r="D278">
        <v>4</v>
      </c>
      <c r="E278" t="s">
        <v>19</v>
      </c>
      <c r="F278" t="str">
        <f t="shared" si="4"/>
        <v>[10 - 14]</v>
      </c>
    </row>
    <row r="279" spans="1:6" x14ac:dyDescent="0.3">
      <c r="A279" s="7">
        <v>3180</v>
      </c>
      <c r="B279">
        <v>8</v>
      </c>
      <c r="C279">
        <v>35</v>
      </c>
      <c r="D279">
        <v>1</v>
      </c>
      <c r="E279" t="s">
        <v>17</v>
      </c>
      <c r="F279" t="str">
        <f t="shared" si="4"/>
        <v>[5 - 9]</v>
      </c>
    </row>
    <row r="280" spans="1:6" x14ac:dyDescent="0.3">
      <c r="A280" s="7">
        <v>1013.3</v>
      </c>
      <c r="B280">
        <v>0</v>
      </c>
      <c r="C280">
        <v>35</v>
      </c>
      <c r="D280">
        <v>3</v>
      </c>
      <c r="E280" t="s">
        <v>21</v>
      </c>
      <c r="F280" t="str">
        <f t="shared" si="4"/>
        <v>[0 - 4]</v>
      </c>
    </row>
    <row r="281" spans="1:6" x14ac:dyDescent="0.3">
      <c r="A281" s="7">
        <v>5100</v>
      </c>
      <c r="B281">
        <v>9</v>
      </c>
      <c r="C281">
        <v>45</v>
      </c>
      <c r="D281">
        <v>1</v>
      </c>
      <c r="E281" t="s">
        <v>17</v>
      </c>
      <c r="F281" t="str">
        <f t="shared" si="4"/>
        <v>[5 - 9]</v>
      </c>
    </row>
    <row r="282" spans="1:6" x14ac:dyDescent="0.3">
      <c r="A282" s="7">
        <v>1657</v>
      </c>
      <c r="B282">
        <v>3</v>
      </c>
      <c r="C282">
        <v>20</v>
      </c>
      <c r="D282">
        <v>3</v>
      </c>
      <c r="E282" t="s">
        <v>18</v>
      </c>
      <c r="F282" t="str">
        <f t="shared" si="4"/>
        <v>[0 - 4]</v>
      </c>
    </row>
    <row r="283" spans="1:6" x14ac:dyDescent="0.3">
      <c r="A283" s="7">
        <v>5470</v>
      </c>
      <c r="B283">
        <v>15</v>
      </c>
      <c r="C283">
        <v>5</v>
      </c>
      <c r="D283">
        <v>1</v>
      </c>
      <c r="E283" t="s">
        <v>16</v>
      </c>
      <c r="F283" t="str">
        <f t="shared" si="4"/>
        <v>[15 - 20]</v>
      </c>
    </row>
    <row r="284" spans="1:6" x14ac:dyDescent="0.3">
      <c r="A284" s="7">
        <v>296</v>
      </c>
      <c r="B284">
        <v>20</v>
      </c>
      <c r="C284">
        <v>15</v>
      </c>
      <c r="D284">
        <v>10</v>
      </c>
      <c r="E284" t="s">
        <v>17</v>
      </c>
      <c r="F284" t="str">
        <f t="shared" si="4"/>
        <v>[15 - 20]</v>
      </c>
    </row>
    <row r="285" spans="1:6" x14ac:dyDescent="0.3">
      <c r="A285" s="7">
        <v>2313</v>
      </c>
      <c r="B285">
        <v>5</v>
      </c>
      <c r="C285">
        <v>25</v>
      </c>
      <c r="D285">
        <v>3</v>
      </c>
      <c r="E285" t="s">
        <v>18</v>
      </c>
      <c r="F285" t="str">
        <f t="shared" si="4"/>
        <v>[5 - 9]</v>
      </c>
    </row>
    <row r="286" spans="1:6" x14ac:dyDescent="0.3">
      <c r="A286" s="7">
        <v>4100</v>
      </c>
      <c r="B286">
        <v>14</v>
      </c>
      <c r="C286">
        <v>30</v>
      </c>
      <c r="D286">
        <v>1</v>
      </c>
      <c r="E286" t="s">
        <v>21</v>
      </c>
      <c r="F286" t="str">
        <f t="shared" si="4"/>
        <v>[10 - 14]</v>
      </c>
    </row>
    <row r="287" spans="1:6" x14ac:dyDescent="0.3">
      <c r="A287" s="7">
        <v>914</v>
      </c>
      <c r="B287">
        <v>8</v>
      </c>
      <c r="C287">
        <v>30</v>
      </c>
      <c r="D287">
        <v>7</v>
      </c>
      <c r="E287" t="s">
        <v>15</v>
      </c>
      <c r="F287" t="str">
        <f t="shared" si="4"/>
        <v>[5 - 9]</v>
      </c>
    </row>
    <row r="288" spans="1:6" x14ac:dyDescent="0.3">
      <c r="A288" s="7">
        <v>4920</v>
      </c>
      <c r="B288">
        <v>6</v>
      </c>
      <c r="C288">
        <v>25</v>
      </c>
      <c r="D288">
        <v>1</v>
      </c>
      <c r="E288" t="s">
        <v>19</v>
      </c>
      <c r="F288" t="str">
        <f t="shared" si="4"/>
        <v>[5 - 9]</v>
      </c>
    </row>
    <row r="289" spans="1:6" x14ac:dyDescent="0.3">
      <c r="A289" s="7">
        <v>574</v>
      </c>
      <c r="B289">
        <v>5</v>
      </c>
      <c r="C289">
        <v>40</v>
      </c>
      <c r="D289">
        <v>7</v>
      </c>
      <c r="E289" t="s">
        <v>15</v>
      </c>
      <c r="F289" t="str">
        <f t="shared" si="4"/>
        <v>[5 - 9]</v>
      </c>
    </row>
    <row r="290" spans="1:6" x14ac:dyDescent="0.3">
      <c r="A290" s="7">
        <v>1880</v>
      </c>
      <c r="B290">
        <v>8</v>
      </c>
      <c r="C290">
        <v>50</v>
      </c>
      <c r="D290">
        <v>3</v>
      </c>
      <c r="E290" t="s">
        <v>15</v>
      </c>
      <c r="F290" t="str">
        <f t="shared" si="4"/>
        <v>[5 - 9]</v>
      </c>
    </row>
    <row r="291" spans="1:6" x14ac:dyDescent="0.3">
      <c r="A291" s="7">
        <v>5090</v>
      </c>
      <c r="B291">
        <v>11</v>
      </c>
      <c r="C291">
        <v>0</v>
      </c>
      <c r="D291">
        <v>1</v>
      </c>
      <c r="E291" t="s">
        <v>20</v>
      </c>
      <c r="F291" t="str">
        <f t="shared" si="4"/>
        <v>[10 - 14]</v>
      </c>
    </row>
    <row r="292" spans="1:6" x14ac:dyDescent="0.3">
      <c r="A292" s="7">
        <v>2950</v>
      </c>
      <c r="B292">
        <v>10</v>
      </c>
      <c r="C292">
        <v>25</v>
      </c>
      <c r="D292">
        <v>1</v>
      </c>
      <c r="E292" t="s">
        <v>21</v>
      </c>
      <c r="F292" t="str">
        <f t="shared" si="4"/>
        <v>[10 - 14]</v>
      </c>
    </row>
    <row r="293" spans="1:6" x14ac:dyDescent="0.3">
      <c r="A293" s="7">
        <v>409</v>
      </c>
      <c r="B293">
        <v>12</v>
      </c>
      <c r="C293">
        <v>40</v>
      </c>
      <c r="D293">
        <v>10</v>
      </c>
      <c r="E293" t="s">
        <v>21</v>
      </c>
      <c r="F293" t="str">
        <f t="shared" si="4"/>
        <v>[10 - 14]</v>
      </c>
    </row>
    <row r="294" spans="1:6" x14ac:dyDescent="0.3">
      <c r="A294" s="7">
        <v>997</v>
      </c>
      <c r="B294">
        <v>2</v>
      </c>
      <c r="C294">
        <v>35</v>
      </c>
      <c r="D294">
        <v>3</v>
      </c>
      <c r="E294" t="s">
        <v>19</v>
      </c>
      <c r="F294" t="str">
        <f t="shared" si="4"/>
        <v>[0 - 4]</v>
      </c>
    </row>
    <row r="295" spans="1:6" x14ac:dyDescent="0.3">
      <c r="A295" s="7">
        <v>993</v>
      </c>
      <c r="B295">
        <v>19</v>
      </c>
      <c r="C295">
        <v>10</v>
      </c>
      <c r="D295">
        <v>6</v>
      </c>
      <c r="E295" t="s">
        <v>19</v>
      </c>
      <c r="F295" t="str">
        <f t="shared" si="4"/>
        <v>[15 - 20]</v>
      </c>
    </row>
    <row r="296" spans="1:6" x14ac:dyDescent="0.3">
      <c r="A296" s="7">
        <v>1017</v>
      </c>
      <c r="B296">
        <v>4</v>
      </c>
      <c r="C296">
        <v>5</v>
      </c>
      <c r="D296">
        <v>6</v>
      </c>
      <c r="E296" t="s">
        <v>20</v>
      </c>
      <c r="F296" t="str">
        <f t="shared" si="4"/>
        <v>[0 - 4]</v>
      </c>
    </row>
    <row r="297" spans="1:6" x14ac:dyDescent="0.3">
      <c r="A297" s="7">
        <v>683</v>
      </c>
      <c r="B297">
        <v>8</v>
      </c>
      <c r="C297">
        <v>5</v>
      </c>
      <c r="D297">
        <v>10</v>
      </c>
      <c r="E297" t="s">
        <v>20</v>
      </c>
      <c r="F297" t="str">
        <f t="shared" si="4"/>
        <v>[5 - 9]</v>
      </c>
    </row>
    <row r="298" spans="1:6" x14ac:dyDescent="0.3">
      <c r="A298" s="7">
        <v>880</v>
      </c>
      <c r="B298">
        <v>17</v>
      </c>
      <c r="C298">
        <v>10</v>
      </c>
      <c r="D298">
        <v>7</v>
      </c>
      <c r="E298" t="s">
        <v>20</v>
      </c>
      <c r="F298" t="str">
        <f t="shared" si="4"/>
        <v>[15 - 20]</v>
      </c>
    </row>
    <row r="299" spans="1:6" x14ac:dyDescent="0.3">
      <c r="A299" s="7">
        <v>576</v>
      </c>
      <c r="B299">
        <v>3</v>
      </c>
      <c r="C299">
        <v>20</v>
      </c>
      <c r="D299">
        <v>8</v>
      </c>
      <c r="E299" t="s">
        <v>19</v>
      </c>
      <c r="F299" t="str">
        <f t="shared" si="4"/>
        <v>[0 - 4]</v>
      </c>
    </row>
    <row r="300" spans="1:6" x14ac:dyDescent="0.3">
      <c r="A300" s="7">
        <v>281</v>
      </c>
      <c r="B300">
        <v>0</v>
      </c>
      <c r="C300">
        <v>50</v>
      </c>
      <c r="D300">
        <v>10</v>
      </c>
      <c r="E300" t="s">
        <v>19</v>
      </c>
      <c r="F300" t="str">
        <f t="shared" si="4"/>
        <v>[0 - 4]</v>
      </c>
    </row>
    <row r="301" spans="1:6" x14ac:dyDescent="0.3">
      <c r="A301" s="7">
        <v>434</v>
      </c>
      <c r="B301">
        <v>19</v>
      </c>
      <c r="C301">
        <v>15</v>
      </c>
      <c r="D301">
        <v>9</v>
      </c>
      <c r="E301" t="s">
        <v>15</v>
      </c>
      <c r="F301" t="str">
        <f t="shared" si="4"/>
        <v>[15 - 20]</v>
      </c>
    </row>
    <row r="302" spans="1:6" x14ac:dyDescent="0.3">
      <c r="A302" s="7">
        <v>1473</v>
      </c>
      <c r="B302">
        <v>1</v>
      </c>
      <c r="C302">
        <v>5</v>
      </c>
      <c r="D302">
        <v>4</v>
      </c>
      <c r="E302" t="s">
        <v>21</v>
      </c>
      <c r="F302" t="str">
        <f t="shared" si="4"/>
        <v>[0 - 4]</v>
      </c>
    </row>
    <row r="303" spans="1:6" x14ac:dyDescent="0.3">
      <c r="A303" s="7">
        <v>618</v>
      </c>
      <c r="B303">
        <v>4</v>
      </c>
      <c r="C303">
        <v>15</v>
      </c>
      <c r="D303">
        <v>9</v>
      </c>
      <c r="E303" t="s">
        <v>18</v>
      </c>
      <c r="F303" t="str">
        <f t="shared" si="4"/>
        <v>[0 - 4]</v>
      </c>
    </row>
    <row r="304" spans="1:6" x14ac:dyDescent="0.3">
      <c r="A304" s="7">
        <v>401.9</v>
      </c>
      <c r="B304">
        <v>13</v>
      </c>
      <c r="C304">
        <v>5</v>
      </c>
      <c r="D304">
        <v>10</v>
      </c>
      <c r="E304" t="s">
        <v>20</v>
      </c>
      <c r="F304" t="str">
        <f t="shared" si="4"/>
        <v>[10 - 14]</v>
      </c>
    </row>
    <row r="305" spans="1:6" x14ac:dyDescent="0.3">
      <c r="A305" s="7">
        <v>905</v>
      </c>
      <c r="B305">
        <v>2</v>
      </c>
      <c r="C305">
        <v>15</v>
      </c>
      <c r="D305">
        <v>4</v>
      </c>
      <c r="E305" t="s">
        <v>21</v>
      </c>
      <c r="F305" t="str">
        <f t="shared" si="4"/>
        <v>[0 - 4]</v>
      </c>
    </row>
    <row r="306" spans="1:6" x14ac:dyDescent="0.3">
      <c r="A306" s="7">
        <v>1900</v>
      </c>
      <c r="B306">
        <v>15</v>
      </c>
      <c r="C306">
        <v>0</v>
      </c>
      <c r="D306">
        <v>2</v>
      </c>
      <c r="E306" t="s">
        <v>15</v>
      </c>
      <c r="F306" t="str">
        <f t="shared" si="4"/>
        <v>[15 - 20]</v>
      </c>
    </row>
    <row r="307" spans="1:6" x14ac:dyDescent="0.3">
      <c r="A307" s="7">
        <v>2100</v>
      </c>
      <c r="B307">
        <v>17</v>
      </c>
      <c r="C307">
        <v>5</v>
      </c>
      <c r="D307">
        <v>2</v>
      </c>
      <c r="E307" t="s">
        <v>15</v>
      </c>
      <c r="F307" t="str">
        <f t="shared" si="4"/>
        <v>[15 - 20]</v>
      </c>
    </row>
    <row r="308" spans="1:6" x14ac:dyDescent="0.3">
      <c r="A308" s="7">
        <v>1847</v>
      </c>
      <c r="B308">
        <v>16</v>
      </c>
      <c r="C308">
        <v>15</v>
      </c>
      <c r="D308">
        <v>3</v>
      </c>
      <c r="E308" t="s">
        <v>17</v>
      </c>
      <c r="F308" t="str">
        <f t="shared" si="4"/>
        <v>[15 - 20]</v>
      </c>
    </row>
    <row r="309" spans="1:6" x14ac:dyDescent="0.3">
      <c r="A309" s="7">
        <v>3600</v>
      </c>
      <c r="B309">
        <v>12</v>
      </c>
      <c r="C309">
        <v>5</v>
      </c>
      <c r="D309">
        <v>1</v>
      </c>
      <c r="E309" t="s">
        <v>17</v>
      </c>
      <c r="F309" t="str">
        <f t="shared" si="4"/>
        <v>[10 - 14]</v>
      </c>
    </row>
    <row r="310" spans="1:6" x14ac:dyDescent="0.3">
      <c r="A310" s="7">
        <v>5880</v>
      </c>
      <c r="B310">
        <v>13</v>
      </c>
      <c r="C310">
        <v>25</v>
      </c>
      <c r="D310">
        <v>1</v>
      </c>
      <c r="E310" t="s">
        <v>18</v>
      </c>
      <c r="F310" t="str">
        <f t="shared" si="4"/>
        <v>[10 - 14]</v>
      </c>
    </row>
    <row r="311" spans="1:6" x14ac:dyDescent="0.3">
      <c r="A311" s="7">
        <v>5140</v>
      </c>
      <c r="B311">
        <v>13</v>
      </c>
      <c r="C311">
        <v>45</v>
      </c>
      <c r="D311">
        <v>1</v>
      </c>
      <c r="E311" t="s">
        <v>16</v>
      </c>
      <c r="F311" t="str">
        <f t="shared" si="4"/>
        <v>[10 - 14]</v>
      </c>
    </row>
    <row r="312" spans="1:6" x14ac:dyDescent="0.3">
      <c r="A312" s="7">
        <v>320</v>
      </c>
      <c r="B312">
        <v>19</v>
      </c>
      <c r="C312">
        <v>25</v>
      </c>
      <c r="D312">
        <v>9</v>
      </c>
      <c r="E312" t="s">
        <v>21</v>
      </c>
      <c r="F312" t="str">
        <f t="shared" si="4"/>
        <v>[15 - 20]</v>
      </c>
    </row>
    <row r="313" spans="1:6" x14ac:dyDescent="0.3">
      <c r="A313" s="7">
        <v>819</v>
      </c>
      <c r="B313">
        <v>12</v>
      </c>
      <c r="C313">
        <v>20</v>
      </c>
      <c r="D313">
        <v>7</v>
      </c>
      <c r="E313" t="s">
        <v>16</v>
      </c>
      <c r="F313" t="str">
        <f t="shared" si="4"/>
        <v>[10 - 14]</v>
      </c>
    </row>
    <row r="314" spans="1:6" x14ac:dyDescent="0.3">
      <c r="A314" s="7">
        <v>6370</v>
      </c>
      <c r="B314">
        <v>13</v>
      </c>
      <c r="C314">
        <v>45</v>
      </c>
      <c r="D314">
        <v>1</v>
      </c>
      <c r="E314" t="s">
        <v>20</v>
      </c>
      <c r="F314" t="str">
        <f t="shared" si="4"/>
        <v>[10 - 14]</v>
      </c>
    </row>
    <row r="315" spans="1:6" x14ac:dyDescent="0.3">
      <c r="A315" s="7">
        <v>4770</v>
      </c>
      <c r="B315">
        <v>3</v>
      </c>
      <c r="C315">
        <v>35</v>
      </c>
      <c r="D315">
        <v>1</v>
      </c>
      <c r="E315" t="s">
        <v>17</v>
      </c>
      <c r="F315" t="str">
        <f t="shared" si="4"/>
        <v>[0 - 4]</v>
      </c>
    </row>
    <row r="316" spans="1:6" x14ac:dyDescent="0.3">
      <c r="A316" s="7">
        <v>377</v>
      </c>
      <c r="B316">
        <v>20</v>
      </c>
      <c r="C316">
        <v>25</v>
      </c>
      <c r="D316">
        <v>9</v>
      </c>
      <c r="E316" t="s">
        <v>18</v>
      </c>
      <c r="F316" t="str">
        <f t="shared" si="4"/>
        <v>[15 - 20]</v>
      </c>
    </row>
    <row r="317" spans="1:6" x14ac:dyDescent="0.3">
      <c r="A317" s="7">
        <v>6690</v>
      </c>
      <c r="B317">
        <v>2</v>
      </c>
      <c r="C317">
        <v>20</v>
      </c>
      <c r="D317">
        <v>1</v>
      </c>
      <c r="E317" t="s">
        <v>16</v>
      </c>
      <c r="F317" t="str">
        <f t="shared" si="4"/>
        <v>[0 - 4]</v>
      </c>
    </row>
    <row r="318" spans="1:6" x14ac:dyDescent="0.3">
      <c r="A318" s="7">
        <v>2790</v>
      </c>
      <c r="B318">
        <v>16</v>
      </c>
      <c r="C318">
        <v>40</v>
      </c>
      <c r="D318">
        <v>1</v>
      </c>
      <c r="E318" t="s">
        <v>20</v>
      </c>
      <c r="F318" t="str">
        <f t="shared" si="4"/>
        <v>[15 - 20]</v>
      </c>
    </row>
    <row r="319" spans="1:6" x14ac:dyDescent="0.3">
      <c r="A319" s="7">
        <v>6090</v>
      </c>
      <c r="B319">
        <v>17</v>
      </c>
      <c r="C319">
        <v>50</v>
      </c>
      <c r="D319">
        <v>1</v>
      </c>
      <c r="E319" t="s">
        <v>19</v>
      </c>
      <c r="F319" t="str">
        <f t="shared" si="4"/>
        <v>[15 - 20]</v>
      </c>
    </row>
    <row r="320" spans="1:6" x14ac:dyDescent="0.3">
      <c r="A320" s="7">
        <v>1158</v>
      </c>
      <c r="B320">
        <v>14</v>
      </c>
      <c r="C320">
        <v>40</v>
      </c>
      <c r="D320">
        <v>4</v>
      </c>
      <c r="E320" t="s">
        <v>18</v>
      </c>
      <c r="F320" t="str">
        <f t="shared" si="4"/>
        <v>[10 - 14]</v>
      </c>
    </row>
    <row r="321" spans="1:6" x14ac:dyDescent="0.3">
      <c r="A321" s="7">
        <v>5440</v>
      </c>
      <c r="B321">
        <v>6</v>
      </c>
      <c r="C321">
        <v>30</v>
      </c>
      <c r="D321">
        <v>1</v>
      </c>
      <c r="E321" t="s">
        <v>17</v>
      </c>
      <c r="F321" t="str">
        <f t="shared" si="4"/>
        <v>[5 - 9]</v>
      </c>
    </row>
    <row r="322" spans="1:6" x14ac:dyDescent="0.3">
      <c r="A322" s="7">
        <v>471</v>
      </c>
      <c r="B322">
        <v>5</v>
      </c>
      <c r="C322">
        <v>35</v>
      </c>
      <c r="D322">
        <v>10</v>
      </c>
      <c r="E322" t="s">
        <v>20</v>
      </c>
      <c r="F322" t="str">
        <f t="shared" si="4"/>
        <v>[5 - 9]</v>
      </c>
    </row>
    <row r="323" spans="1:6" x14ac:dyDescent="0.3">
      <c r="A323" s="7">
        <v>340</v>
      </c>
      <c r="B323">
        <v>5</v>
      </c>
      <c r="C323">
        <v>10</v>
      </c>
      <c r="D323">
        <v>10</v>
      </c>
      <c r="E323" t="s">
        <v>15</v>
      </c>
      <c r="F323" t="str">
        <f t="shared" ref="F323:F386" si="5">VLOOKUP(B323,$J$1:$K$4,2)</f>
        <v>[5 - 9]</v>
      </c>
    </row>
    <row r="324" spans="1:6" x14ac:dyDescent="0.3">
      <c r="A324" s="7">
        <v>1825</v>
      </c>
      <c r="B324">
        <v>19</v>
      </c>
      <c r="C324">
        <v>15</v>
      </c>
      <c r="D324">
        <v>2</v>
      </c>
      <c r="E324" t="s">
        <v>16</v>
      </c>
      <c r="F324" t="str">
        <f t="shared" si="5"/>
        <v>[15 - 20]</v>
      </c>
    </row>
    <row r="325" spans="1:6" x14ac:dyDescent="0.3">
      <c r="A325" s="7">
        <v>1510</v>
      </c>
      <c r="B325">
        <v>10</v>
      </c>
      <c r="C325">
        <v>20</v>
      </c>
      <c r="D325">
        <v>2</v>
      </c>
      <c r="E325" t="s">
        <v>15</v>
      </c>
      <c r="F325" t="str">
        <f t="shared" si="5"/>
        <v>[10 - 14]</v>
      </c>
    </row>
    <row r="326" spans="1:6" x14ac:dyDescent="0.3">
      <c r="A326" s="7">
        <v>1175</v>
      </c>
      <c r="B326">
        <v>14</v>
      </c>
      <c r="C326">
        <v>30</v>
      </c>
      <c r="D326">
        <v>4</v>
      </c>
      <c r="E326" t="s">
        <v>17</v>
      </c>
      <c r="F326" t="str">
        <f t="shared" si="5"/>
        <v>[10 - 14]</v>
      </c>
    </row>
    <row r="327" spans="1:6" x14ac:dyDescent="0.3">
      <c r="A327" s="7">
        <v>3780</v>
      </c>
      <c r="B327">
        <v>19</v>
      </c>
      <c r="C327">
        <v>15</v>
      </c>
      <c r="D327">
        <v>1</v>
      </c>
      <c r="E327" t="s">
        <v>18</v>
      </c>
      <c r="F327" t="str">
        <f t="shared" si="5"/>
        <v>[15 - 20]</v>
      </c>
    </row>
    <row r="328" spans="1:6" x14ac:dyDescent="0.3">
      <c r="A328" s="7">
        <v>2915</v>
      </c>
      <c r="B328">
        <v>15</v>
      </c>
      <c r="C328">
        <v>45</v>
      </c>
      <c r="D328">
        <v>2</v>
      </c>
      <c r="E328" t="s">
        <v>20</v>
      </c>
      <c r="F328" t="str">
        <f t="shared" si="5"/>
        <v>[15 - 20]</v>
      </c>
    </row>
    <row r="329" spans="1:6" x14ac:dyDescent="0.3">
      <c r="A329" s="7">
        <v>4220</v>
      </c>
      <c r="B329">
        <v>6</v>
      </c>
      <c r="C329">
        <v>50</v>
      </c>
      <c r="D329">
        <v>1</v>
      </c>
      <c r="E329" t="s">
        <v>17</v>
      </c>
      <c r="F329" t="str">
        <f t="shared" si="5"/>
        <v>[5 - 9]</v>
      </c>
    </row>
    <row r="330" spans="1:6" x14ac:dyDescent="0.3">
      <c r="A330" s="7">
        <v>552</v>
      </c>
      <c r="B330">
        <v>18</v>
      </c>
      <c r="C330">
        <v>25</v>
      </c>
      <c r="D330">
        <v>5</v>
      </c>
      <c r="E330" t="s">
        <v>19</v>
      </c>
      <c r="F330" t="str">
        <f t="shared" si="5"/>
        <v>[15 - 20]</v>
      </c>
    </row>
    <row r="331" spans="1:6" x14ac:dyDescent="0.3">
      <c r="A331" s="7">
        <v>6160</v>
      </c>
      <c r="B331">
        <v>5</v>
      </c>
      <c r="C331">
        <v>20</v>
      </c>
      <c r="D331">
        <v>1</v>
      </c>
      <c r="E331" t="s">
        <v>20</v>
      </c>
      <c r="F331" t="str">
        <f t="shared" si="5"/>
        <v>[5 - 9]</v>
      </c>
    </row>
    <row r="332" spans="1:6" x14ac:dyDescent="0.3">
      <c r="A332" s="7">
        <v>1437</v>
      </c>
      <c r="B332">
        <v>9</v>
      </c>
      <c r="C332">
        <v>40</v>
      </c>
      <c r="D332">
        <v>3</v>
      </c>
      <c r="E332" t="s">
        <v>20</v>
      </c>
      <c r="F332" t="str">
        <f t="shared" si="5"/>
        <v>[5 - 9]</v>
      </c>
    </row>
    <row r="333" spans="1:6" x14ac:dyDescent="0.3">
      <c r="A333" s="7">
        <v>952</v>
      </c>
      <c r="B333">
        <v>5</v>
      </c>
      <c r="C333">
        <v>45</v>
      </c>
      <c r="D333">
        <v>6</v>
      </c>
      <c r="E333" t="s">
        <v>19</v>
      </c>
      <c r="F333" t="str">
        <f t="shared" si="5"/>
        <v>[5 - 9]</v>
      </c>
    </row>
    <row r="334" spans="1:6" x14ac:dyDescent="0.3">
      <c r="A334" s="7">
        <v>404</v>
      </c>
      <c r="B334">
        <v>14</v>
      </c>
      <c r="C334">
        <v>20</v>
      </c>
      <c r="D334">
        <v>8</v>
      </c>
      <c r="E334" t="s">
        <v>18</v>
      </c>
      <c r="F334" t="str">
        <f t="shared" si="5"/>
        <v>[10 - 14]</v>
      </c>
    </row>
    <row r="335" spans="1:6" x14ac:dyDescent="0.3">
      <c r="A335" s="7">
        <v>828</v>
      </c>
      <c r="B335">
        <v>11</v>
      </c>
      <c r="C335">
        <v>40</v>
      </c>
      <c r="D335">
        <v>5</v>
      </c>
      <c r="E335" t="s">
        <v>15</v>
      </c>
      <c r="F335" t="str">
        <f t="shared" si="5"/>
        <v>[10 - 14]</v>
      </c>
    </row>
    <row r="336" spans="1:6" x14ac:dyDescent="0.3">
      <c r="A336" s="7">
        <v>906</v>
      </c>
      <c r="B336">
        <v>17</v>
      </c>
      <c r="C336">
        <v>35</v>
      </c>
      <c r="D336">
        <v>7</v>
      </c>
      <c r="E336" t="s">
        <v>20</v>
      </c>
      <c r="F336" t="str">
        <f t="shared" si="5"/>
        <v>[15 - 20]</v>
      </c>
    </row>
    <row r="337" spans="1:6" x14ac:dyDescent="0.3">
      <c r="A337" s="7">
        <v>981</v>
      </c>
      <c r="B337">
        <v>11</v>
      </c>
      <c r="C337">
        <v>0</v>
      </c>
      <c r="D337">
        <v>7</v>
      </c>
      <c r="E337" t="s">
        <v>18</v>
      </c>
      <c r="F337" t="str">
        <f t="shared" si="5"/>
        <v>[10 - 14]</v>
      </c>
    </row>
    <row r="338" spans="1:6" x14ac:dyDescent="0.3">
      <c r="A338" s="7">
        <v>1510</v>
      </c>
      <c r="B338">
        <v>20</v>
      </c>
      <c r="C338">
        <v>10</v>
      </c>
      <c r="D338">
        <v>3</v>
      </c>
      <c r="E338" t="s">
        <v>20</v>
      </c>
      <c r="F338" t="str">
        <f t="shared" si="5"/>
        <v>[15 - 20]</v>
      </c>
    </row>
    <row r="339" spans="1:6" x14ac:dyDescent="0.3">
      <c r="A339" s="7">
        <v>1563</v>
      </c>
      <c r="B339">
        <v>13</v>
      </c>
      <c r="C339">
        <v>35</v>
      </c>
      <c r="D339">
        <v>4</v>
      </c>
      <c r="E339" t="s">
        <v>19</v>
      </c>
      <c r="F339" t="str">
        <f t="shared" si="5"/>
        <v>[10 - 14]</v>
      </c>
    </row>
    <row r="340" spans="1:6" x14ac:dyDescent="0.3">
      <c r="A340" s="7">
        <v>531</v>
      </c>
      <c r="B340">
        <v>19</v>
      </c>
      <c r="C340">
        <v>10</v>
      </c>
      <c r="D340">
        <v>7</v>
      </c>
      <c r="E340" t="s">
        <v>17</v>
      </c>
      <c r="F340" t="str">
        <f t="shared" si="5"/>
        <v>[15 - 20]</v>
      </c>
    </row>
    <row r="341" spans="1:6" x14ac:dyDescent="0.3">
      <c r="A341" s="7">
        <v>839</v>
      </c>
      <c r="B341">
        <v>11</v>
      </c>
      <c r="C341">
        <v>20</v>
      </c>
      <c r="D341">
        <v>8</v>
      </c>
      <c r="E341" t="s">
        <v>16</v>
      </c>
      <c r="F341" t="str">
        <f t="shared" si="5"/>
        <v>[10 - 14]</v>
      </c>
    </row>
    <row r="342" spans="1:6" x14ac:dyDescent="0.3">
      <c r="A342" s="7">
        <v>3650</v>
      </c>
      <c r="B342">
        <v>6</v>
      </c>
      <c r="C342">
        <v>5</v>
      </c>
      <c r="D342">
        <v>1</v>
      </c>
      <c r="E342" t="s">
        <v>17</v>
      </c>
      <c r="F342" t="str">
        <f t="shared" si="5"/>
        <v>[5 - 9]</v>
      </c>
    </row>
    <row r="343" spans="1:6" x14ac:dyDescent="0.3">
      <c r="A343" s="7">
        <v>1100</v>
      </c>
      <c r="B343">
        <v>4</v>
      </c>
      <c r="C343">
        <v>5</v>
      </c>
      <c r="D343">
        <v>4</v>
      </c>
      <c r="E343" t="s">
        <v>15</v>
      </c>
      <c r="F343" t="str">
        <f t="shared" si="5"/>
        <v>[0 - 4]</v>
      </c>
    </row>
    <row r="344" spans="1:6" x14ac:dyDescent="0.3">
      <c r="A344" s="7">
        <v>584</v>
      </c>
      <c r="B344">
        <v>6</v>
      </c>
      <c r="C344">
        <v>10</v>
      </c>
      <c r="D344">
        <v>8</v>
      </c>
      <c r="E344" t="s">
        <v>16</v>
      </c>
      <c r="F344" t="str">
        <f t="shared" si="5"/>
        <v>[5 - 9]</v>
      </c>
    </row>
    <row r="345" spans="1:6" x14ac:dyDescent="0.3">
      <c r="A345" s="7">
        <v>5250</v>
      </c>
      <c r="B345">
        <v>16</v>
      </c>
      <c r="C345">
        <v>20</v>
      </c>
      <c r="D345">
        <v>1</v>
      </c>
      <c r="E345" t="s">
        <v>21</v>
      </c>
      <c r="F345" t="str">
        <f t="shared" si="5"/>
        <v>[15 - 20]</v>
      </c>
    </row>
    <row r="346" spans="1:6" x14ac:dyDescent="0.3">
      <c r="A346" s="7">
        <v>905</v>
      </c>
      <c r="B346">
        <v>11</v>
      </c>
      <c r="C346">
        <v>15</v>
      </c>
      <c r="D346">
        <v>4</v>
      </c>
      <c r="E346" t="s">
        <v>21</v>
      </c>
      <c r="F346" t="str">
        <f t="shared" si="5"/>
        <v>[10 - 14]</v>
      </c>
    </row>
    <row r="347" spans="1:6" x14ac:dyDescent="0.3">
      <c r="A347" s="7">
        <v>3800</v>
      </c>
      <c r="B347">
        <v>9</v>
      </c>
      <c r="C347">
        <v>35</v>
      </c>
      <c r="D347">
        <v>1</v>
      </c>
      <c r="E347" t="s">
        <v>19</v>
      </c>
      <c r="F347" t="str">
        <f t="shared" si="5"/>
        <v>[5 - 9]</v>
      </c>
    </row>
    <row r="348" spans="1:6" x14ac:dyDescent="0.3">
      <c r="A348" s="7">
        <v>2095</v>
      </c>
      <c r="B348">
        <v>9</v>
      </c>
      <c r="C348">
        <v>35</v>
      </c>
      <c r="D348">
        <v>2</v>
      </c>
      <c r="E348" t="s">
        <v>21</v>
      </c>
      <c r="F348" t="str">
        <f t="shared" si="5"/>
        <v>[5 - 9]</v>
      </c>
    </row>
    <row r="349" spans="1:6" x14ac:dyDescent="0.3">
      <c r="A349" s="7">
        <v>6890</v>
      </c>
      <c r="B349">
        <v>19</v>
      </c>
      <c r="C349">
        <v>0</v>
      </c>
      <c r="D349">
        <v>1</v>
      </c>
      <c r="E349" t="s">
        <v>15</v>
      </c>
      <c r="F349" t="str">
        <f t="shared" si="5"/>
        <v>[15 - 20]</v>
      </c>
    </row>
    <row r="350" spans="1:6" x14ac:dyDescent="0.3">
      <c r="A350" s="7">
        <v>1117</v>
      </c>
      <c r="B350">
        <v>10</v>
      </c>
      <c r="C350">
        <v>45</v>
      </c>
      <c r="D350">
        <v>3</v>
      </c>
      <c r="E350" t="s">
        <v>19</v>
      </c>
      <c r="F350" t="str">
        <f t="shared" si="5"/>
        <v>[10 - 14]</v>
      </c>
    </row>
    <row r="351" spans="1:6" x14ac:dyDescent="0.3">
      <c r="A351" s="7">
        <v>5900</v>
      </c>
      <c r="B351">
        <v>11</v>
      </c>
      <c r="C351">
        <v>15</v>
      </c>
      <c r="D351">
        <v>1</v>
      </c>
      <c r="E351" t="s">
        <v>17</v>
      </c>
      <c r="F351" t="str">
        <f t="shared" si="5"/>
        <v>[10 - 14]</v>
      </c>
    </row>
    <row r="352" spans="1:6" x14ac:dyDescent="0.3">
      <c r="A352" s="7">
        <v>3240</v>
      </c>
      <c r="B352">
        <v>18</v>
      </c>
      <c r="C352">
        <v>15</v>
      </c>
      <c r="D352">
        <v>2</v>
      </c>
      <c r="E352" t="s">
        <v>19</v>
      </c>
      <c r="F352" t="str">
        <f t="shared" si="5"/>
        <v>[15 - 20]</v>
      </c>
    </row>
    <row r="353" spans="1:6" x14ac:dyDescent="0.3">
      <c r="A353" s="7">
        <v>1530</v>
      </c>
      <c r="B353">
        <v>6</v>
      </c>
      <c r="C353">
        <v>0</v>
      </c>
      <c r="D353">
        <v>3</v>
      </c>
      <c r="E353" t="s">
        <v>15</v>
      </c>
      <c r="F353" t="str">
        <f t="shared" si="5"/>
        <v>[5 - 9]</v>
      </c>
    </row>
    <row r="354" spans="1:6" x14ac:dyDescent="0.3">
      <c r="A354" s="7">
        <v>388</v>
      </c>
      <c r="B354">
        <v>18</v>
      </c>
      <c r="C354">
        <v>30</v>
      </c>
      <c r="D354">
        <v>8</v>
      </c>
      <c r="E354" t="s">
        <v>16</v>
      </c>
      <c r="F354" t="str">
        <f t="shared" si="5"/>
        <v>[15 - 20]</v>
      </c>
    </row>
    <row r="355" spans="1:6" x14ac:dyDescent="0.3">
      <c r="A355" s="7">
        <v>3360</v>
      </c>
      <c r="B355">
        <v>3</v>
      </c>
      <c r="C355">
        <v>30</v>
      </c>
      <c r="D355">
        <v>1</v>
      </c>
      <c r="E355" t="s">
        <v>19</v>
      </c>
      <c r="F355" t="str">
        <f t="shared" si="5"/>
        <v>[0 - 4]</v>
      </c>
    </row>
    <row r="356" spans="1:6" x14ac:dyDescent="0.3">
      <c r="A356" s="7">
        <v>608</v>
      </c>
      <c r="B356">
        <v>19</v>
      </c>
      <c r="C356">
        <v>10</v>
      </c>
      <c r="D356">
        <v>9</v>
      </c>
      <c r="E356" t="s">
        <v>20</v>
      </c>
      <c r="F356" t="str">
        <f t="shared" si="5"/>
        <v>[15 - 20]</v>
      </c>
    </row>
    <row r="357" spans="1:6" x14ac:dyDescent="0.3">
      <c r="A357" s="7">
        <v>904</v>
      </c>
      <c r="B357">
        <v>9</v>
      </c>
      <c r="C357">
        <v>25</v>
      </c>
      <c r="D357">
        <v>7</v>
      </c>
      <c r="E357" t="s">
        <v>16</v>
      </c>
      <c r="F357" t="str">
        <f t="shared" si="5"/>
        <v>[5 - 9]</v>
      </c>
    </row>
    <row r="358" spans="1:6" x14ac:dyDescent="0.3">
      <c r="A358" s="7">
        <v>1028</v>
      </c>
      <c r="B358">
        <v>11</v>
      </c>
      <c r="C358">
        <v>5</v>
      </c>
      <c r="D358">
        <v>6</v>
      </c>
      <c r="E358" t="s">
        <v>17</v>
      </c>
      <c r="F358" t="str">
        <f t="shared" si="5"/>
        <v>[10 - 14]</v>
      </c>
    </row>
    <row r="359" spans="1:6" x14ac:dyDescent="0.3">
      <c r="A359" s="7">
        <v>6790</v>
      </c>
      <c r="B359">
        <v>5</v>
      </c>
      <c r="C359">
        <v>10</v>
      </c>
      <c r="D359">
        <v>1</v>
      </c>
      <c r="E359" t="s">
        <v>15</v>
      </c>
      <c r="F359" t="str">
        <f t="shared" si="5"/>
        <v>[5 - 9]</v>
      </c>
    </row>
    <row r="360" spans="1:6" x14ac:dyDescent="0.3">
      <c r="A360" s="7">
        <v>852</v>
      </c>
      <c r="B360">
        <v>18</v>
      </c>
      <c r="C360">
        <v>45</v>
      </c>
      <c r="D360">
        <v>5</v>
      </c>
      <c r="E360" t="s">
        <v>19</v>
      </c>
      <c r="F360" t="str">
        <f t="shared" si="5"/>
        <v>[15 - 20]</v>
      </c>
    </row>
    <row r="361" spans="1:6" x14ac:dyDescent="0.3">
      <c r="A361" s="7">
        <v>918</v>
      </c>
      <c r="B361">
        <v>5</v>
      </c>
      <c r="C361">
        <v>10</v>
      </c>
      <c r="D361">
        <v>6</v>
      </c>
      <c r="E361" t="s">
        <v>21</v>
      </c>
      <c r="F361" t="str">
        <f t="shared" si="5"/>
        <v>[5 - 9]</v>
      </c>
    </row>
    <row r="362" spans="1:6" x14ac:dyDescent="0.3">
      <c r="A362" s="7">
        <v>1527</v>
      </c>
      <c r="B362">
        <v>10</v>
      </c>
      <c r="C362">
        <v>45</v>
      </c>
      <c r="D362">
        <v>3</v>
      </c>
      <c r="E362" t="s">
        <v>16</v>
      </c>
      <c r="F362" t="str">
        <f t="shared" si="5"/>
        <v>[10 - 14]</v>
      </c>
    </row>
    <row r="363" spans="1:6" x14ac:dyDescent="0.3">
      <c r="A363" s="7">
        <v>6640</v>
      </c>
      <c r="B363">
        <v>18</v>
      </c>
      <c r="C363">
        <v>35</v>
      </c>
      <c r="D363">
        <v>1</v>
      </c>
      <c r="E363" t="s">
        <v>20</v>
      </c>
      <c r="F363" t="str">
        <f t="shared" si="5"/>
        <v>[15 - 20]</v>
      </c>
    </row>
    <row r="364" spans="1:6" x14ac:dyDescent="0.3">
      <c r="A364" s="7">
        <v>3200</v>
      </c>
      <c r="B364">
        <v>1</v>
      </c>
      <c r="C364">
        <v>25</v>
      </c>
      <c r="D364">
        <v>1</v>
      </c>
      <c r="E364" t="s">
        <v>21</v>
      </c>
      <c r="F364" t="str">
        <f t="shared" si="5"/>
        <v>[0 - 4]</v>
      </c>
    </row>
    <row r="365" spans="1:6" x14ac:dyDescent="0.3">
      <c r="A365" s="7">
        <v>6310</v>
      </c>
      <c r="B365">
        <v>6</v>
      </c>
      <c r="C365">
        <v>30</v>
      </c>
      <c r="D365">
        <v>1</v>
      </c>
      <c r="E365" t="s">
        <v>20</v>
      </c>
      <c r="F365" t="str">
        <f t="shared" si="5"/>
        <v>[5 - 9]</v>
      </c>
    </row>
    <row r="366" spans="1:6" x14ac:dyDescent="0.3">
      <c r="A366" s="7">
        <v>403</v>
      </c>
      <c r="B366">
        <v>20</v>
      </c>
      <c r="C366">
        <v>20</v>
      </c>
      <c r="D366">
        <v>8</v>
      </c>
      <c r="E366" t="s">
        <v>21</v>
      </c>
      <c r="F366" t="str">
        <f t="shared" si="5"/>
        <v>[15 - 20]</v>
      </c>
    </row>
    <row r="367" spans="1:6" x14ac:dyDescent="0.3">
      <c r="A367" s="7">
        <v>648</v>
      </c>
      <c r="B367">
        <v>18</v>
      </c>
      <c r="C367">
        <v>30</v>
      </c>
      <c r="D367">
        <v>9</v>
      </c>
      <c r="E367" t="s">
        <v>17</v>
      </c>
      <c r="F367" t="str">
        <f t="shared" si="5"/>
        <v>[15 - 20]</v>
      </c>
    </row>
    <row r="368" spans="1:6" x14ac:dyDescent="0.3">
      <c r="A368" s="7">
        <v>4930</v>
      </c>
      <c r="B368">
        <v>10</v>
      </c>
      <c r="C368">
        <v>10</v>
      </c>
      <c r="D368">
        <v>1</v>
      </c>
      <c r="E368" t="s">
        <v>18</v>
      </c>
      <c r="F368" t="str">
        <f t="shared" si="5"/>
        <v>[10 - 14]</v>
      </c>
    </row>
    <row r="369" spans="1:6" x14ac:dyDescent="0.3">
      <c r="A369" s="7">
        <v>496</v>
      </c>
      <c r="B369">
        <v>17</v>
      </c>
      <c r="C369">
        <v>35</v>
      </c>
      <c r="D369">
        <v>10</v>
      </c>
      <c r="E369" t="s">
        <v>15</v>
      </c>
      <c r="F369" t="str">
        <f t="shared" si="5"/>
        <v>[15 - 20]</v>
      </c>
    </row>
    <row r="370" spans="1:6" x14ac:dyDescent="0.3">
      <c r="A370" s="7">
        <v>1338</v>
      </c>
      <c r="B370">
        <v>20</v>
      </c>
      <c r="C370">
        <v>30</v>
      </c>
      <c r="D370">
        <v>4</v>
      </c>
      <c r="E370" t="s">
        <v>18</v>
      </c>
      <c r="F370" t="str">
        <f t="shared" si="5"/>
        <v>[15 - 20]</v>
      </c>
    </row>
    <row r="371" spans="1:6" x14ac:dyDescent="0.3">
      <c r="A371" s="7">
        <v>4190</v>
      </c>
      <c r="B371">
        <v>13</v>
      </c>
      <c r="C371">
        <v>0</v>
      </c>
      <c r="D371">
        <v>1</v>
      </c>
      <c r="E371" t="s">
        <v>19</v>
      </c>
      <c r="F371" t="str">
        <f t="shared" si="5"/>
        <v>[10 - 14]</v>
      </c>
    </row>
    <row r="372" spans="1:6" x14ac:dyDescent="0.3">
      <c r="A372" s="7">
        <v>610</v>
      </c>
      <c r="B372">
        <v>17</v>
      </c>
      <c r="C372">
        <v>0</v>
      </c>
      <c r="D372">
        <v>10</v>
      </c>
      <c r="E372" t="s">
        <v>15</v>
      </c>
      <c r="F372" t="str">
        <f t="shared" si="5"/>
        <v>[15 - 20]</v>
      </c>
    </row>
    <row r="373" spans="1:6" x14ac:dyDescent="0.3">
      <c r="A373" s="7">
        <v>5220</v>
      </c>
      <c r="B373">
        <v>0</v>
      </c>
      <c r="C373">
        <v>15</v>
      </c>
      <c r="D373">
        <v>1</v>
      </c>
      <c r="E373" t="s">
        <v>21</v>
      </c>
      <c r="F373" t="str">
        <f t="shared" si="5"/>
        <v>[0 - 4]</v>
      </c>
    </row>
    <row r="374" spans="1:6" x14ac:dyDescent="0.3">
      <c r="A374" s="7">
        <v>457</v>
      </c>
      <c r="B374">
        <v>7</v>
      </c>
      <c r="C374">
        <v>20</v>
      </c>
      <c r="D374">
        <v>9</v>
      </c>
      <c r="E374" t="s">
        <v>17</v>
      </c>
      <c r="F374" t="str">
        <f t="shared" si="5"/>
        <v>[5 - 9]</v>
      </c>
    </row>
    <row r="375" spans="1:6" x14ac:dyDescent="0.3">
      <c r="A375" s="7">
        <v>991</v>
      </c>
      <c r="B375">
        <v>18</v>
      </c>
      <c r="C375">
        <v>5</v>
      </c>
      <c r="D375">
        <v>7</v>
      </c>
      <c r="E375" t="s">
        <v>21</v>
      </c>
      <c r="F375" t="str">
        <f t="shared" si="5"/>
        <v>[15 - 20]</v>
      </c>
    </row>
    <row r="376" spans="1:6" x14ac:dyDescent="0.3">
      <c r="A376" s="7">
        <v>1083</v>
      </c>
      <c r="B376">
        <v>2</v>
      </c>
      <c r="C376">
        <v>35</v>
      </c>
      <c r="D376">
        <v>3</v>
      </c>
      <c r="E376" t="s">
        <v>21</v>
      </c>
      <c r="F376" t="str">
        <f t="shared" si="5"/>
        <v>[0 - 4]</v>
      </c>
    </row>
    <row r="377" spans="1:6" x14ac:dyDescent="0.3">
      <c r="A377" s="7">
        <v>380</v>
      </c>
      <c r="B377">
        <v>20</v>
      </c>
      <c r="C377">
        <v>10</v>
      </c>
      <c r="D377">
        <v>8</v>
      </c>
      <c r="E377" t="s">
        <v>16</v>
      </c>
      <c r="F377" t="str">
        <f t="shared" si="5"/>
        <v>[15 - 20]</v>
      </c>
    </row>
    <row r="378" spans="1:6" x14ac:dyDescent="0.3">
      <c r="A378" s="7">
        <v>849</v>
      </c>
      <c r="B378">
        <v>13</v>
      </c>
      <c r="C378">
        <v>50</v>
      </c>
      <c r="D378">
        <v>8</v>
      </c>
      <c r="E378" t="s">
        <v>15</v>
      </c>
      <c r="F378" t="str">
        <f t="shared" si="5"/>
        <v>[10 - 14]</v>
      </c>
    </row>
    <row r="379" spans="1:6" x14ac:dyDescent="0.3">
      <c r="A379" s="7">
        <v>1453</v>
      </c>
      <c r="B379">
        <v>5</v>
      </c>
      <c r="C379">
        <v>50</v>
      </c>
      <c r="D379">
        <v>3</v>
      </c>
      <c r="E379" t="s">
        <v>15</v>
      </c>
      <c r="F379" t="str">
        <f t="shared" si="5"/>
        <v>[5 - 9]</v>
      </c>
    </row>
    <row r="380" spans="1:6" x14ac:dyDescent="0.3">
      <c r="A380" s="7">
        <v>4060</v>
      </c>
      <c r="B380">
        <v>5</v>
      </c>
      <c r="C380">
        <v>30</v>
      </c>
      <c r="D380">
        <v>1</v>
      </c>
      <c r="E380" t="s">
        <v>18</v>
      </c>
      <c r="F380" t="str">
        <f t="shared" si="5"/>
        <v>[5 - 9]</v>
      </c>
    </row>
    <row r="381" spans="1:6" x14ac:dyDescent="0.3">
      <c r="A381" s="7">
        <v>997</v>
      </c>
      <c r="B381">
        <v>11</v>
      </c>
      <c r="C381">
        <v>10</v>
      </c>
      <c r="D381">
        <v>6</v>
      </c>
      <c r="E381" t="s">
        <v>16</v>
      </c>
      <c r="F381" t="str">
        <f t="shared" si="5"/>
        <v>[10 - 14]</v>
      </c>
    </row>
    <row r="382" spans="1:6" x14ac:dyDescent="0.3">
      <c r="A382" s="7">
        <v>3445</v>
      </c>
      <c r="B382">
        <v>10</v>
      </c>
      <c r="C382">
        <v>50</v>
      </c>
      <c r="D382">
        <v>2</v>
      </c>
      <c r="E382" t="s">
        <v>21</v>
      </c>
      <c r="F382" t="str">
        <f t="shared" si="5"/>
        <v>[10 - 14]</v>
      </c>
    </row>
    <row r="383" spans="1:6" x14ac:dyDescent="0.3">
      <c r="A383" s="7">
        <v>1158</v>
      </c>
      <c r="B383">
        <v>12</v>
      </c>
      <c r="C383">
        <v>25</v>
      </c>
      <c r="D383">
        <v>5</v>
      </c>
      <c r="E383" t="s">
        <v>20</v>
      </c>
      <c r="F383" t="str">
        <f t="shared" si="5"/>
        <v>[10 - 14]</v>
      </c>
    </row>
    <row r="384" spans="1:6" x14ac:dyDescent="0.3">
      <c r="A384" s="7">
        <v>3250</v>
      </c>
      <c r="B384">
        <v>10</v>
      </c>
      <c r="C384">
        <v>15</v>
      </c>
      <c r="D384">
        <v>1</v>
      </c>
      <c r="E384" t="s">
        <v>18</v>
      </c>
      <c r="F384" t="str">
        <f t="shared" si="5"/>
        <v>[10 - 14]</v>
      </c>
    </row>
    <row r="385" spans="1:6" x14ac:dyDescent="0.3">
      <c r="A385" s="7">
        <v>6940</v>
      </c>
      <c r="B385">
        <v>18</v>
      </c>
      <c r="C385">
        <v>35</v>
      </c>
      <c r="D385">
        <v>1</v>
      </c>
      <c r="E385" t="s">
        <v>21</v>
      </c>
      <c r="F385" t="str">
        <f t="shared" si="5"/>
        <v>[15 - 20]</v>
      </c>
    </row>
    <row r="386" spans="1:6" x14ac:dyDescent="0.3">
      <c r="A386" s="7">
        <v>2725</v>
      </c>
      <c r="B386">
        <v>11</v>
      </c>
      <c r="C386">
        <v>45</v>
      </c>
      <c r="D386">
        <v>2</v>
      </c>
      <c r="E386" t="s">
        <v>18</v>
      </c>
      <c r="F386" t="str">
        <f t="shared" si="5"/>
        <v>[10 - 14]</v>
      </c>
    </row>
    <row r="387" spans="1:6" x14ac:dyDescent="0.3">
      <c r="A387" s="7">
        <v>6000</v>
      </c>
      <c r="B387">
        <v>19</v>
      </c>
      <c r="C387">
        <v>15</v>
      </c>
      <c r="D387">
        <v>1</v>
      </c>
      <c r="E387" t="s">
        <v>20</v>
      </c>
      <c r="F387" t="str">
        <f t="shared" ref="F387:F450" si="6">VLOOKUP(B387,$J$1:$K$4,2)</f>
        <v>[15 - 20]</v>
      </c>
    </row>
    <row r="388" spans="1:6" x14ac:dyDescent="0.3">
      <c r="A388" s="7">
        <v>628</v>
      </c>
      <c r="B388">
        <v>12</v>
      </c>
      <c r="C388">
        <v>15</v>
      </c>
      <c r="D388">
        <v>8</v>
      </c>
      <c r="E388" t="s">
        <v>21</v>
      </c>
      <c r="F388" t="str">
        <f t="shared" si="6"/>
        <v>[10 - 14]</v>
      </c>
    </row>
    <row r="389" spans="1:6" x14ac:dyDescent="0.3">
      <c r="A389" s="7">
        <v>3250</v>
      </c>
      <c r="B389">
        <v>17</v>
      </c>
      <c r="C389">
        <v>10</v>
      </c>
      <c r="D389">
        <v>2</v>
      </c>
      <c r="E389" t="s">
        <v>16</v>
      </c>
      <c r="F389" t="str">
        <f t="shared" si="6"/>
        <v>[15 - 20]</v>
      </c>
    </row>
    <row r="390" spans="1:6" x14ac:dyDescent="0.3">
      <c r="A390" s="7">
        <v>469</v>
      </c>
      <c r="B390">
        <v>15</v>
      </c>
      <c r="C390">
        <v>15</v>
      </c>
      <c r="D390">
        <v>7</v>
      </c>
      <c r="E390" t="s">
        <v>15</v>
      </c>
      <c r="F390" t="str">
        <f t="shared" si="6"/>
        <v>[15 - 20]</v>
      </c>
    </row>
    <row r="391" spans="1:6" x14ac:dyDescent="0.3">
      <c r="A391" s="7">
        <v>5590</v>
      </c>
      <c r="B391">
        <v>13</v>
      </c>
      <c r="C391">
        <v>0</v>
      </c>
      <c r="D391">
        <v>1</v>
      </c>
      <c r="E391" t="s">
        <v>16</v>
      </c>
      <c r="F391" t="str">
        <f t="shared" si="6"/>
        <v>[10 - 14]</v>
      </c>
    </row>
    <row r="392" spans="1:6" x14ac:dyDescent="0.3">
      <c r="A392" s="7">
        <v>1680</v>
      </c>
      <c r="B392">
        <v>10</v>
      </c>
      <c r="C392">
        <v>35</v>
      </c>
      <c r="D392">
        <v>4</v>
      </c>
      <c r="E392" t="s">
        <v>20</v>
      </c>
      <c r="F392" t="str">
        <f t="shared" si="6"/>
        <v>[10 - 14]</v>
      </c>
    </row>
    <row r="393" spans="1:6" x14ac:dyDescent="0.3">
      <c r="A393" s="7">
        <v>526</v>
      </c>
      <c r="B393">
        <v>16</v>
      </c>
      <c r="C393">
        <v>45</v>
      </c>
      <c r="D393">
        <v>7</v>
      </c>
      <c r="E393" t="s">
        <v>15</v>
      </c>
      <c r="F393" t="str">
        <f t="shared" si="6"/>
        <v>[15 - 20]</v>
      </c>
    </row>
    <row r="394" spans="1:6" x14ac:dyDescent="0.3">
      <c r="A394" s="7">
        <v>4240</v>
      </c>
      <c r="B394">
        <v>1</v>
      </c>
      <c r="C394">
        <v>40</v>
      </c>
      <c r="D394">
        <v>1</v>
      </c>
      <c r="E394" t="s">
        <v>21</v>
      </c>
      <c r="F394" t="str">
        <f t="shared" si="6"/>
        <v>[0 - 4]</v>
      </c>
    </row>
    <row r="395" spans="1:6" x14ac:dyDescent="0.3">
      <c r="A395" s="7">
        <v>622</v>
      </c>
      <c r="B395">
        <v>10</v>
      </c>
      <c r="C395">
        <v>10</v>
      </c>
      <c r="D395">
        <v>10</v>
      </c>
      <c r="E395" t="s">
        <v>16</v>
      </c>
      <c r="F395" t="str">
        <f t="shared" si="6"/>
        <v>[10 - 14]</v>
      </c>
    </row>
    <row r="396" spans="1:6" x14ac:dyDescent="0.3">
      <c r="A396" s="7">
        <v>372</v>
      </c>
      <c r="B396">
        <v>15</v>
      </c>
      <c r="C396">
        <v>40</v>
      </c>
      <c r="D396">
        <v>9</v>
      </c>
      <c r="E396" t="s">
        <v>16</v>
      </c>
      <c r="F396" t="str">
        <f t="shared" si="6"/>
        <v>[15 - 20]</v>
      </c>
    </row>
    <row r="397" spans="1:6" x14ac:dyDescent="0.3">
      <c r="A397" s="7">
        <v>509</v>
      </c>
      <c r="B397">
        <v>4</v>
      </c>
      <c r="C397">
        <v>10</v>
      </c>
      <c r="D397">
        <v>10</v>
      </c>
      <c r="E397" t="s">
        <v>20</v>
      </c>
      <c r="F397" t="str">
        <f t="shared" si="6"/>
        <v>[0 - 4]</v>
      </c>
    </row>
    <row r="398" spans="1:6" x14ac:dyDescent="0.3">
      <c r="A398" s="7">
        <v>1228</v>
      </c>
      <c r="B398">
        <v>0</v>
      </c>
      <c r="C398">
        <v>5</v>
      </c>
      <c r="D398">
        <v>4</v>
      </c>
      <c r="E398" t="s">
        <v>16</v>
      </c>
      <c r="F398" t="str">
        <f t="shared" si="6"/>
        <v>[0 - 4]</v>
      </c>
    </row>
    <row r="399" spans="1:6" x14ac:dyDescent="0.3">
      <c r="A399" s="7">
        <v>1360</v>
      </c>
      <c r="B399">
        <v>12</v>
      </c>
      <c r="C399">
        <v>25</v>
      </c>
      <c r="D399">
        <v>3</v>
      </c>
      <c r="E399" t="s">
        <v>17</v>
      </c>
      <c r="F399" t="str">
        <f t="shared" si="6"/>
        <v>[10 - 14]</v>
      </c>
    </row>
    <row r="400" spans="1:6" x14ac:dyDescent="0.3">
      <c r="A400" s="7">
        <v>4650</v>
      </c>
      <c r="B400">
        <v>2</v>
      </c>
      <c r="C400">
        <v>50</v>
      </c>
      <c r="D400">
        <v>1</v>
      </c>
      <c r="E400" t="s">
        <v>17</v>
      </c>
      <c r="F400" t="str">
        <f t="shared" si="6"/>
        <v>[0 - 4]</v>
      </c>
    </row>
    <row r="401" spans="1:6" x14ac:dyDescent="0.3">
      <c r="A401" s="7">
        <v>2860</v>
      </c>
      <c r="B401">
        <v>14</v>
      </c>
      <c r="C401">
        <v>35</v>
      </c>
      <c r="D401">
        <v>1</v>
      </c>
      <c r="E401" t="s">
        <v>15</v>
      </c>
      <c r="F401" t="str">
        <f t="shared" si="6"/>
        <v>[10 - 14]</v>
      </c>
    </row>
    <row r="402" spans="1:6" x14ac:dyDescent="0.3">
      <c r="A402" s="7">
        <v>1615</v>
      </c>
      <c r="B402">
        <v>2</v>
      </c>
      <c r="C402">
        <v>5</v>
      </c>
      <c r="D402">
        <v>4</v>
      </c>
      <c r="E402" t="s">
        <v>19</v>
      </c>
      <c r="F402" t="str">
        <f t="shared" si="6"/>
        <v>[0 - 4]</v>
      </c>
    </row>
    <row r="403" spans="1:6" x14ac:dyDescent="0.3">
      <c r="A403" s="7">
        <v>1650</v>
      </c>
      <c r="B403">
        <v>10</v>
      </c>
      <c r="C403">
        <v>15</v>
      </c>
      <c r="D403">
        <v>2</v>
      </c>
      <c r="E403" t="s">
        <v>15</v>
      </c>
      <c r="F403" t="str">
        <f t="shared" si="6"/>
        <v>[10 - 14]</v>
      </c>
    </row>
    <row r="404" spans="1:6" x14ac:dyDescent="0.3">
      <c r="A404" s="7">
        <v>5870</v>
      </c>
      <c r="B404">
        <v>19</v>
      </c>
      <c r="C404">
        <v>45</v>
      </c>
      <c r="D404">
        <v>1</v>
      </c>
      <c r="E404" t="s">
        <v>20</v>
      </c>
      <c r="F404" t="str">
        <f t="shared" si="6"/>
        <v>[15 - 20]</v>
      </c>
    </row>
    <row r="405" spans="1:6" x14ac:dyDescent="0.3">
      <c r="A405" s="7">
        <v>4450</v>
      </c>
      <c r="B405">
        <v>10</v>
      </c>
      <c r="C405">
        <v>25</v>
      </c>
      <c r="D405">
        <v>1</v>
      </c>
      <c r="E405" t="s">
        <v>17</v>
      </c>
      <c r="F405" t="str">
        <f t="shared" si="6"/>
        <v>[10 - 14]</v>
      </c>
    </row>
    <row r="406" spans="1:6" x14ac:dyDescent="0.3">
      <c r="A406" s="7">
        <v>6830</v>
      </c>
      <c r="B406">
        <v>3</v>
      </c>
      <c r="C406">
        <v>25</v>
      </c>
      <c r="D406">
        <v>1</v>
      </c>
      <c r="E406" t="s">
        <v>18</v>
      </c>
      <c r="F406" t="str">
        <f t="shared" si="6"/>
        <v>[0 - 4]</v>
      </c>
    </row>
    <row r="407" spans="1:6" x14ac:dyDescent="0.3">
      <c r="A407" s="7">
        <v>3940</v>
      </c>
      <c r="B407">
        <v>9</v>
      </c>
      <c r="C407">
        <v>30</v>
      </c>
      <c r="D407">
        <v>1</v>
      </c>
      <c r="E407" t="s">
        <v>19</v>
      </c>
      <c r="F407" t="str">
        <f t="shared" si="6"/>
        <v>[5 - 9]</v>
      </c>
    </row>
    <row r="408" spans="1:6" x14ac:dyDescent="0.3">
      <c r="A408" s="7">
        <v>2480</v>
      </c>
      <c r="B408">
        <v>15</v>
      </c>
      <c r="C408">
        <v>35</v>
      </c>
      <c r="D408">
        <v>2</v>
      </c>
      <c r="E408" t="s">
        <v>17</v>
      </c>
      <c r="F408" t="str">
        <f t="shared" si="6"/>
        <v>[15 - 20]</v>
      </c>
    </row>
    <row r="409" spans="1:6" x14ac:dyDescent="0.3">
      <c r="A409" s="7">
        <v>1285</v>
      </c>
      <c r="B409">
        <v>8</v>
      </c>
      <c r="C409">
        <v>40</v>
      </c>
      <c r="D409">
        <v>4</v>
      </c>
      <c r="E409" t="s">
        <v>16</v>
      </c>
      <c r="F409" t="str">
        <f t="shared" si="6"/>
        <v>[5 - 9]</v>
      </c>
    </row>
    <row r="410" spans="1:6" x14ac:dyDescent="0.3">
      <c r="A410" s="7">
        <v>2870</v>
      </c>
      <c r="B410">
        <v>17</v>
      </c>
      <c r="C410">
        <v>50</v>
      </c>
      <c r="D410">
        <v>1</v>
      </c>
      <c r="E410" t="s">
        <v>15</v>
      </c>
      <c r="F410" t="str">
        <f t="shared" si="6"/>
        <v>[15 - 20]</v>
      </c>
    </row>
    <row r="411" spans="1:6" x14ac:dyDescent="0.3">
      <c r="A411" s="7">
        <v>1483.5</v>
      </c>
      <c r="B411">
        <v>1</v>
      </c>
      <c r="C411">
        <v>45</v>
      </c>
      <c r="D411">
        <v>3</v>
      </c>
      <c r="E411" t="s">
        <v>19</v>
      </c>
      <c r="F411" t="str">
        <f t="shared" si="6"/>
        <v>[0 - 4]</v>
      </c>
    </row>
    <row r="412" spans="1:6" x14ac:dyDescent="0.3">
      <c r="A412" s="7">
        <v>4590</v>
      </c>
      <c r="B412">
        <v>1</v>
      </c>
      <c r="C412">
        <v>40</v>
      </c>
      <c r="D412">
        <v>1</v>
      </c>
      <c r="E412" t="s">
        <v>16</v>
      </c>
      <c r="F412" t="str">
        <f t="shared" si="6"/>
        <v>[0 - 4]</v>
      </c>
    </row>
    <row r="413" spans="1:6" x14ac:dyDescent="0.3">
      <c r="A413" s="7">
        <v>3350</v>
      </c>
      <c r="B413">
        <v>9</v>
      </c>
      <c r="C413">
        <v>45</v>
      </c>
      <c r="D413">
        <v>1</v>
      </c>
      <c r="E413" t="s">
        <v>15</v>
      </c>
      <c r="F413" t="str">
        <f t="shared" si="6"/>
        <v>[5 - 9]</v>
      </c>
    </row>
    <row r="414" spans="1:6" x14ac:dyDescent="0.3">
      <c r="A414" s="7">
        <v>5940</v>
      </c>
      <c r="B414">
        <v>8</v>
      </c>
      <c r="C414">
        <v>35</v>
      </c>
      <c r="D414">
        <v>1</v>
      </c>
      <c r="E414" t="s">
        <v>19</v>
      </c>
      <c r="F414" t="str">
        <f t="shared" si="6"/>
        <v>[5 - 9]</v>
      </c>
    </row>
    <row r="415" spans="1:6" x14ac:dyDescent="0.3">
      <c r="A415" s="7">
        <v>1137</v>
      </c>
      <c r="B415">
        <v>20</v>
      </c>
      <c r="C415">
        <v>30</v>
      </c>
      <c r="D415">
        <v>6</v>
      </c>
      <c r="E415" t="s">
        <v>18</v>
      </c>
      <c r="F415" t="str">
        <f t="shared" si="6"/>
        <v>[15 - 20]</v>
      </c>
    </row>
    <row r="416" spans="1:6" x14ac:dyDescent="0.3">
      <c r="A416" s="7">
        <v>1396</v>
      </c>
      <c r="B416">
        <v>2</v>
      </c>
      <c r="C416">
        <v>45</v>
      </c>
      <c r="D416">
        <v>5</v>
      </c>
      <c r="E416" t="s">
        <v>17</v>
      </c>
      <c r="F416" t="str">
        <f t="shared" si="6"/>
        <v>[0 - 4]</v>
      </c>
    </row>
    <row r="417" spans="1:6" x14ac:dyDescent="0.3">
      <c r="A417" s="7">
        <v>6490</v>
      </c>
      <c r="B417">
        <v>1</v>
      </c>
      <c r="C417">
        <v>50</v>
      </c>
      <c r="D417">
        <v>1</v>
      </c>
      <c r="E417" t="s">
        <v>19</v>
      </c>
      <c r="F417" t="str">
        <f t="shared" si="6"/>
        <v>[0 - 4]</v>
      </c>
    </row>
    <row r="418" spans="1:6" x14ac:dyDescent="0.3">
      <c r="A418" s="7">
        <v>326</v>
      </c>
      <c r="B418">
        <v>17</v>
      </c>
      <c r="C418">
        <v>40</v>
      </c>
      <c r="D418">
        <v>9</v>
      </c>
      <c r="E418" t="s">
        <v>15</v>
      </c>
      <c r="F418" t="str">
        <f t="shared" si="6"/>
        <v>[15 - 20]</v>
      </c>
    </row>
    <row r="419" spans="1:6" x14ac:dyDescent="0.3">
      <c r="A419" s="7">
        <v>5900</v>
      </c>
      <c r="B419">
        <v>6</v>
      </c>
      <c r="C419">
        <v>5</v>
      </c>
      <c r="D419">
        <v>1</v>
      </c>
      <c r="E419" t="s">
        <v>17</v>
      </c>
      <c r="F419" t="str">
        <f t="shared" si="6"/>
        <v>[5 - 9]</v>
      </c>
    </row>
    <row r="420" spans="1:6" x14ac:dyDescent="0.3">
      <c r="A420" s="7">
        <v>1897</v>
      </c>
      <c r="B420">
        <v>16</v>
      </c>
      <c r="C420">
        <v>5</v>
      </c>
      <c r="D420">
        <v>3</v>
      </c>
      <c r="E420" t="s">
        <v>15</v>
      </c>
      <c r="F420" t="str">
        <f t="shared" si="6"/>
        <v>[15 - 20]</v>
      </c>
    </row>
    <row r="421" spans="1:6" x14ac:dyDescent="0.3">
      <c r="A421" s="7">
        <v>835</v>
      </c>
      <c r="B421">
        <v>15</v>
      </c>
      <c r="C421">
        <v>5</v>
      </c>
      <c r="D421">
        <v>4</v>
      </c>
      <c r="E421" t="s">
        <v>19</v>
      </c>
      <c r="F421" t="str">
        <f t="shared" si="6"/>
        <v>[15 - 20]</v>
      </c>
    </row>
    <row r="422" spans="1:6" x14ac:dyDescent="0.3">
      <c r="A422" s="7">
        <v>1022</v>
      </c>
      <c r="B422">
        <v>4</v>
      </c>
      <c r="C422">
        <v>5</v>
      </c>
      <c r="D422">
        <v>6</v>
      </c>
      <c r="E422" t="s">
        <v>18</v>
      </c>
      <c r="F422" t="str">
        <f t="shared" si="6"/>
        <v>[0 - 4]</v>
      </c>
    </row>
    <row r="423" spans="1:6" x14ac:dyDescent="0.3">
      <c r="A423" s="7">
        <v>1680</v>
      </c>
      <c r="B423">
        <v>6</v>
      </c>
      <c r="C423">
        <v>15</v>
      </c>
      <c r="D423">
        <v>3</v>
      </c>
      <c r="E423" t="s">
        <v>15</v>
      </c>
      <c r="F423" t="str">
        <f t="shared" si="6"/>
        <v>[5 - 9]</v>
      </c>
    </row>
    <row r="424" spans="1:6" x14ac:dyDescent="0.3">
      <c r="A424" s="7">
        <v>510</v>
      </c>
      <c r="B424">
        <v>5</v>
      </c>
      <c r="C424">
        <v>0</v>
      </c>
      <c r="D424">
        <v>8</v>
      </c>
      <c r="E424" t="s">
        <v>17</v>
      </c>
      <c r="F424" t="str">
        <f t="shared" si="6"/>
        <v>[5 - 9]</v>
      </c>
    </row>
    <row r="425" spans="1:6" x14ac:dyDescent="0.3">
      <c r="A425" s="7">
        <v>1893</v>
      </c>
      <c r="B425">
        <v>5</v>
      </c>
      <c r="C425">
        <v>40</v>
      </c>
      <c r="D425">
        <v>3</v>
      </c>
      <c r="E425" t="s">
        <v>20</v>
      </c>
      <c r="F425" t="str">
        <f t="shared" si="6"/>
        <v>[5 - 9]</v>
      </c>
    </row>
    <row r="426" spans="1:6" x14ac:dyDescent="0.3">
      <c r="A426" s="7">
        <v>4620</v>
      </c>
      <c r="B426">
        <v>20</v>
      </c>
      <c r="C426">
        <v>20</v>
      </c>
      <c r="D426">
        <v>1</v>
      </c>
      <c r="E426" t="s">
        <v>18</v>
      </c>
      <c r="F426" t="str">
        <f t="shared" si="6"/>
        <v>[15 - 20]</v>
      </c>
    </row>
    <row r="427" spans="1:6" x14ac:dyDescent="0.3">
      <c r="A427" s="7">
        <v>3500</v>
      </c>
      <c r="B427">
        <v>7</v>
      </c>
      <c r="C427">
        <v>20</v>
      </c>
      <c r="D427">
        <v>1</v>
      </c>
      <c r="E427" t="s">
        <v>15</v>
      </c>
      <c r="F427" t="str">
        <f t="shared" si="6"/>
        <v>[5 - 9]</v>
      </c>
    </row>
    <row r="428" spans="1:6" x14ac:dyDescent="0.3">
      <c r="A428" s="7">
        <v>5890</v>
      </c>
      <c r="B428">
        <v>6</v>
      </c>
      <c r="C428">
        <v>45</v>
      </c>
      <c r="D428">
        <v>1</v>
      </c>
      <c r="E428" t="s">
        <v>21</v>
      </c>
      <c r="F428" t="str">
        <f t="shared" si="6"/>
        <v>[5 - 9]</v>
      </c>
    </row>
    <row r="429" spans="1:6" x14ac:dyDescent="0.3">
      <c r="A429" s="7">
        <v>636</v>
      </c>
      <c r="B429">
        <v>20</v>
      </c>
      <c r="C429">
        <v>40</v>
      </c>
      <c r="D429">
        <v>8</v>
      </c>
      <c r="E429" t="s">
        <v>20</v>
      </c>
      <c r="F429" t="str">
        <f t="shared" si="6"/>
        <v>[15 - 20]</v>
      </c>
    </row>
    <row r="430" spans="1:6" x14ac:dyDescent="0.3">
      <c r="A430" s="7">
        <v>1543</v>
      </c>
      <c r="B430">
        <v>9</v>
      </c>
      <c r="C430">
        <v>45</v>
      </c>
      <c r="D430">
        <v>4</v>
      </c>
      <c r="E430" t="s">
        <v>19</v>
      </c>
      <c r="F430" t="str">
        <f t="shared" si="6"/>
        <v>[5 - 9]</v>
      </c>
    </row>
    <row r="431" spans="1:6" x14ac:dyDescent="0.3">
      <c r="A431" s="7">
        <v>306</v>
      </c>
      <c r="B431">
        <v>3</v>
      </c>
      <c r="C431">
        <v>45</v>
      </c>
      <c r="D431">
        <v>9</v>
      </c>
      <c r="E431" t="s">
        <v>15</v>
      </c>
      <c r="F431" t="str">
        <f t="shared" si="6"/>
        <v>[0 - 4]</v>
      </c>
    </row>
    <row r="432" spans="1:6" x14ac:dyDescent="0.3">
      <c r="A432" s="7">
        <v>1690</v>
      </c>
      <c r="B432">
        <v>11</v>
      </c>
      <c r="C432">
        <v>40</v>
      </c>
      <c r="D432">
        <v>3</v>
      </c>
      <c r="E432" t="s">
        <v>16</v>
      </c>
      <c r="F432" t="str">
        <f t="shared" si="6"/>
        <v>[10 - 14]</v>
      </c>
    </row>
    <row r="433" spans="1:6" x14ac:dyDescent="0.3">
      <c r="A433" s="7">
        <v>606</v>
      </c>
      <c r="B433">
        <v>16</v>
      </c>
      <c r="C433">
        <v>30</v>
      </c>
      <c r="D433">
        <v>7</v>
      </c>
      <c r="E433" t="s">
        <v>21</v>
      </c>
      <c r="F433" t="str">
        <f t="shared" si="6"/>
        <v>[15 - 20]</v>
      </c>
    </row>
    <row r="434" spans="1:6" x14ac:dyDescent="0.3">
      <c r="A434" s="7">
        <v>5910</v>
      </c>
      <c r="B434">
        <v>17</v>
      </c>
      <c r="C434">
        <v>5</v>
      </c>
      <c r="D434">
        <v>1</v>
      </c>
      <c r="E434" t="s">
        <v>19</v>
      </c>
      <c r="F434" t="str">
        <f t="shared" si="6"/>
        <v>[15 - 20]</v>
      </c>
    </row>
    <row r="435" spans="1:6" x14ac:dyDescent="0.3">
      <c r="A435" s="7">
        <v>339</v>
      </c>
      <c r="B435">
        <v>18</v>
      </c>
      <c r="C435">
        <v>25</v>
      </c>
      <c r="D435">
        <v>10</v>
      </c>
      <c r="E435" t="s">
        <v>21</v>
      </c>
      <c r="F435" t="str">
        <f t="shared" si="6"/>
        <v>[15 - 20]</v>
      </c>
    </row>
    <row r="436" spans="1:6" x14ac:dyDescent="0.3">
      <c r="A436" s="7">
        <v>4060</v>
      </c>
      <c r="B436">
        <v>4</v>
      </c>
      <c r="C436">
        <v>25</v>
      </c>
      <c r="D436">
        <v>1</v>
      </c>
      <c r="E436" t="s">
        <v>19</v>
      </c>
      <c r="F436" t="str">
        <f t="shared" si="6"/>
        <v>[0 - 4]</v>
      </c>
    </row>
    <row r="437" spans="1:6" x14ac:dyDescent="0.3">
      <c r="A437" s="7">
        <v>1160</v>
      </c>
      <c r="B437">
        <v>0</v>
      </c>
      <c r="C437">
        <v>25</v>
      </c>
      <c r="D437">
        <v>6</v>
      </c>
      <c r="E437" t="s">
        <v>15</v>
      </c>
      <c r="F437" t="str">
        <f t="shared" si="6"/>
        <v>[0 - 4]</v>
      </c>
    </row>
    <row r="438" spans="1:6" x14ac:dyDescent="0.3">
      <c r="A438" s="7">
        <v>394</v>
      </c>
      <c r="B438">
        <v>12</v>
      </c>
      <c r="C438">
        <v>30</v>
      </c>
      <c r="D438">
        <v>9</v>
      </c>
      <c r="E438" t="s">
        <v>17</v>
      </c>
      <c r="F438" t="str">
        <f t="shared" si="6"/>
        <v>[10 - 14]</v>
      </c>
    </row>
    <row r="439" spans="1:6" x14ac:dyDescent="0.3">
      <c r="A439" s="7">
        <v>930</v>
      </c>
      <c r="B439">
        <v>7</v>
      </c>
      <c r="C439">
        <v>35</v>
      </c>
      <c r="D439">
        <v>7</v>
      </c>
      <c r="E439" t="s">
        <v>19</v>
      </c>
      <c r="F439" t="str">
        <f t="shared" si="6"/>
        <v>[5 - 9]</v>
      </c>
    </row>
    <row r="440" spans="1:6" x14ac:dyDescent="0.3">
      <c r="A440" s="7">
        <v>366</v>
      </c>
      <c r="B440">
        <v>7</v>
      </c>
      <c r="C440">
        <v>35</v>
      </c>
      <c r="D440">
        <v>10</v>
      </c>
      <c r="E440" t="s">
        <v>17</v>
      </c>
      <c r="F440" t="str">
        <f t="shared" si="6"/>
        <v>[5 - 9]</v>
      </c>
    </row>
    <row r="441" spans="1:6" x14ac:dyDescent="0.3">
      <c r="A441" s="7">
        <v>413</v>
      </c>
      <c r="B441">
        <v>11</v>
      </c>
      <c r="C441">
        <v>10</v>
      </c>
      <c r="D441">
        <v>9</v>
      </c>
      <c r="E441" t="s">
        <v>18</v>
      </c>
      <c r="F441" t="str">
        <f t="shared" si="6"/>
        <v>[10 - 14]</v>
      </c>
    </row>
    <row r="442" spans="1:6" x14ac:dyDescent="0.3">
      <c r="A442" s="7">
        <v>357.5</v>
      </c>
      <c r="B442">
        <v>10</v>
      </c>
      <c r="C442">
        <v>25</v>
      </c>
      <c r="D442">
        <v>9</v>
      </c>
      <c r="E442" t="s">
        <v>15</v>
      </c>
      <c r="F442" t="str">
        <f t="shared" si="6"/>
        <v>[10 - 14]</v>
      </c>
    </row>
    <row r="443" spans="1:6" x14ac:dyDescent="0.3">
      <c r="A443" s="7">
        <v>2825</v>
      </c>
      <c r="B443">
        <v>2</v>
      </c>
      <c r="C443">
        <v>10</v>
      </c>
      <c r="D443">
        <v>2</v>
      </c>
      <c r="E443" t="s">
        <v>21</v>
      </c>
      <c r="F443" t="str">
        <f t="shared" si="6"/>
        <v>[0 - 4]</v>
      </c>
    </row>
    <row r="444" spans="1:6" x14ac:dyDescent="0.3">
      <c r="A444" s="7">
        <v>608</v>
      </c>
      <c r="B444">
        <v>1</v>
      </c>
      <c r="C444">
        <v>15</v>
      </c>
      <c r="D444">
        <v>6</v>
      </c>
      <c r="E444" t="s">
        <v>16</v>
      </c>
      <c r="F444" t="str">
        <f t="shared" si="6"/>
        <v>[0 - 4]</v>
      </c>
    </row>
    <row r="445" spans="1:6" x14ac:dyDescent="0.3">
      <c r="A445" s="7">
        <v>4130</v>
      </c>
      <c r="B445">
        <v>18</v>
      </c>
      <c r="C445">
        <v>0</v>
      </c>
      <c r="D445">
        <v>1</v>
      </c>
      <c r="E445" t="s">
        <v>19</v>
      </c>
      <c r="F445" t="str">
        <f t="shared" si="6"/>
        <v>[15 - 20]</v>
      </c>
    </row>
    <row r="446" spans="1:6" x14ac:dyDescent="0.3">
      <c r="A446" s="7">
        <v>851</v>
      </c>
      <c r="B446">
        <v>15</v>
      </c>
      <c r="C446">
        <v>30</v>
      </c>
      <c r="D446">
        <v>8</v>
      </c>
      <c r="E446" t="s">
        <v>17</v>
      </c>
      <c r="F446" t="str">
        <f t="shared" si="6"/>
        <v>[15 - 20]</v>
      </c>
    </row>
    <row r="447" spans="1:6" x14ac:dyDescent="0.3">
      <c r="A447" s="7">
        <v>422</v>
      </c>
      <c r="B447">
        <v>20</v>
      </c>
      <c r="C447">
        <v>10</v>
      </c>
      <c r="D447">
        <v>9</v>
      </c>
      <c r="E447" t="s">
        <v>17</v>
      </c>
      <c r="F447" t="str">
        <f t="shared" si="6"/>
        <v>[15 - 20]</v>
      </c>
    </row>
    <row r="448" spans="1:6" x14ac:dyDescent="0.3">
      <c r="A448" s="7">
        <v>698</v>
      </c>
      <c r="B448">
        <v>15</v>
      </c>
      <c r="C448">
        <v>0</v>
      </c>
      <c r="D448">
        <v>9</v>
      </c>
      <c r="E448" t="s">
        <v>20</v>
      </c>
      <c r="F448" t="str">
        <f t="shared" si="6"/>
        <v>[15 - 20]</v>
      </c>
    </row>
    <row r="449" spans="1:6" x14ac:dyDescent="0.3">
      <c r="A449" s="7">
        <v>657</v>
      </c>
      <c r="B449">
        <v>2</v>
      </c>
      <c r="C449">
        <v>45</v>
      </c>
      <c r="D449">
        <v>7</v>
      </c>
      <c r="E449" t="s">
        <v>18</v>
      </c>
      <c r="F449" t="str">
        <f t="shared" si="6"/>
        <v>[0 - 4]</v>
      </c>
    </row>
    <row r="450" spans="1:6" x14ac:dyDescent="0.3">
      <c r="A450" s="7">
        <v>957</v>
      </c>
      <c r="B450">
        <v>5</v>
      </c>
      <c r="C450">
        <v>35</v>
      </c>
      <c r="D450">
        <v>3</v>
      </c>
      <c r="E450" t="s">
        <v>18</v>
      </c>
      <c r="F450" t="str">
        <f t="shared" si="6"/>
        <v>[5 - 9]</v>
      </c>
    </row>
    <row r="451" spans="1:6" x14ac:dyDescent="0.3">
      <c r="A451" s="7">
        <v>2790</v>
      </c>
      <c r="B451">
        <v>18</v>
      </c>
      <c r="C451">
        <v>30</v>
      </c>
      <c r="D451">
        <v>1</v>
      </c>
      <c r="E451" t="s">
        <v>18</v>
      </c>
      <c r="F451" t="str">
        <f t="shared" ref="F451:F501" si="7">VLOOKUP(B451,$J$1:$K$4,2)</f>
        <v>[15 - 20]</v>
      </c>
    </row>
    <row r="452" spans="1:6" x14ac:dyDescent="0.3">
      <c r="A452" s="7">
        <v>585</v>
      </c>
      <c r="B452">
        <v>6</v>
      </c>
      <c r="C452">
        <v>5</v>
      </c>
      <c r="D452">
        <v>10</v>
      </c>
      <c r="E452" t="s">
        <v>17</v>
      </c>
      <c r="F452" t="str">
        <f t="shared" si="7"/>
        <v>[5 - 9]</v>
      </c>
    </row>
    <row r="453" spans="1:6" x14ac:dyDescent="0.3">
      <c r="A453" s="7">
        <v>1323</v>
      </c>
      <c r="B453">
        <v>2</v>
      </c>
      <c r="C453">
        <v>50</v>
      </c>
      <c r="D453">
        <v>4</v>
      </c>
      <c r="E453" t="s">
        <v>19</v>
      </c>
      <c r="F453" t="str">
        <f t="shared" si="7"/>
        <v>[0 - 4]</v>
      </c>
    </row>
    <row r="454" spans="1:6" x14ac:dyDescent="0.3">
      <c r="A454" s="7">
        <v>5490</v>
      </c>
      <c r="B454">
        <v>17</v>
      </c>
      <c r="C454">
        <v>0</v>
      </c>
      <c r="D454">
        <v>1</v>
      </c>
      <c r="E454" t="s">
        <v>18</v>
      </c>
      <c r="F454" t="str">
        <f t="shared" si="7"/>
        <v>[15 - 20]</v>
      </c>
    </row>
    <row r="455" spans="1:6" x14ac:dyDescent="0.3">
      <c r="A455" s="7">
        <v>484</v>
      </c>
      <c r="B455">
        <v>8</v>
      </c>
      <c r="C455">
        <v>0</v>
      </c>
      <c r="D455">
        <v>9</v>
      </c>
      <c r="E455" t="s">
        <v>21</v>
      </c>
      <c r="F455" t="str">
        <f t="shared" si="7"/>
        <v>[5 - 9]</v>
      </c>
    </row>
    <row r="456" spans="1:6" x14ac:dyDescent="0.3">
      <c r="A456" s="7">
        <v>950</v>
      </c>
      <c r="B456">
        <v>8</v>
      </c>
      <c r="C456">
        <v>30</v>
      </c>
      <c r="D456">
        <v>3</v>
      </c>
      <c r="E456" t="s">
        <v>18</v>
      </c>
      <c r="F456" t="str">
        <f t="shared" si="7"/>
        <v>[5 - 9]</v>
      </c>
    </row>
    <row r="457" spans="1:6" x14ac:dyDescent="0.3">
      <c r="A457" s="7">
        <v>672</v>
      </c>
      <c r="B457">
        <v>14</v>
      </c>
      <c r="C457">
        <v>20</v>
      </c>
      <c r="D457">
        <v>5</v>
      </c>
      <c r="E457" t="s">
        <v>18</v>
      </c>
      <c r="F457" t="str">
        <f t="shared" si="7"/>
        <v>[10 - 14]</v>
      </c>
    </row>
    <row r="458" spans="1:6" x14ac:dyDescent="0.3">
      <c r="A458" s="7">
        <v>315</v>
      </c>
      <c r="B458">
        <v>13</v>
      </c>
      <c r="C458">
        <v>15</v>
      </c>
      <c r="D458">
        <v>10</v>
      </c>
      <c r="E458" t="s">
        <v>16</v>
      </c>
      <c r="F458" t="str">
        <f t="shared" si="7"/>
        <v>[10 - 14]</v>
      </c>
    </row>
    <row r="459" spans="1:6" x14ac:dyDescent="0.3">
      <c r="A459" s="7">
        <v>513</v>
      </c>
      <c r="B459">
        <v>2</v>
      </c>
      <c r="C459">
        <v>50</v>
      </c>
      <c r="D459">
        <v>10</v>
      </c>
      <c r="E459" t="s">
        <v>16</v>
      </c>
      <c r="F459" t="str">
        <f t="shared" si="7"/>
        <v>[0 - 4]</v>
      </c>
    </row>
    <row r="460" spans="1:6" x14ac:dyDescent="0.3">
      <c r="A460" s="7">
        <v>417</v>
      </c>
      <c r="B460">
        <v>12</v>
      </c>
      <c r="C460">
        <v>0</v>
      </c>
      <c r="D460">
        <v>9</v>
      </c>
      <c r="E460" t="s">
        <v>16</v>
      </c>
      <c r="F460" t="str">
        <f t="shared" si="7"/>
        <v>[10 - 14]</v>
      </c>
    </row>
    <row r="461" spans="1:6" x14ac:dyDescent="0.3">
      <c r="A461" s="7">
        <v>3485</v>
      </c>
      <c r="B461">
        <v>20</v>
      </c>
      <c r="C461">
        <v>25</v>
      </c>
      <c r="D461">
        <v>2</v>
      </c>
      <c r="E461" t="s">
        <v>16</v>
      </c>
      <c r="F461" t="str">
        <f t="shared" si="7"/>
        <v>[15 - 20]</v>
      </c>
    </row>
    <row r="462" spans="1:6" x14ac:dyDescent="0.3">
      <c r="A462" s="7">
        <v>2165</v>
      </c>
      <c r="B462">
        <v>16</v>
      </c>
      <c r="C462">
        <v>0</v>
      </c>
      <c r="D462">
        <v>2</v>
      </c>
      <c r="E462" t="s">
        <v>20</v>
      </c>
      <c r="F462" t="str">
        <f t="shared" si="7"/>
        <v>[15 - 20]</v>
      </c>
    </row>
    <row r="463" spans="1:6" x14ac:dyDescent="0.3">
      <c r="A463" s="7">
        <v>4870</v>
      </c>
      <c r="B463">
        <v>11</v>
      </c>
      <c r="C463">
        <v>0</v>
      </c>
      <c r="D463">
        <v>1</v>
      </c>
      <c r="E463" t="s">
        <v>17</v>
      </c>
      <c r="F463" t="str">
        <f t="shared" si="7"/>
        <v>[10 - 14]</v>
      </c>
    </row>
    <row r="464" spans="1:6" x14ac:dyDescent="0.3">
      <c r="A464" s="7">
        <v>3820</v>
      </c>
      <c r="B464">
        <v>14</v>
      </c>
      <c r="C464">
        <v>25</v>
      </c>
      <c r="D464">
        <v>1</v>
      </c>
      <c r="E464" t="s">
        <v>15</v>
      </c>
      <c r="F464" t="str">
        <f t="shared" si="7"/>
        <v>[10 - 14]</v>
      </c>
    </row>
    <row r="465" spans="1:6" x14ac:dyDescent="0.3">
      <c r="A465" s="7">
        <v>822</v>
      </c>
      <c r="B465">
        <v>7</v>
      </c>
      <c r="C465">
        <v>35</v>
      </c>
      <c r="D465">
        <v>6</v>
      </c>
      <c r="E465" t="s">
        <v>15</v>
      </c>
      <c r="F465" t="str">
        <f t="shared" si="7"/>
        <v>[5 - 9]</v>
      </c>
    </row>
    <row r="466" spans="1:6" x14ac:dyDescent="0.3">
      <c r="A466" s="7">
        <v>714</v>
      </c>
      <c r="B466">
        <v>2</v>
      </c>
      <c r="C466">
        <v>30</v>
      </c>
      <c r="D466">
        <v>7</v>
      </c>
      <c r="E466" t="s">
        <v>17</v>
      </c>
      <c r="F466" t="str">
        <f t="shared" si="7"/>
        <v>[0 - 4]</v>
      </c>
    </row>
    <row r="467" spans="1:6" x14ac:dyDescent="0.3">
      <c r="A467" s="7">
        <v>3710</v>
      </c>
      <c r="B467">
        <v>2</v>
      </c>
      <c r="C467">
        <v>40</v>
      </c>
      <c r="D467">
        <v>1</v>
      </c>
      <c r="E467" t="s">
        <v>15</v>
      </c>
      <c r="F467" t="str">
        <f t="shared" si="7"/>
        <v>[0 - 4]</v>
      </c>
    </row>
    <row r="468" spans="1:6" x14ac:dyDescent="0.3">
      <c r="A468" s="7">
        <v>474</v>
      </c>
      <c r="B468">
        <v>13</v>
      </c>
      <c r="C468">
        <v>40</v>
      </c>
      <c r="D468">
        <v>7</v>
      </c>
      <c r="E468" t="s">
        <v>20</v>
      </c>
      <c r="F468" t="str">
        <f t="shared" si="7"/>
        <v>[10 - 14]</v>
      </c>
    </row>
    <row r="469" spans="1:6" x14ac:dyDescent="0.3">
      <c r="A469" s="7">
        <v>3220</v>
      </c>
      <c r="B469">
        <v>12</v>
      </c>
      <c r="C469">
        <v>40</v>
      </c>
      <c r="D469">
        <v>1</v>
      </c>
      <c r="E469" t="s">
        <v>15</v>
      </c>
      <c r="F469" t="str">
        <f t="shared" si="7"/>
        <v>[10 - 14]</v>
      </c>
    </row>
    <row r="470" spans="1:6" x14ac:dyDescent="0.3">
      <c r="A470" s="7">
        <v>6270</v>
      </c>
      <c r="B470">
        <v>14</v>
      </c>
      <c r="C470">
        <v>5</v>
      </c>
      <c r="D470">
        <v>1</v>
      </c>
      <c r="E470" t="s">
        <v>21</v>
      </c>
      <c r="F470" t="str">
        <f t="shared" si="7"/>
        <v>[10 - 14]</v>
      </c>
    </row>
    <row r="471" spans="1:6" x14ac:dyDescent="0.3">
      <c r="A471" s="7">
        <v>773</v>
      </c>
      <c r="B471">
        <v>12</v>
      </c>
      <c r="C471">
        <v>30</v>
      </c>
      <c r="D471">
        <v>8</v>
      </c>
      <c r="E471" t="s">
        <v>15</v>
      </c>
      <c r="F471" t="str">
        <f t="shared" si="7"/>
        <v>[10 - 14]</v>
      </c>
    </row>
    <row r="472" spans="1:6" x14ac:dyDescent="0.3">
      <c r="A472" s="7">
        <v>590</v>
      </c>
      <c r="B472">
        <v>0</v>
      </c>
      <c r="C472">
        <v>45</v>
      </c>
      <c r="D472">
        <v>10</v>
      </c>
      <c r="E472" t="s">
        <v>21</v>
      </c>
      <c r="F472" t="str">
        <f t="shared" si="7"/>
        <v>[0 - 4]</v>
      </c>
    </row>
    <row r="473" spans="1:6" x14ac:dyDescent="0.3">
      <c r="A473" s="7">
        <v>569</v>
      </c>
      <c r="B473">
        <v>2</v>
      </c>
      <c r="C473">
        <v>20</v>
      </c>
      <c r="D473">
        <v>10</v>
      </c>
      <c r="E473" t="s">
        <v>17</v>
      </c>
      <c r="F473" t="str">
        <f t="shared" si="7"/>
        <v>[0 - 4]</v>
      </c>
    </row>
    <row r="474" spans="1:6" x14ac:dyDescent="0.3">
      <c r="A474" s="7">
        <v>3730</v>
      </c>
      <c r="B474">
        <v>17</v>
      </c>
      <c r="C474">
        <v>40</v>
      </c>
      <c r="D474">
        <v>1</v>
      </c>
      <c r="E474" t="s">
        <v>17</v>
      </c>
      <c r="F474" t="str">
        <f t="shared" si="7"/>
        <v>[15 - 20]</v>
      </c>
    </row>
    <row r="475" spans="1:6" x14ac:dyDescent="0.3">
      <c r="A475" s="7">
        <v>3160</v>
      </c>
      <c r="B475">
        <v>11</v>
      </c>
      <c r="C475">
        <v>20</v>
      </c>
      <c r="D475">
        <v>1</v>
      </c>
      <c r="E475" t="s">
        <v>16</v>
      </c>
      <c r="F475" t="str">
        <f t="shared" si="7"/>
        <v>[10 - 14]</v>
      </c>
    </row>
    <row r="476" spans="1:6" x14ac:dyDescent="0.3">
      <c r="A476" s="7">
        <v>596</v>
      </c>
      <c r="B476">
        <v>6</v>
      </c>
      <c r="C476">
        <v>25</v>
      </c>
      <c r="D476">
        <v>7</v>
      </c>
      <c r="E476" t="s">
        <v>19</v>
      </c>
      <c r="F476" t="str">
        <f t="shared" si="7"/>
        <v>[5 - 9]</v>
      </c>
    </row>
    <row r="477" spans="1:6" x14ac:dyDescent="0.3">
      <c r="A477" s="7">
        <v>6170</v>
      </c>
      <c r="B477">
        <v>14</v>
      </c>
      <c r="C477">
        <v>20</v>
      </c>
      <c r="D477">
        <v>1</v>
      </c>
      <c r="E477" t="s">
        <v>18</v>
      </c>
      <c r="F477" t="str">
        <f t="shared" si="7"/>
        <v>[10 - 14]</v>
      </c>
    </row>
    <row r="478" spans="1:6" x14ac:dyDescent="0.3">
      <c r="A478" s="7">
        <v>1300</v>
      </c>
      <c r="B478">
        <v>14</v>
      </c>
      <c r="C478">
        <v>40</v>
      </c>
      <c r="D478">
        <v>4</v>
      </c>
      <c r="E478" t="s">
        <v>20</v>
      </c>
      <c r="F478" t="str">
        <f t="shared" si="7"/>
        <v>[10 - 14]</v>
      </c>
    </row>
    <row r="479" spans="1:6" x14ac:dyDescent="0.3">
      <c r="A479" s="7">
        <v>345</v>
      </c>
      <c r="B479">
        <v>7</v>
      </c>
      <c r="C479">
        <v>10</v>
      </c>
      <c r="D479">
        <v>10</v>
      </c>
      <c r="E479" t="s">
        <v>20</v>
      </c>
      <c r="F479" t="str">
        <f t="shared" si="7"/>
        <v>[5 - 9]</v>
      </c>
    </row>
    <row r="480" spans="1:6" x14ac:dyDescent="0.3">
      <c r="A480" s="7">
        <v>1623</v>
      </c>
      <c r="B480">
        <v>6</v>
      </c>
      <c r="C480">
        <v>35</v>
      </c>
      <c r="D480">
        <v>4</v>
      </c>
      <c r="E480" t="s">
        <v>17</v>
      </c>
      <c r="F480" t="str">
        <f t="shared" si="7"/>
        <v>[5 - 9]</v>
      </c>
    </row>
    <row r="481" spans="1:6" x14ac:dyDescent="0.3">
      <c r="A481" s="7">
        <v>6450</v>
      </c>
      <c r="B481">
        <v>3</v>
      </c>
      <c r="C481">
        <v>25</v>
      </c>
      <c r="D481">
        <v>1</v>
      </c>
      <c r="E481" t="s">
        <v>21</v>
      </c>
      <c r="F481" t="str">
        <f t="shared" si="7"/>
        <v>[0 - 4]</v>
      </c>
    </row>
    <row r="482" spans="1:6" x14ac:dyDescent="0.3">
      <c r="A482" s="7">
        <v>6140</v>
      </c>
      <c r="B482">
        <v>19</v>
      </c>
      <c r="C482">
        <v>45</v>
      </c>
      <c r="D482">
        <v>1</v>
      </c>
      <c r="E482" t="s">
        <v>20</v>
      </c>
      <c r="F482" t="str">
        <f t="shared" si="7"/>
        <v>[15 - 20]</v>
      </c>
    </row>
    <row r="483" spans="1:6" x14ac:dyDescent="0.3">
      <c r="A483" s="7">
        <v>1640</v>
      </c>
      <c r="B483">
        <v>5</v>
      </c>
      <c r="C483">
        <v>15</v>
      </c>
      <c r="D483">
        <v>4</v>
      </c>
      <c r="E483" t="s">
        <v>21</v>
      </c>
      <c r="F483" t="str">
        <f t="shared" si="7"/>
        <v>[5 - 9]</v>
      </c>
    </row>
    <row r="484" spans="1:6" x14ac:dyDescent="0.3">
      <c r="A484" s="7">
        <v>610</v>
      </c>
      <c r="B484">
        <v>11</v>
      </c>
      <c r="C484">
        <v>35</v>
      </c>
      <c r="D484">
        <v>10</v>
      </c>
      <c r="E484" t="s">
        <v>19</v>
      </c>
      <c r="F484" t="str">
        <f t="shared" si="7"/>
        <v>[10 - 14]</v>
      </c>
    </row>
    <row r="485" spans="1:6" x14ac:dyDescent="0.3">
      <c r="A485" s="7">
        <v>531</v>
      </c>
      <c r="B485">
        <v>18</v>
      </c>
      <c r="C485">
        <v>30</v>
      </c>
      <c r="D485">
        <v>10</v>
      </c>
      <c r="E485" t="s">
        <v>17</v>
      </c>
      <c r="F485" t="str">
        <f t="shared" si="7"/>
        <v>[15 - 20]</v>
      </c>
    </row>
    <row r="486" spans="1:6" x14ac:dyDescent="0.3">
      <c r="A486" s="7">
        <v>588</v>
      </c>
      <c r="B486">
        <v>14</v>
      </c>
      <c r="C486">
        <v>20</v>
      </c>
      <c r="D486">
        <v>5</v>
      </c>
      <c r="E486" t="s">
        <v>16</v>
      </c>
      <c r="F486" t="str">
        <f t="shared" si="7"/>
        <v>[10 - 14]</v>
      </c>
    </row>
    <row r="487" spans="1:6" x14ac:dyDescent="0.3">
      <c r="A487" s="7">
        <v>4630</v>
      </c>
      <c r="B487">
        <v>18</v>
      </c>
      <c r="C487">
        <v>25</v>
      </c>
      <c r="D487">
        <v>1</v>
      </c>
      <c r="E487" t="s">
        <v>16</v>
      </c>
      <c r="F487" t="str">
        <f t="shared" si="7"/>
        <v>[15 - 20]</v>
      </c>
    </row>
    <row r="488" spans="1:6" x14ac:dyDescent="0.3">
      <c r="A488" s="7">
        <v>669.9</v>
      </c>
      <c r="B488">
        <v>6</v>
      </c>
      <c r="C488">
        <v>0</v>
      </c>
      <c r="D488">
        <v>9</v>
      </c>
      <c r="E488" t="s">
        <v>16</v>
      </c>
      <c r="F488" t="str">
        <f t="shared" si="7"/>
        <v>[5 - 9]</v>
      </c>
    </row>
    <row r="489" spans="1:6" x14ac:dyDescent="0.3">
      <c r="A489" s="7">
        <v>4250</v>
      </c>
      <c r="B489">
        <v>19</v>
      </c>
      <c r="C489">
        <v>35</v>
      </c>
      <c r="D489">
        <v>1</v>
      </c>
      <c r="E489" t="s">
        <v>21</v>
      </c>
      <c r="F489" t="str">
        <f t="shared" si="7"/>
        <v>[15 - 20]</v>
      </c>
    </row>
    <row r="490" spans="1:6" x14ac:dyDescent="0.3">
      <c r="A490" s="7">
        <v>5970</v>
      </c>
      <c r="B490">
        <v>5</v>
      </c>
      <c r="C490">
        <v>20</v>
      </c>
      <c r="D490">
        <v>1</v>
      </c>
      <c r="E490" t="s">
        <v>20</v>
      </c>
      <c r="F490" t="str">
        <f t="shared" si="7"/>
        <v>[5 - 9]</v>
      </c>
    </row>
    <row r="491" spans="1:6" x14ac:dyDescent="0.3">
      <c r="A491" s="7">
        <v>386</v>
      </c>
      <c r="B491">
        <v>14</v>
      </c>
      <c r="C491">
        <v>15</v>
      </c>
      <c r="D491">
        <v>10</v>
      </c>
      <c r="E491" t="s">
        <v>16</v>
      </c>
      <c r="F491" t="str">
        <f t="shared" si="7"/>
        <v>[10 - 14]</v>
      </c>
    </row>
    <row r="492" spans="1:6" x14ac:dyDescent="0.3">
      <c r="A492" s="7">
        <v>510</v>
      </c>
      <c r="B492">
        <v>8</v>
      </c>
      <c r="C492">
        <v>20</v>
      </c>
      <c r="D492">
        <v>10</v>
      </c>
      <c r="E492" t="s">
        <v>17</v>
      </c>
      <c r="F492" t="str">
        <f t="shared" si="7"/>
        <v>[5 - 9]</v>
      </c>
    </row>
    <row r="493" spans="1:6" x14ac:dyDescent="0.3">
      <c r="A493" s="7">
        <v>4490</v>
      </c>
      <c r="B493">
        <v>1</v>
      </c>
      <c r="C493">
        <v>5</v>
      </c>
      <c r="D493">
        <v>1</v>
      </c>
      <c r="E493" t="s">
        <v>18</v>
      </c>
      <c r="F493" t="str">
        <f t="shared" si="7"/>
        <v>[0 - 4]</v>
      </c>
    </row>
    <row r="494" spans="1:6" x14ac:dyDescent="0.3">
      <c r="A494" s="7">
        <v>6880</v>
      </c>
      <c r="B494">
        <v>0</v>
      </c>
      <c r="C494">
        <v>40</v>
      </c>
      <c r="D494">
        <v>1</v>
      </c>
      <c r="E494" t="s">
        <v>19</v>
      </c>
      <c r="F494" t="str">
        <f t="shared" si="7"/>
        <v>[0 - 4]</v>
      </c>
    </row>
    <row r="495" spans="1:6" x14ac:dyDescent="0.3">
      <c r="A495" s="7">
        <v>1208</v>
      </c>
      <c r="B495">
        <v>15</v>
      </c>
      <c r="C495">
        <v>0</v>
      </c>
      <c r="D495">
        <v>4</v>
      </c>
      <c r="E495" t="s">
        <v>20</v>
      </c>
      <c r="F495" t="str">
        <f t="shared" si="7"/>
        <v>[15 - 20]</v>
      </c>
    </row>
    <row r="496" spans="1:6" x14ac:dyDescent="0.3">
      <c r="A496" s="7">
        <v>5100</v>
      </c>
      <c r="B496">
        <v>13</v>
      </c>
      <c r="C496">
        <v>45</v>
      </c>
      <c r="D496">
        <v>1</v>
      </c>
      <c r="E496" t="s">
        <v>17</v>
      </c>
      <c r="F496" t="str">
        <f t="shared" si="7"/>
        <v>[10 - 14]</v>
      </c>
    </row>
    <row r="497" spans="1:6" x14ac:dyDescent="0.3">
      <c r="A497" s="7">
        <v>900</v>
      </c>
      <c r="B497">
        <v>0</v>
      </c>
      <c r="C497">
        <v>40</v>
      </c>
      <c r="D497">
        <v>7</v>
      </c>
      <c r="E497" t="s">
        <v>18</v>
      </c>
      <c r="F497" t="str">
        <f t="shared" si="7"/>
        <v>[0 - 4]</v>
      </c>
    </row>
    <row r="498" spans="1:6" x14ac:dyDescent="0.3">
      <c r="A498" s="7">
        <v>911</v>
      </c>
      <c r="B498">
        <v>5</v>
      </c>
      <c r="C498">
        <v>10</v>
      </c>
      <c r="D498">
        <v>7</v>
      </c>
      <c r="E498" t="s">
        <v>20</v>
      </c>
      <c r="F498" t="str">
        <f t="shared" si="7"/>
        <v>[5 - 9]</v>
      </c>
    </row>
    <row r="499" spans="1:6" x14ac:dyDescent="0.3">
      <c r="A499" s="7">
        <v>463</v>
      </c>
      <c r="B499">
        <v>8</v>
      </c>
      <c r="C499">
        <v>20</v>
      </c>
      <c r="D499">
        <v>7</v>
      </c>
      <c r="E499" t="s">
        <v>16</v>
      </c>
      <c r="F499" t="str">
        <f t="shared" si="7"/>
        <v>[5 - 9]</v>
      </c>
    </row>
    <row r="500" spans="1:6" x14ac:dyDescent="0.3">
      <c r="A500" s="7">
        <v>641.20000000000005</v>
      </c>
      <c r="B500">
        <v>12</v>
      </c>
      <c r="C500">
        <v>14</v>
      </c>
      <c r="D500">
        <v>6</v>
      </c>
      <c r="E500" t="s">
        <v>19</v>
      </c>
      <c r="F500" t="str">
        <f t="shared" si="7"/>
        <v>[10 - 14]</v>
      </c>
    </row>
    <row r="501" spans="1:6" x14ac:dyDescent="0.3">
      <c r="A501" s="7">
        <v>550</v>
      </c>
      <c r="B501">
        <v>14</v>
      </c>
      <c r="C501">
        <v>45</v>
      </c>
      <c r="D501">
        <v>7</v>
      </c>
      <c r="E501" t="s">
        <v>21</v>
      </c>
      <c r="F501" t="str">
        <f t="shared" si="7"/>
        <v>[10 - 14]</v>
      </c>
    </row>
  </sheetData>
  <pageMargins left="0.7" right="0.7" top="0.75" bottom="0.75" header="0.3" footer="0.3"/>
  <pageSetup paperSize="9"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workbookViewId="0">
      <selection activeCell="K9" sqref="K9"/>
    </sheetView>
  </sheetViews>
  <sheetFormatPr defaultRowHeight="14.4" x14ac:dyDescent="0.3"/>
  <cols>
    <col min="4" max="4" width="9.109375" bestFit="1" customWidth="1"/>
    <col min="8" max="8" width="16.6640625" customWidth="1"/>
    <col min="9" max="9" width="13.88671875" bestFit="1" customWidth="1"/>
    <col min="10" max="10" width="13.5546875" bestFit="1" customWidth="1"/>
    <col min="11" max="11" width="16.109375" style="6" bestFit="1" customWidth="1"/>
  </cols>
  <sheetData>
    <row r="1" spans="1:11" x14ac:dyDescent="0.3">
      <c r="A1" t="s">
        <v>1</v>
      </c>
      <c r="B1" t="s">
        <v>2</v>
      </c>
      <c r="E1">
        <v>0</v>
      </c>
      <c r="F1" t="s">
        <v>8</v>
      </c>
    </row>
    <row r="2" spans="1:11" x14ac:dyDescent="0.3">
      <c r="A2">
        <v>2</v>
      </c>
      <c r="B2" t="str">
        <f>VLOOKUP(A2,$E$1:$F$3,2)</f>
        <v>[0,3]</v>
      </c>
      <c r="E2">
        <v>3</v>
      </c>
      <c r="F2" t="s">
        <v>0</v>
      </c>
    </row>
    <row r="3" spans="1:11" x14ac:dyDescent="0.3">
      <c r="A3">
        <v>4</v>
      </c>
      <c r="B3" t="str">
        <f t="shared" ref="B3:B13" si="0">VLOOKUP(A3,$E$1:$F$3,2)</f>
        <v>[3,5]</v>
      </c>
      <c r="E3">
        <v>6</v>
      </c>
      <c r="F3" t="s">
        <v>3</v>
      </c>
      <c r="H3" s="2" t="s">
        <v>4</v>
      </c>
      <c r="I3" t="s">
        <v>7</v>
      </c>
      <c r="J3" t="s">
        <v>6</v>
      </c>
      <c r="K3" s="6" t="s">
        <v>9</v>
      </c>
    </row>
    <row r="4" spans="1:11" x14ac:dyDescent="0.3">
      <c r="A4">
        <v>3</v>
      </c>
      <c r="B4" t="str">
        <f t="shared" si="0"/>
        <v>[3,5]</v>
      </c>
      <c r="H4" s="3" t="s">
        <v>8</v>
      </c>
      <c r="I4" s="4">
        <v>1</v>
      </c>
      <c r="J4" s="4">
        <v>2</v>
      </c>
      <c r="K4" s="6">
        <v>2</v>
      </c>
    </row>
    <row r="5" spans="1:11" x14ac:dyDescent="0.3">
      <c r="A5">
        <v>4</v>
      </c>
      <c r="B5" t="str">
        <f t="shared" si="0"/>
        <v>[3,5]</v>
      </c>
      <c r="H5" s="3" t="s">
        <v>0</v>
      </c>
      <c r="I5" s="4">
        <v>8</v>
      </c>
      <c r="J5" s="4">
        <v>31</v>
      </c>
      <c r="K5" s="6">
        <v>3.875</v>
      </c>
    </row>
    <row r="6" spans="1:11" x14ac:dyDescent="0.3">
      <c r="A6">
        <v>7</v>
      </c>
      <c r="B6" t="str">
        <f t="shared" si="0"/>
        <v>[6,9]</v>
      </c>
      <c r="H6" s="3" t="s">
        <v>3</v>
      </c>
      <c r="I6" s="4">
        <v>3</v>
      </c>
      <c r="J6" s="4">
        <v>23</v>
      </c>
      <c r="K6" s="6">
        <v>7.666666666666667</v>
      </c>
    </row>
    <row r="7" spans="1:11" x14ac:dyDescent="0.3">
      <c r="A7">
        <v>8</v>
      </c>
      <c r="B7" t="str">
        <f t="shared" si="0"/>
        <v>[6,9]</v>
      </c>
      <c r="H7" s="3" t="s">
        <v>5</v>
      </c>
      <c r="I7" s="4">
        <v>12</v>
      </c>
      <c r="J7" s="4">
        <v>56</v>
      </c>
      <c r="K7" s="6">
        <v>4.666666666666667</v>
      </c>
    </row>
    <row r="8" spans="1:11" x14ac:dyDescent="0.3">
      <c r="A8" s="1">
        <v>4</v>
      </c>
      <c r="B8" t="str">
        <f t="shared" si="0"/>
        <v>[3,5]</v>
      </c>
    </row>
    <row r="9" spans="1:11" x14ac:dyDescent="0.3">
      <c r="A9" s="1">
        <v>4</v>
      </c>
      <c r="B9" t="str">
        <f t="shared" si="0"/>
        <v>[3,5]</v>
      </c>
    </row>
    <row r="10" spans="1:11" x14ac:dyDescent="0.3">
      <c r="A10" s="1">
        <v>3</v>
      </c>
      <c r="B10" t="str">
        <f t="shared" si="0"/>
        <v>[3,5]</v>
      </c>
    </row>
    <row r="11" spans="1:11" x14ac:dyDescent="0.3">
      <c r="A11" s="1">
        <v>4</v>
      </c>
      <c r="B11" t="str">
        <f t="shared" si="0"/>
        <v>[3,5]</v>
      </c>
    </row>
    <row r="12" spans="1:11" x14ac:dyDescent="0.3">
      <c r="A12" s="1">
        <v>8</v>
      </c>
      <c r="B12" t="str">
        <f t="shared" si="0"/>
        <v>[6,9]</v>
      </c>
    </row>
    <row r="13" spans="1:11" x14ac:dyDescent="0.3">
      <c r="A13" s="1">
        <v>5</v>
      </c>
      <c r="B13" t="str">
        <f t="shared" si="0"/>
        <v>[3,5]</v>
      </c>
    </row>
    <row r="14" spans="1:11" x14ac:dyDescent="0.3">
      <c r="A14" s="1"/>
    </row>
    <row r="15" spans="1:11" x14ac:dyDescent="0.3">
      <c r="A15" s="1"/>
    </row>
    <row r="16" spans="1:11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1"/>
  <sheetViews>
    <sheetView workbookViewId="0">
      <selection activeCell="G3" sqref="G3"/>
    </sheetView>
  </sheetViews>
  <sheetFormatPr defaultRowHeight="14.4" x14ac:dyDescent="0.3"/>
  <cols>
    <col min="1" max="1" width="13.33203125" style="7" bestFit="1" customWidth="1"/>
    <col min="2" max="2" width="10.109375" bestFit="1" customWidth="1"/>
    <col min="3" max="3" width="12" bestFit="1" customWidth="1"/>
    <col min="4" max="4" width="4.77734375" bestFit="1" customWidth="1"/>
    <col min="5" max="5" width="6.77734375" bestFit="1" customWidth="1"/>
  </cols>
  <sheetData>
    <row r="1" spans="1:5" x14ac:dyDescent="0.3">
      <c r="A1" s="8" t="s">
        <v>10</v>
      </c>
      <c r="B1" s="9" t="s">
        <v>11</v>
      </c>
      <c r="C1" s="9" t="s">
        <v>12</v>
      </c>
      <c r="D1" s="9" t="s">
        <v>13</v>
      </c>
      <c r="E1" s="9" t="s">
        <v>14</v>
      </c>
    </row>
    <row r="2" spans="1:5" x14ac:dyDescent="0.3">
      <c r="A2" s="7">
        <v>1445.5</v>
      </c>
      <c r="B2">
        <v>3</v>
      </c>
      <c r="C2">
        <v>27</v>
      </c>
      <c r="D2">
        <v>4</v>
      </c>
      <c r="E2" t="s">
        <v>15</v>
      </c>
    </row>
    <row r="3" spans="1:5" x14ac:dyDescent="0.3">
      <c r="A3" s="7">
        <v>2690</v>
      </c>
      <c r="B3">
        <v>1</v>
      </c>
      <c r="C3">
        <v>5</v>
      </c>
      <c r="D3">
        <v>2</v>
      </c>
      <c r="E3" t="s">
        <v>16</v>
      </c>
    </row>
    <row r="4" spans="1:5" x14ac:dyDescent="0.3">
      <c r="A4" s="7">
        <v>3300</v>
      </c>
      <c r="B4">
        <v>19</v>
      </c>
      <c r="C4">
        <v>30</v>
      </c>
      <c r="D4">
        <v>1</v>
      </c>
      <c r="E4" t="s">
        <v>15</v>
      </c>
    </row>
    <row r="5" spans="1:5" x14ac:dyDescent="0.3">
      <c r="A5" s="7">
        <v>3900</v>
      </c>
      <c r="B5">
        <v>1</v>
      </c>
      <c r="C5">
        <v>10</v>
      </c>
      <c r="D5">
        <v>1</v>
      </c>
      <c r="E5" t="s">
        <v>16</v>
      </c>
    </row>
    <row r="6" spans="1:5" x14ac:dyDescent="0.3">
      <c r="A6" s="7">
        <v>3560</v>
      </c>
      <c r="B6">
        <v>17</v>
      </c>
      <c r="C6">
        <v>29</v>
      </c>
      <c r="D6">
        <v>1</v>
      </c>
      <c r="E6" t="s">
        <v>17</v>
      </c>
    </row>
    <row r="7" spans="1:5" x14ac:dyDescent="0.3">
      <c r="A7" s="7">
        <v>586</v>
      </c>
      <c r="B7">
        <v>10</v>
      </c>
      <c r="C7">
        <v>1</v>
      </c>
      <c r="D7">
        <v>7</v>
      </c>
      <c r="E7" t="s">
        <v>16</v>
      </c>
    </row>
    <row r="8" spans="1:5" x14ac:dyDescent="0.3">
      <c r="A8" s="7">
        <v>520</v>
      </c>
      <c r="B8">
        <v>9</v>
      </c>
      <c r="C8">
        <v>40</v>
      </c>
      <c r="D8">
        <v>9</v>
      </c>
      <c r="E8" t="s">
        <v>18</v>
      </c>
    </row>
    <row r="9" spans="1:5" x14ac:dyDescent="0.3">
      <c r="A9" s="7">
        <v>3980</v>
      </c>
      <c r="B9">
        <v>3</v>
      </c>
      <c r="C9">
        <v>25</v>
      </c>
      <c r="D9">
        <v>1</v>
      </c>
      <c r="E9" t="s">
        <v>19</v>
      </c>
    </row>
    <row r="10" spans="1:5" x14ac:dyDescent="0.3">
      <c r="A10" s="7">
        <v>409.5</v>
      </c>
      <c r="B10">
        <v>0</v>
      </c>
      <c r="C10">
        <v>30</v>
      </c>
      <c r="D10">
        <v>9</v>
      </c>
      <c r="E10" t="s">
        <v>16</v>
      </c>
    </row>
    <row r="11" spans="1:5" x14ac:dyDescent="0.3">
      <c r="A11" s="7">
        <v>1475</v>
      </c>
      <c r="B11">
        <v>5</v>
      </c>
      <c r="C11">
        <v>15</v>
      </c>
      <c r="D11">
        <v>4</v>
      </c>
      <c r="E11" t="s">
        <v>20</v>
      </c>
    </row>
    <row r="12" spans="1:5" x14ac:dyDescent="0.3">
      <c r="A12" s="7">
        <v>906</v>
      </c>
      <c r="B12">
        <v>14</v>
      </c>
      <c r="C12">
        <v>5</v>
      </c>
      <c r="D12">
        <v>5</v>
      </c>
      <c r="E12" t="s">
        <v>17</v>
      </c>
    </row>
    <row r="13" spans="1:5" x14ac:dyDescent="0.3">
      <c r="A13" s="7">
        <v>2825</v>
      </c>
      <c r="B13">
        <v>12</v>
      </c>
      <c r="C13">
        <v>15</v>
      </c>
      <c r="D13">
        <v>2</v>
      </c>
      <c r="E13" t="s">
        <v>20</v>
      </c>
    </row>
    <row r="14" spans="1:5" x14ac:dyDescent="0.3">
      <c r="A14" s="7">
        <v>5810</v>
      </c>
      <c r="B14">
        <v>2</v>
      </c>
      <c r="C14">
        <v>5</v>
      </c>
      <c r="D14">
        <v>1</v>
      </c>
      <c r="E14" t="s">
        <v>18</v>
      </c>
    </row>
    <row r="15" spans="1:5" x14ac:dyDescent="0.3">
      <c r="A15" s="7">
        <v>889.7</v>
      </c>
      <c r="B15">
        <v>3</v>
      </c>
      <c r="C15">
        <v>45</v>
      </c>
      <c r="D15">
        <v>7</v>
      </c>
      <c r="E15" t="s">
        <v>17</v>
      </c>
    </row>
    <row r="16" spans="1:5" x14ac:dyDescent="0.3">
      <c r="A16" s="7">
        <v>5410</v>
      </c>
      <c r="B16">
        <v>7</v>
      </c>
      <c r="C16">
        <v>50</v>
      </c>
      <c r="D16">
        <v>1</v>
      </c>
      <c r="E16" t="s">
        <v>15</v>
      </c>
    </row>
    <row r="17" spans="1:5" x14ac:dyDescent="0.3">
      <c r="A17" s="7">
        <v>533</v>
      </c>
      <c r="B17">
        <v>6</v>
      </c>
      <c r="C17">
        <v>5</v>
      </c>
      <c r="D17">
        <v>8</v>
      </c>
      <c r="E17" t="s">
        <v>17</v>
      </c>
    </row>
    <row r="18" spans="1:5" x14ac:dyDescent="0.3">
      <c r="A18" s="7">
        <v>502</v>
      </c>
      <c r="B18">
        <v>1</v>
      </c>
      <c r="C18">
        <v>35</v>
      </c>
      <c r="D18">
        <v>6</v>
      </c>
      <c r="E18" t="s">
        <v>16</v>
      </c>
    </row>
    <row r="19" spans="1:5" x14ac:dyDescent="0.3">
      <c r="A19" s="7">
        <v>628</v>
      </c>
      <c r="B19">
        <v>15</v>
      </c>
      <c r="C19">
        <v>15</v>
      </c>
      <c r="D19">
        <v>8</v>
      </c>
      <c r="E19" t="s">
        <v>17</v>
      </c>
    </row>
    <row r="20" spans="1:5" x14ac:dyDescent="0.3">
      <c r="A20" s="7">
        <v>5640</v>
      </c>
      <c r="B20">
        <v>12</v>
      </c>
      <c r="C20">
        <v>40</v>
      </c>
      <c r="D20">
        <v>1</v>
      </c>
      <c r="E20" t="s">
        <v>16</v>
      </c>
    </row>
    <row r="21" spans="1:5" x14ac:dyDescent="0.3">
      <c r="A21" s="7">
        <v>4470</v>
      </c>
      <c r="B21">
        <v>3</v>
      </c>
      <c r="C21">
        <v>40</v>
      </c>
      <c r="D21">
        <v>1</v>
      </c>
      <c r="E21" t="s">
        <v>21</v>
      </c>
    </row>
    <row r="22" spans="1:5" x14ac:dyDescent="0.3">
      <c r="A22" s="7">
        <v>7000</v>
      </c>
      <c r="B22">
        <v>3</v>
      </c>
      <c r="C22">
        <v>40</v>
      </c>
      <c r="D22">
        <v>1</v>
      </c>
      <c r="E22" t="s">
        <v>19</v>
      </c>
    </row>
    <row r="23" spans="1:5" x14ac:dyDescent="0.3">
      <c r="A23" s="7">
        <v>1020</v>
      </c>
      <c r="B23">
        <v>15</v>
      </c>
      <c r="C23">
        <v>10</v>
      </c>
      <c r="D23">
        <v>5</v>
      </c>
      <c r="E23" t="s">
        <v>21</v>
      </c>
    </row>
    <row r="24" spans="1:5" x14ac:dyDescent="0.3">
      <c r="A24" s="7">
        <v>534.5</v>
      </c>
      <c r="B24">
        <v>15</v>
      </c>
      <c r="C24">
        <v>35</v>
      </c>
      <c r="D24">
        <v>8</v>
      </c>
      <c r="E24" t="s">
        <v>17</v>
      </c>
    </row>
    <row r="25" spans="1:5" x14ac:dyDescent="0.3">
      <c r="A25" s="7">
        <v>2113</v>
      </c>
      <c r="B25">
        <v>4</v>
      </c>
      <c r="C25">
        <v>20</v>
      </c>
      <c r="D25">
        <v>3</v>
      </c>
      <c r="E25" t="s">
        <v>15</v>
      </c>
    </row>
    <row r="26" spans="1:5" x14ac:dyDescent="0.3">
      <c r="A26" s="7">
        <v>623</v>
      </c>
      <c r="B26">
        <v>5</v>
      </c>
      <c r="C26">
        <v>5</v>
      </c>
      <c r="D26">
        <v>7</v>
      </c>
      <c r="E26" t="s">
        <v>21</v>
      </c>
    </row>
    <row r="27" spans="1:5" x14ac:dyDescent="0.3">
      <c r="A27" s="7">
        <v>530</v>
      </c>
      <c r="B27">
        <v>8</v>
      </c>
      <c r="C27">
        <v>5</v>
      </c>
      <c r="D27">
        <v>9</v>
      </c>
      <c r="E27" t="s">
        <v>18</v>
      </c>
    </row>
    <row r="28" spans="1:5" x14ac:dyDescent="0.3">
      <c r="A28" s="7">
        <v>406</v>
      </c>
      <c r="B28">
        <v>15</v>
      </c>
      <c r="C28">
        <v>45</v>
      </c>
      <c r="D28">
        <v>9</v>
      </c>
      <c r="E28" t="s">
        <v>21</v>
      </c>
    </row>
    <row r="29" spans="1:5" x14ac:dyDescent="0.3">
      <c r="A29" s="7">
        <v>1047</v>
      </c>
      <c r="B29">
        <v>12</v>
      </c>
      <c r="C29">
        <v>30</v>
      </c>
      <c r="D29">
        <v>6</v>
      </c>
      <c r="E29" t="s">
        <v>17</v>
      </c>
    </row>
    <row r="30" spans="1:5" x14ac:dyDescent="0.3">
      <c r="A30" s="7">
        <v>4450</v>
      </c>
      <c r="B30">
        <v>8</v>
      </c>
      <c r="C30">
        <v>15</v>
      </c>
      <c r="D30">
        <v>1</v>
      </c>
      <c r="E30" t="s">
        <v>18</v>
      </c>
    </row>
    <row r="31" spans="1:5" x14ac:dyDescent="0.3">
      <c r="A31" s="7">
        <v>3690</v>
      </c>
      <c r="B31">
        <v>16</v>
      </c>
      <c r="C31">
        <v>5</v>
      </c>
      <c r="D31">
        <v>1</v>
      </c>
      <c r="E31" t="s">
        <v>16</v>
      </c>
    </row>
    <row r="32" spans="1:5" x14ac:dyDescent="0.3">
      <c r="A32" s="7">
        <v>688</v>
      </c>
      <c r="B32">
        <v>19</v>
      </c>
      <c r="C32">
        <v>20</v>
      </c>
      <c r="D32">
        <v>9</v>
      </c>
      <c r="E32" t="s">
        <v>19</v>
      </c>
    </row>
    <row r="33" spans="1:5" x14ac:dyDescent="0.3">
      <c r="A33" s="7">
        <v>6870</v>
      </c>
      <c r="B33">
        <v>20</v>
      </c>
      <c r="C33">
        <v>5</v>
      </c>
      <c r="D33">
        <v>1</v>
      </c>
      <c r="E33" t="s">
        <v>20</v>
      </c>
    </row>
    <row r="34" spans="1:5" x14ac:dyDescent="0.3">
      <c r="A34" s="7">
        <v>5550</v>
      </c>
      <c r="B34">
        <v>8</v>
      </c>
      <c r="C34">
        <v>40</v>
      </c>
      <c r="D34">
        <v>1</v>
      </c>
      <c r="E34" t="s">
        <v>18</v>
      </c>
    </row>
    <row r="35" spans="1:5" x14ac:dyDescent="0.3">
      <c r="A35" s="7">
        <v>423</v>
      </c>
      <c r="B35">
        <v>12</v>
      </c>
      <c r="C35">
        <v>25</v>
      </c>
      <c r="D35">
        <v>7</v>
      </c>
      <c r="E35" t="s">
        <v>18</v>
      </c>
    </row>
    <row r="36" spans="1:5" x14ac:dyDescent="0.3">
      <c r="A36" s="7">
        <v>4160</v>
      </c>
      <c r="B36">
        <v>6</v>
      </c>
      <c r="C36">
        <v>15</v>
      </c>
      <c r="D36">
        <v>1</v>
      </c>
      <c r="E36" t="s">
        <v>17</v>
      </c>
    </row>
    <row r="37" spans="1:5" x14ac:dyDescent="0.3">
      <c r="A37" s="7">
        <v>1090</v>
      </c>
      <c r="B37">
        <v>16</v>
      </c>
      <c r="C37">
        <v>15</v>
      </c>
      <c r="D37">
        <v>3</v>
      </c>
      <c r="E37" t="s">
        <v>17</v>
      </c>
    </row>
    <row r="38" spans="1:5" x14ac:dyDescent="0.3">
      <c r="A38" s="7">
        <v>6460</v>
      </c>
      <c r="B38">
        <v>4</v>
      </c>
      <c r="C38">
        <v>40</v>
      </c>
      <c r="D38">
        <v>1</v>
      </c>
      <c r="E38" t="s">
        <v>15</v>
      </c>
    </row>
    <row r="39" spans="1:5" x14ac:dyDescent="0.3">
      <c r="A39" s="7">
        <v>332</v>
      </c>
      <c r="B39">
        <v>12</v>
      </c>
      <c r="C39">
        <v>40</v>
      </c>
      <c r="D39">
        <v>9</v>
      </c>
      <c r="E39" t="s">
        <v>19</v>
      </c>
    </row>
    <row r="40" spans="1:5" x14ac:dyDescent="0.3">
      <c r="A40" s="7">
        <v>1950</v>
      </c>
      <c r="B40">
        <v>5</v>
      </c>
      <c r="C40">
        <v>45</v>
      </c>
      <c r="D40">
        <v>3</v>
      </c>
      <c r="E40" t="s">
        <v>18</v>
      </c>
    </row>
    <row r="41" spans="1:5" x14ac:dyDescent="0.3">
      <c r="A41" s="7">
        <v>3880</v>
      </c>
      <c r="B41">
        <v>6</v>
      </c>
      <c r="C41">
        <v>40</v>
      </c>
      <c r="D41">
        <v>1</v>
      </c>
      <c r="E41" t="s">
        <v>20</v>
      </c>
    </row>
    <row r="42" spans="1:5" x14ac:dyDescent="0.3">
      <c r="A42" s="7">
        <v>1063</v>
      </c>
      <c r="B42">
        <v>4</v>
      </c>
      <c r="C42">
        <v>30</v>
      </c>
      <c r="D42">
        <v>6</v>
      </c>
      <c r="E42" t="s">
        <v>20</v>
      </c>
    </row>
    <row r="43" spans="1:5" x14ac:dyDescent="0.3">
      <c r="A43" s="7">
        <v>3660</v>
      </c>
      <c r="B43">
        <v>12</v>
      </c>
      <c r="C43">
        <v>10</v>
      </c>
      <c r="D43">
        <v>1</v>
      </c>
      <c r="E43" t="s">
        <v>20</v>
      </c>
    </row>
    <row r="44" spans="1:5" x14ac:dyDescent="0.3">
      <c r="A44" s="7">
        <v>2165</v>
      </c>
      <c r="B44">
        <v>11</v>
      </c>
      <c r="C44">
        <v>15</v>
      </c>
      <c r="D44">
        <v>2</v>
      </c>
      <c r="E44" t="s">
        <v>15</v>
      </c>
    </row>
    <row r="45" spans="1:5" x14ac:dyDescent="0.3">
      <c r="A45" s="7">
        <v>2000</v>
      </c>
      <c r="B45">
        <v>19</v>
      </c>
      <c r="C45">
        <v>0</v>
      </c>
      <c r="D45">
        <v>2</v>
      </c>
      <c r="E45" t="s">
        <v>17</v>
      </c>
    </row>
    <row r="46" spans="1:5" x14ac:dyDescent="0.3">
      <c r="A46" s="7">
        <v>3550</v>
      </c>
      <c r="B46">
        <v>8</v>
      </c>
      <c r="C46">
        <v>10</v>
      </c>
      <c r="D46">
        <v>1</v>
      </c>
      <c r="E46" t="s">
        <v>20</v>
      </c>
    </row>
    <row r="47" spans="1:5" x14ac:dyDescent="0.3">
      <c r="A47" s="7">
        <v>5530</v>
      </c>
      <c r="B47">
        <v>7</v>
      </c>
      <c r="C47">
        <v>35</v>
      </c>
      <c r="D47">
        <v>1</v>
      </c>
      <c r="E47" t="s">
        <v>18</v>
      </c>
    </row>
    <row r="48" spans="1:5" x14ac:dyDescent="0.3">
      <c r="A48" s="7">
        <v>1168</v>
      </c>
      <c r="B48">
        <v>5</v>
      </c>
      <c r="C48">
        <v>0</v>
      </c>
      <c r="D48">
        <v>5</v>
      </c>
      <c r="E48" t="s">
        <v>15</v>
      </c>
    </row>
    <row r="49" spans="1:5" x14ac:dyDescent="0.3">
      <c r="A49" s="7">
        <v>740</v>
      </c>
      <c r="B49">
        <v>0</v>
      </c>
      <c r="C49">
        <v>40</v>
      </c>
      <c r="D49">
        <v>4</v>
      </c>
      <c r="E49" t="s">
        <v>17</v>
      </c>
    </row>
    <row r="50" spans="1:5" x14ac:dyDescent="0.3">
      <c r="A50" s="7">
        <v>651</v>
      </c>
      <c r="B50">
        <v>7</v>
      </c>
      <c r="C50">
        <v>20</v>
      </c>
      <c r="D50">
        <v>10</v>
      </c>
      <c r="E50" t="s">
        <v>15</v>
      </c>
    </row>
    <row r="51" spans="1:5" x14ac:dyDescent="0.3">
      <c r="A51" s="7">
        <v>1055</v>
      </c>
      <c r="B51">
        <v>19</v>
      </c>
      <c r="C51">
        <v>45</v>
      </c>
      <c r="D51">
        <v>4</v>
      </c>
      <c r="E51" t="s">
        <v>20</v>
      </c>
    </row>
    <row r="52" spans="1:5" x14ac:dyDescent="0.3">
      <c r="A52" s="7">
        <v>900</v>
      </c>
      <c r="B52">
        <v>6</v>
      </c>
      <c r="C52">
        <v>20</v>
      </c>
      <c r="D52">
        <v>4</v>
      </c>
      <c r="E52" t="s">
        <v>15</v>
      </c>
    </row>
    <row r="53" spans="1:5" x14ac:dyDescent="0.3">
      <c r="A53" s="7">
        <v>2177</v>
      </c>
      <c r="B53">
        <v>6</v>
      </c>
      <c r="C53">
        <v>25</v>
      </c>
      <c r="D53">
        <v>3</v>
      </c>
      <c r="E53" t="s">
        <v>21</v>
      </c>
    </row>
    <row r="54" spans="1:5" x14ac:dyDescent="0.3">
      <c r="A54" s="7">
        <v>450</v>
      </c>
      <c r="B54">
        <v>20</v>
      </c>
      <c r="C54">
        <v>30</v>
      </c>
      <c r="D54">
        <v>10</v>
      </c>
      <c r="E54" t="s">
        <v>16</v>
      </c>
    </row>
    <row r="55" spans="1:5" x14ac:dyDescent="0.3">
      <c r="A55" s="7">
        <v>689</v>
      </c>
      <c r="B55">
        <v>7</v>
      </c>
      <c r="C55">
        <v>10</v>
      </c>
      <c r="D55">
        <v>9</v>
      </c>
      <c r="E55" t="s">
        <v>18</v>
      </c>
    </row>
    <row r="56" spans="1:5" x14ac:dyDescent="0.3">
      <c r="A56" s="7">
        <v>478</v>
      </c>
      <c r="B56">
        <v>9</v>
      </c>
      <c r="C56">
        <v>10</v>
      </c>
      <c r="D56">
        <v>8</v>
      </c>
      <c r="E56" t="s">
        <v>16</v>
      </c>
    </row>
    <row r="57" spans="1:5" x14ac:dyDescent="0.3">
      <c r="A57" s="7">
        <v>788</v>
      </c>
      <c r="B57">
        <v>9</v>
      </c>
      <c r="C57">
        <v>10</v>
      </c>
      <c r="D57">
        <v>5</v>
      </c>
      <c r="E57" t="s">
        <v>16</v>
      </c>
    </row>
    <row r="58" spans="1:5" x14ac:dyDescent="0.3">
      <c r="A58" s="7">
        <v>500</v>
      </c>
      <c r="B58">
        <v>7</v>
      </c>
      <c r="C58">
        <v>25</v>
      </c>
      <c r="D58">
        <v>9</v>
      </c>
      <c r="E58" t="s">
        <v>17</v>
      </c>
    </row>
    <row r="59" spans="1:5" x14ac:dyDescent="0.3">
      <c r="A59" s="7">
        <v>1347</v>
      </c>
      <c r="B59">
        <v>20</v>
      </c>
      <c r="C59">
        <v>45</v>
      </c>
      <c r="D59">
        <v>3</v>
      </c>
      <c r="E59" t="s">
        <v>16</v>
      </c>
    </row>
    <row r="60" spans="1:5" x14ac:dyDescent="0.3">
      <c r="A60" s="7">
        <v>4460</v>
      </c>
      <c r="B60">
        <v>18</v>
      </c>
      <c r="C60">
        <v>35</v>
      </c>
      <c r="D60">
        <v>1</v>
      </c>
      <c r="E60" t="s">
        <v>18</v>
      </c>
    </row>
    <row r="61" spans="1:5" x14ac:dyDescent="0.3">
      <c r="A61" s="7">
        <v>796.5</v>
      </c>
      <c r="B61">
        <v>9</v>
      </c>
      <c r="C61">
        <v>7</v>
      </c>
      <c r="D61">
        <v>7</v>
      </c>
      <c r="E61" t="s">
        <v>15</v>
      </c>
    </row>
    <row r="62" spans="1:5" x14ac:dyDescent="0.3">
      <c r="A62" s="7">
        <v>4210</v>
      </c>
      <c r="B62">
        <v>19</v>
      </c>
      <c r="C62">
        <v>20</v>
      </c>
      <c r="D62">
        <v>1</v>
      </c>
      <c r="E62" t="s">
        <v>15</v>
      </c>
    </row>
    <row r="63" spans="1:5" x14ac:dyDescent="0.3">
      <c r="A63" s="7">
        <v>460</v>
      </c>
      <c r="B63">
        <v>11</v>
      </c>
      <c r="C63">
        <v>40</v>
      </c>
      <c r="D63">
        <v>7</v>
      </c>
      <c r="E63" t="s">
        <v>20</v>
      </c>
    </row>
    <row r="64" spans="1:5" x14ac:dyDescent="0.3">
      <c r="A64" s="7">
        <v>1548</v>
      </c>
      <c r="B64">
        <v>17</v>
      </c>
      <c r="C64">
        <v>50</v>
      </c>
      <c r="D64">
        <v>4</v>
      </c>
      <c r="E64" t="s">
        <v>17</v>
      </c>
    </row>
    <row r="65" spans="1:5" x14ac:dyDescent="0.3">
      <c r="A65" s="7">
        <v>870</v>
      </c>
      <c r="B65">
        <v>18</v>
      </c>
      <c r="C65">
        <v>40</v>
      </c>
      <c r="D65">
        <v>6</v>
      </c>
      <c r="E65" t="s">
        <v>19</v>
      </c>
    </row>
    <row r="66" spans="1:5" x14ac:dyDescent="0.3">
      <c r="A66" s="7">
        <v>2950</v>
      </c>
      <c r="B66">
        <v>5</v>
      </c>
      <c r="C66">
        <v>50</v>
      </c>
      <c r="D66">
        <v>1</v>
      </c>
      <c r="E66" t="s">
        <v>15</v>
      </c>
    </row>
    <row r="67" spans="1:5" x14ac:dyDescent="0.3">
      <c r="A67" s="7">
        <v>6490</v>
      </c>
      <c r="B67">
        <v>9</v>
      </c>
      <c r="C67">
        <v>25</v>
      </c>
      <c r="D67">
        <v>1</v>
      </c>
      <c r="E67" t="s">
        <v>21</v>
      </c>
    </row>
    <row r="68" spans="1:5" x14ac:dyDescent="0.3">
      <c r="A68" s="7">
        <v>4480</v>
      </c>
      <c r="B68">
        <v>4</v>
      </c>
      <c r="C68">
        <v>40</v>
      </c>
      <c r="D68">
        <v>1</v>
      </c>
      <c r="E68" t="s">
        <v>15</v>
      </c>
    </row>
    <row r="69" spans="1:5" x14ac:dyDescent="0.3">
      <c r="A69" s="7">
        <v>6590</v>
      </c>
      <c r="B69">
        <v>19</v>
      </c>
      <c r="C69">
        <v>5</v>
      </c>
      <c r="D69">
        <v>1</v>
      </c>
      <c r="E69" t="s">
        <v>20</v>
      </c>
    </row>
    <row r="70" spans="1:5" x14ac:dyDescent="0.3">
      <c r="A70" s="7">
        <v>3380</v>
      </c>
      <c r="B70">
        <v>15</v>
      </c>
      <c r="C70">
        <v>50</v>
      </c>
      <c r="D70">
        <v>1</v>
      </c>
      <c r="E70" t="s">
        <v>21</v>
      </c>
    </row>
    <row r="71" spans="1:5" x14ac:dyDescent="0.3">
      <c r="A71" s="7">
        <v>1085</v>
      </c>
      <c r="B71">
        <v>6</v>
      </c>
      <c r="C71">
        <v>35</v>
      </c>
      <c r="D71">
        <v>6</v>
      </c>
      <c r="E71" t="s">
        <v>15</v>
      </c>
    </row>
    <row r="72" spans="1:5" x14ac:dyDescent="0.3">
      <c r="A72" s="7">
        <v>546</v>
      </c>
      <c r="B72">
        <v>19</v>
      </c>
      <c r="C72">
        <v>45</v>
      </c>
      <c r="D72">
        <v>9</v>
      </c>
      <c r="E72" t="s">
        <v>20</v>
      </c>
    </row>
    <row r="73" spans="1:5" x14ac:dyDescent="0.3">
      <c r="A73" s="7">
        <v>5900</v>
      </c>
      <c r="B73">
        <v>14</v>
      </c>
      <c r="C73">
        <v>45</v>
      </c>
      <c r="D73">
        <v>1</v>
      </c>
      <c r="E73" t="s">
        <v>20</v>
      </c>
    </row>
    <row r="74" spans="1:5" x14ac:dyDescent="0.3">
      <c r="A74" s="7">
        <v>5000</v>
      </c>
      <c r="B74">
        <v>14</v>
      </c>
      <c r="C74">
        <v>40</v>
      </c>
      <c r="D74">
        <v>1</v>
      </c>
      <c r="E74" t="s">
        <v>17</v>
      </c>
    </row>
    <row r="75" spans="1:5" x14ac:dyDescent="0.3">
      <c r="A75" s="7">
        <v>6980</v>
      </c>
      <c r="B75">
        <v>20</v>
      </c>
      <c r="C75">
        <v>15</v>
      </c>
      <c r="D75">
        <v>1</v>
      </c>
      <c r="E75" t="s">
        <v>16</v>
      </c>
    </row>
    <row r="76" spans="1:5" x14ac:dyDescent="0.3">
      <c r="A76" s="7">
        <v>1120</v>
      </c>
      <c r="B76">
        <v>7</v>
      </c>
      <c r="C76">
        <v>0</v>
      </c>
      <c r="D76">
        <v>6</v>
      </c>
      <c r="E76" t="s">
        <v>18</v>
      </c>
    </row>
    <row r="77" spans="1:5" x14ac:dyDescent="0.3">
      <c r="A77" s="7">
        <v>410</v>
      </c>
      <c r="B77">
        <v>7</v>
      </c>
      <c r="C77">
        <v>30</v>
      </c>
      <c r="D77">
        <v>10</v>
      </c>
      <c r="E77" t="s">
        <v>20</v>
      </c>
    </row>
    <row r="78" spans="1:5" x14ac:dyDescent="0.3">
      <c r="A78" s="7">
        <v>1098</v>
      </c>
      <c r="B78">
        <v>0</v>
      </c>
      <c r="C78">
        <v>15</v>
      </c>
      <c r="D78">
        <v>5</v>
      </c>
      <c r="E78" t="s">
        <v>15</v>
      </c>
    </row>
    <row r="79" spans="1:5" x14ac:dyDescent="0.3">
      <c r="A79" s="7">
        <v>696</v>
      </c>
      <c r="B79">
        <v>4</v>
      </c>
      <c r="C79">
        <v>40</v>
      </c>
      <c r="D79">
        <v>10</v>
      </c>
      <c r="E79" t="s">
        <v>21</v>
      </c>
    </row>
    <row r="80" spans="1:5" x14ac:dyDescent="0.3">
      <c r="A80" s="7">
        <v>860</v>
      </c>
      <c r="B80">
        <v>5</v>
      </c>
      <c r="C80">
        <v>15</v>
      </c>
      <c r="D80">
        <v>6</v>
      </c>
      <c r="E80" t="s">
        <v>19</v>
      </c>
    </row>
    <row r="81" spans="1:5" x14ac:dyDescent="0.3">
      <c r="A81" s="7">
        <v>6400</v>
      </c>
      <c r="B81">
        <v>3</v>
      </c>
      <c r="C81">
        <v>5</v>
      </c>
      <c r="D81">
        <v>1</v>
      </c>
      <c r="E81" t="s">
        <v>15</v>
      </c>
    </row>
    <row r="82" spans="1:5" x14ac:dyDescent="0.3">
      <c r="A82" s="7">
        <v>4590</v>
      </c>
      <c r="B82">
        <v>18</v>
      </c>
      <c r="C82">
        <v>5</v>
      </c>
      <c r="D82">
        <v>1</v>
      </c>
      <c r="E82" t="s">
        <v>15</v>
      </c>
    </row>
    <row r="83" spans="1:5" x14ac:dyDescent="0.3">
      <c r="A83" s="7">
        <v>505</v>
      </c>
      <c r="B83">
        <v>1</v>
      </c>
      <c r="C83">
        <v>50</v>
      </c>
      <c r="D83">
        <v>6</v>
      </c>
      <c r="E83" t="s">
        <v>19</v>
      </c>
    </row>
    <row r="84" spans="1:5" x14ac:dyDescent="0.3">
      <c r="A84" s="7">
        <v>4620</v>
      </c>
      <c r="B84">
        <v>0</v>
      </c>
      <c r="C84">
        <v>45</v>
      </c>
      <c r="D84">
        <v>1</v>
      </c>
      <c r="E84" t="s">
        <v>19</v>
      </c>
    </row>
    <row r="85" spans="1:5" x14ac:dyDescent="0.3">
      <c r="A85" s="7">
        <v>3810</v>
      </c>
      <c r="B85">
        <v>20</v>
      </c>
      <c r="C85">
        <v>30</v>
      </c>
      <c r="D85">
        <v>1</v>
      </c>
      <c r="E85" t="s">
        <v>20</v>
      </c>
    </row>
    <row r="86" spans="1:5" x14ac:dyDescent="0.3">
      <c r="A86" s="7">
        <v>1588</v>
      </c>
      <c r="B86">
        <v>3</v>
      </c>
      <c r="C86">
        <v>10</v>
      </c>
      <c r="D86">
        <v>4</v>
      </c>
      <c r="E86" t="s">
        <v>21</v>
      </c>
    </row>
    <row r="87" spans="1:5" x14ac:dyDescent="0.3">
      <c r="A87" s="7">
        <v>5730</v>
      </c>
      <c r="B87">
        <v>12</v>
      </c>
      <c r="C87">
        <v>50</v>
      </c>
      <c r="D87">
        <v>1</v>
      </c>
      <c r="E87" t="s">
        <v>21</v>
      </c>
    </row>
    <row r="88" spans="1:5" x14ac:dyDescent="0.3">
      <c r="A88" s="7">
        <v>909</v>
      </c>
      <c r="B88">
        <v>11</v>
      </c>
      <c r="C88">
        <v>45</v>
      </c>
      <c r="D88">
        <v>7</v>
      </c>
      <c r="E88" t="s">
        <v>16</v>
      </c>
    </row>
    <row r="89" spans="1:5" x14ac:dyDescent="0.3">
      <c r="A89" s="7">
        <v>968</v>
      </c>
      <c r="B89">
        <v>10</v>
      </c>
      <c r="C89">
        <v>5</v>
      </c>
      <c r="D89">
        <v>6</v>
      </c>
      <c r="E89" t="s">
        <v>15</v>
      </c>
    </row>
    <row r="90" spans="1:5" x14ac:dyDescent="0.3">
      <c r="A90" s="7">
        <v>691</v>
      </c>
      <c r="B90">
        <v>17</v>
      </c>
      <c r="C90">
        <v>5</v>
      </c>
      <c r="D90">
        <v>10</v>
      </c>
      <c r="E90" t="s">
        <v>16</v>
      </c>
    </row>
    <row r="91" spans="1:5" x14ac:dyDescent="0.3">
      <c r="A91" s="7">
        <v>555</v>
      </c>
      <c r="B91">
        <v>18</v>
      </c>
      <c r="C91">
        <v>5</v>
      </c>
      <c r="D91">
        <v>8</v>
      </c>
      <c r="E91" t="s">
        <v>19</v>
      </c>
    </row>
    <row r="92" spans="1:5" x14ac:dyDescent="0.3">
      <c r="A92" s="7">
        <v>4350</v>
      </c>
      <c r="B92">
        <v>2</v>
      </c>
      <c r="C92">
        <v>5</v>
      </c>
      <c r="D92">
        <v>1</v>
      </c>
      <c r="E92" t="s">
        <v>17</v>
      </c>
    </row>
    <row r="93" spans="1:5" x14ac:dyDescent="0.3">
      <c r="A93" s="7">
        <v>930</v>
      </c>
      <c r="B93">
        <v>2</v>
      </c>
      <c r="C93">
        <v>15</v>
      </c>
      <c r="D93">
        <v>5</v>
      </c>
      <c r="E93" t="s">
        <v>16</v>
      </c>
    </row>
    <row r="94" spans="1:5" x14ac:dyDescent="0.3">
      <c r="A94" s="7">
        <v>1907</v>
      </c>
      <c r="B94">
        <v>11</v>
      </c>
      <c r="C94">
        <v>45</v>
      </c>
      <c r="D94">
        <v>3</v>
      </c>
      <c r="E94" t="s">
        <v>20</v>
      </c>
    </row>
    <row r="95" spans="1:5" x14ac:dyDescent="0.3">
      <c r="A95" s="7">
        <v>393</v>
      </c>
      <c r="B95">
        <v>2</v>
      </c>
      <c r="C95">
        <v>20</v>
      </c>
      <c r="D95">
        <v>9</v>
      </c>
      <c r="E95" t="s">
        <v>18</v>
      </c>
    </row>
    <row r="96" spans="1:5" x14ac:dyDescent="0.3">
      <c r="A96" s="7">
        <v>5760</v>
      </c>
      <c r="B96">
        <v>14</v>
      </c>
      <c r="C96">
        <v>20</v>
      </c>
      <c r="D96">
        <v>1</v>
      </c>
      <c r="E96" t="s">
        <v>18</v>
      </c>
    </row>
    <row r="97" spans="1:5" x14ac:dyDescent="0.3">
      <c r="A97" s="7">
        <v>1807</v>
      </c>
      <c r="B97">
        <v>11</v>
      </c>
      <c r="C97">
        <v>15</v>
      </c>
      <c r="D97">
        <v>3</v>
      </c>
      <c r="E97" t="s">
        <v>19</v>
      </c>
    </row>
    <row r="98" spans="1:5" x14ac:dyDescent="0.3">
      <c r="A98" s="7">
        <v>1107</v>
      </c>
      <c r="B98">
        <v>15</v>
      </c>
      <c r="C98">
        <v>10</v>
      </c>
      <c r="D98">
        <v>3</v>
      </c>
      <c r="E98" t="s">
        <v>18</v>
      </c>
    </row>
    <row r="99" spans="1:5" x14ac:dyDescent="0.3">
      <c r="A99" s="7">
        <v>370</v>
      </c>
      <c r="B99">
        <v>15</v>
      </c>
      <c r="C99">
        <v>10</v>
      </c>
      <c r="D99">
        <v>9</v>
      </c>
      <c r="E99" t="s">
        <v>17</v>
      </c>
    </row>
    <row r="100" spans="1:5" x14ac:dyDescent="0.3">
      <c r="A100" s="7">
        <v>3275</v>
      </c>
      <c r="B100">
        <v>10</v>
      </c>
      <c r="C100">
        <v>45</v>
      </c>
      <c r="D100">
        <v>2</v>
      </c>
      <c r="E100" t="s">
        <v>21</v>
      </c>
    </row>
    <row r="101" spans="1:5" x14ac:dyDescent="0.3">
      <c r="A101" s="7">
        <v>5960</v>
      </c>
      <c r="B101">
        <v>15</v>
      </c>
      <c r="C101">
        <v>35</v>
      </c>
      <c r="D101">
        <v>1</v>
      </c>
      <c r="E101" t="s">
        <v>15</v>
      </c>
    </row>
    <row r="102" spans="1:5" x14ac:dyDescent="0.3">
      <c r="A102" s="7">
        <v>4650</v>
      </c>
      <c r="B102">
        <v>5</v>
      </c>
      <c r="C102">
        <v>35</v>
      </c>
      <c r="D102">
        <v>1</v>
      </c>
      <c r="E102" t="s">
        <v>20</v>
      </c>
    </row>
    <row r="103" spans="1:5" x14ac:dyDescent="0.3">
      <c r="A103" s="7">
        <v>435</v>
      </c>
      <c r="B103">
        <v>7</v>
      </c>
      <c r="C103">
        <v>35</v>
      </c>
      <c r="D103">
        <v>10</v>
      </c>
      <c r="E103" t="s">
        <v>17</v>
      </c>
    </row>
    <row r="104" spans="1:5" x14ac:dyDescent="0.3">
      <c r="A104" s="7">
        <v>736</v>
      </c>
      <c r="B104">
        <v>19</v>
      </c>
      <c r="C104">
        <v>15</v>
      </c>
      <c r="D104">
        <v>7</v>
      </c>
      <c r="E104" t="s">
        <v>16</v>
      </c>
    </row>
    <row r="105" spans="1:5" x14ac:dyDescent="0.3">
      <c r="A105" s="7">
        <v>4230</v>
      </c>
      <c r="B105">
        <v>20</v>
      </c>
      <c r="C105">
        <v>35</v>
      </c>
      <c r="D105">
        <v>1</v>
      </c>
      <c r="E105" t="s">
        <v>18</v>
      </c>
    </row>
    <row r="106" spans="1:5" x14ac:dyDescent="0.3">
      <c r="A106" s="7">
        <v>1303</v>
      </c>
      <c r="B106">
        <v>12</v>
      </c>
      <c r="C106">
        <v>15</v>
      </c>
      <c r="D106">
        <v>4</v>
      </c>
      <c r="E106" t="s">
        <v>21</v>
      </c>
    </row>
    <row r="107" spans="1:5" x14ac:dyDescent="0.3">
      <c r="A107" s="7">
        <v>6290</v>
      </c>
      <c r="B107">
        <v>4</v>
      </c>
      <c r="C107">
        <v>30</v>
      </c>
      <c r="D107">
        <v>1</v>
      </c>
      <c r="E107" t="s">
        <v>21</v>
      </c>
    </row>
    <row r="108" spans="1:5" x14ac:dyDescent="0.3">
      <c r="A108" s="7">
        <v>3900</v>
      </c>
      <c r="B108">
        <v>5</v>
      </c>
      <c r="C108">
        <v>10</v>
      </c>
      <c r="D108">
        <v>1</v>
      </c>
      <c r="E108" t="s">
        <v>17</v>
      </c>
    </row>
    <row r="109" spans="1:5" x14ac:dyDescent="0.3">
      <c r="A109" s="7">
        <v>4650</v>
      </c>
      <c r="B109">
        <v>8</v>
      </c>
      <c r="C109">
        <v>10</v>
      </c>
      <c r="D109">
        <v>1</v>
      </c>
      <c r="E109" t="s">
        <v>20</v>
      </c>
    </row>
    <row r="110" spans="1:5" x14ac:dyDescent="0.3">
      <c r="A110" s="7">
        <v>974</v>
      </c>
      <c r="B110">
        <v>15</v>
      </c>
      <c r="C110">
        <v>15</v>
      </c>
      <c r="D110">
        <v>5</v>
      </c>
      <c r="E110" t="s">
        <v>18</v>
      </c>
    </row>
    <row r="111" spans="1:5" x14ac:dyDescent="0.3">
      <c r="A111" s="7">
        <v>1300.75</v>
      </c>
      <c r="B111">
        <v>5</v>
      </c>
      <c r="C111">
        <v>5</v>
      </c>
      <c r="D111">
        <v>3</v>
      </c>
      <c r="E111" t="s">
        <v>16</v>
      </c>
    </row>
    <row r="112" spans="1:5" x14ac:dyDescent="0.3">
      <c r="A112" s="7">
        <v>4560</v>
      </c>
      <c r="B112">
        <v>3</v>
      </c>
      <c r="C112">
        <v>50</v>
      </c>
      <c r="D112">
        <v>1</v>
      </c>
      <c r="E112" t="s">
        <v>20</v>
      </c>
    </row>
    <row r="113" spans="1:5" x14ac:dyDescent="0.3">
      <c r="A113" s="7">
        <v>4690</v>
      </c>
      <c r="B113">
        <v>1</v>
      </c>
      <c r="C113">
        <v>45</v>
      </c>
      <c r="D113">
        <v>1</v>
      </c>
      <c r="E113" t="s">
        <v>19</v>
      </c>
    </row>
    <row r="114" spans="1:5" x14ac:dyDescent="0.3">
      <c r="A114" s="7">
        <v>3420</v>
      </c>
      <c r="B114">
        <v>9</v>
      </c>
      <c r="C114">
        <v>15</v>
      </c>
      <c r="D114">
        <v>1</v>
      </c>
      <c r="E114" t="s">
        <v>15</v>
      </c>
    </row>
    <row r="115" spans="1:5" x14ac:dyDescent="0.3">
      <c r="A115" s="7">
        <v>690</v>
      </c>
      <c r="B115">
        <v>7</v>
      </c>
      <c r="C115">
        <v>35</v>
      </c>
      <c r="D115">
        <v>8</v>
      </c>
      <c r="E115" t="s">
        <v>18</v>
      </c>
    </row>
    <row r="116" spans="1:5" x14ac:dyDescent="0.3">
      <c r="A116" s="7">
        <v>1070</v>
      </c>
      <c r="B116">
        <v>11</v>
      </c>
      <c r="C116">
        <v>35</v>
      </c>
      <c r="D116">
        <v>5</v>
      </c>
      <c r="E116" t="s">
        <v>17</v>
      </c>
    </row>
    <row r="117" spans="1:5" x14ac:dyDescent="0.3">
      <c r="A117" s="7">
        <v>1337</v>
      </c>
      <c r="B117">
        <v>0</v>
      </c>
      <c r="C117">
        <v>25</v>
      </c>
      <c r="D117">
        <v>3</v>
      </c>
      <c r="E117" t="s">
        <v>16</v>
      </c>
    </row>
    <row r="118" spans="1:5" x14ac:dyDescent="0.3">
      <c r="A118" s="7">
        <v>6330</v>
      </c>
      <c r="B118">
        <v>20</v>
      </c>
      <c r="C118">
        <v>10</v>
      </c>
      <c r="D118">
        <v>1</v>
      </c>
      <c r="E118" t="s">
        <v>15</v>
      </c>
    </row>
    <row r="119" spans="1:5" x14ac:dyDescent="0.3">
      <c r="A119" s="7">
        <v>5020</v>
      </c>
      <c r="B119">
        <v>9</v>
      </c>
      <c r="C119">
        <v>30</v>
      </c>
      <c r="D119">
        <v>1</v>
      </c>
      <c r="E119" t="s">
        <v>17</v>
      </c>
    </row>
    <row r="120" spans="1:5" x14ac:dyDescent="0.3">
      <c r="A120" s="7">
        <v>4980</v>
      </c>
      <c r="B120">
        <v>13</v>
      </c>
      <c r="C120">
        <v>0</v>
      </c>
      <c r="D120">
        <v>1</v>
      </c>
      <c r="E120" t="s">
        <v>18</v>
      </c>
    </row>
    <row r="121" spans="1:5" x14ac:dyDescent="0.3">
      <c r="A121" s="7">
        <v>615</v>
      </c>
      <c r="B121">
        <v>13</v>
      </c>
      <c r="C121">
        <v>40</v>
      </c>
      <c r="D121">
        <v>8</v>
      </c>
      <c r="E121" t="s">
        <v>17</v>
      </c>
    </row>
    <row r="122" spans="1:5" x14ac:dyDescent="0.3">
      <c r="A122" s="7">
        <v>730</v>
      </c>
      <c r="B122">
        <v>18</v>
      </c>
      <c r="C122">
        <v>5</v>
      </c>
      <c r="D122">
        <v>6</v>
      </c>
      <c r="E122" t="s">
        <v>17</v>
      </c>
    </row>
    <row r="123" spans="1:5" x14ac:dyDescent="0.3">
      <c r="A123" s="7">
        <v>349</v>
      </c>
      <c r="B123">
        <v>8</v>
      </c>
      <c r="C123">
        <v>10</v>
      </c>
      <c r="D123">
        <v>10</v>
      </c>
      <c r="E123" t="s">
        <v>15</v>
      </c>
    </row>
    <row r="124" spans="1:5" x14ac:dyDescent="0.3">
      <c r="A124" s="7">
        <v>2023</v>
      </c>
      <c r="B124">
        <v>5</v>
      </c>
      <c r="C124">
        <v>10</v>
      </c>
      <c r="D124">
        <v>3</v>
      </c>
      <c r="E124" t="s">
        <v>21</v>
      </c>
    </row>
    <row r="125" spans="1:5" x14ac:dyDescent="0.3">
      <c r="A125" s="7">
        <v>6520</v>
      </c>
      <c r="B125">
        <v>8</v>
      </c>
      <c r="C125">
        <v>25</v>
      </c>
      <c r="D125">
        <v>1</v>
      </c>
      <c r="E125" t="s">
        <v>18</v>
      </c>
    </row>
    <row r="126" spans="1:5" x14ac:dyDescent="0.3">
      <c r="A126" s="7">
        <v>3960</v>
      </c>
      <c r="B126">
        <v>8</v>
      </c>
      <c r="C126">
        <v>15</v>
      </c>
      <c r="D126">
        <v>1</v>
      </c>
      <c r="E126" t="s">
        <v>18</v>
      </c>
    </row>
    <row r="127" spans="1:5" x14ac:dyDescent="0.3">
      <c r="A127" s="7">
        <v>5220</v>
      </c>
      <c r="B127">
        <v>15</v>
      </c>
      <c r="C127">
        <v>15</v>
      </c>
      <c r="D127">
        <v>1</v>
      </c>
      <c r="E127" t="s">
        <v>19</v>
      </c>
    </row>
    <row r="128" spans="1:5" x14ac:dyDescent="0.3">
      <c r="A128" s="7">
        <v>6500</v>
      </c>
      <c r="B128">
        <v>2</v>
      </c>
      <c r="C128">
        <v>15</v>
      </c>
      <c r="D128">
        <v>1</v>
      </c>
      <c r="E128" t="s">
        <v>18</v>
      </c>
    </row>
    <row r="129" spans="1:5" x14ac:dyDescent="0.3">
      <c r="A129" s="7">
        <v>4530</v>
      </c>
      <c r="B129">
        <v>13</v>
      </c>
      <c r="C129">
        <v>50</v>
      </c>
      <c r="D129">
        <v>1</v>
      </c>
      <c r="E129" t="s">
        <v>15</v>
      </c>
    </row>
    <row r="130" spans="1:5" x14ac:dyDescent="0.3">
      <c r="A130" s="7">
        <v>5210</v>
      </c>
      <c r="B130">
        <v>14</v>
      </c>
      <c r="C130">
        <v>25</v>
      </c>
      <c r="D130">
        <v>1</v>
      </c>
      <c r="E130" t="s">
        <v>17</v>
      </c>
    </row>
    <row r="131" spans="1:5" x14ac:dyDescent="0.3">
      <c r="A131" s="7">
        <v>746</v>
      </c>
      <c r="B131">
        <v>13</v>
      </c>
      <c r="C131">
        <v>25</v>
      </c>
      <c r="D131">
        <v>8</v>
      </c>
      <c r="E131" t="s">
        <v>15</v>
      </c>
    </row>
    <row r="132" spans="1:5" x14ac:dyDescent="0.3">
      <c r="A132" s="7">
        <v>658</v>
      </c>
      <c r="B132">
        <v>1</v>
      </c>
      <c r="C132">
        <v>45</v>
      </c>
      <c r="D132">
        <v>10</v>
      </c>
      <c r="E132" t="s">
        <v>20</v>
      </c>
    </row>
    <row r="133" spans="1:5" x14ac:dyDescent="0.3">
      <c r="A133" s="7">
        <v>905</v>
      </c>
      <c r="B133">
        <v>5</v>
      </c>
      <c r="C133">
        <v>15</v>
      </c>
      <c r="D133">
        <v>4</v>
      </c>
      <c r="E133" t="s">
        <v>16</v>
      </c>
    </row>
    <row r="134" spans="1:5" x14ac:dyDescent="0.3">
      <c r="A134" s="7">
        <v>563</v>
      </c>
      <c r="B134">
        <v>3</v>
      </c>
      <c r="C134">
        <v>10</v>
      </c>
      <c r="D134">
        <v>9</v>
      </c>
      <c r="E134" t="s">
        <v>16</v>
      </c>
    </row>
    <row r="135" spans="1:5" x14ac:dyDescent="0.3">
      <c r="A135" s="7">
        <v>3620</v>
      </c>
      <c r="B135">
        <v>16</v>
      </c>
      <c r="C135">
        <v>40</v>
      </c>
      <c r="D135">
        <v>1</v>
      </c>
      <c r="E135" t="s">
        <v>17</v>
      </c>
    </row>
    <row r="136" spans="1:5" x14ac:dyDescent="0.3">
      <c r="A136" s="7">
        <v>2350</v>
      </c>
      <c r="B136">
        <v>12</v>
      </c>
      <c r="C136">
        <v>35</v>
      </c>
      <c r="D136">
        <v>2</v>
      </c>
      <c r="E136" t="s">
        <v>15</v>
      </c>
    </row>
    <row r="137" spans="1:5" x14ac:dyDescent="0.3">
      <c r="A137" s="7">
        <v>764</v>
      </c>
      <c r="B137">
        <v>4</v>
      </c>
      <c r="C137">
        <v>30</v>
      </c>
      <c r="D137">
        <v>8</v>
      </c>
      <c r="E137" t="s">
        <v>15</v>
      </c>
    </row>
    <row r="138" spans="1:5" x14ac:dyDescent="0.3">
      <c r="A138" s="7">
        <v>406</v>
      </c>
      <c r="B138">
        <v>10</v>
      </c>
      <c r="C138">
        <v>10</v>
      </c>
      <c r="D138">
        <v>10</v>
      </c>
      <c r="E138" t="s">
        <v>17</v>
      </c>
    </row>
    <row r="139" spans="1:5" x14ac:dyDescent="0.3">
      <c r="A139" s="7">
        <v>1123</v>
      </c>
      <c r="B139">
        <v>0</v>
      </c>
      <c r="C139">
        <v>25</v>
      </c>
      <c r="D139">
        <v>3</v>
      </c>
      <c r="E139" t="s">
        <v>16</v>
      </c>
    </row>
    <row r="140" spans="1:5" x14ac:dyDescent="0.3">
      <c r="A140" s="7">
        <v>1463</v>
      </c>
      <c r="B140">
        <v>9</v>
      </c>
      <c r="C140">
        <v>15</v>
      </c>
      <c r="D140">
        <v>4</v>
      </c>
      <c r="E140" t="s">
        <v>18</v>
      </c>
    </row>
    <row r="141" spans="1:5" x14ac:dyDescent="0.3">
      <c r="A141" s="7">
        <v>724</v>
      </c>
      <c r="B141">
        <v>20</v>
      </c>
      <c r="C141">
        <v>30</v>
      </c>
      <c r="D141">
        <v>7</v>
      </c>
      <c r="E141" t="s">
        <v>19</v>
      </c>
    </row>
    <row r="142" spans="1:5" x14ac:dyDescent="0.3">
      <c r="A142" s="7">
        <v>550</v>
      </c>
      <c r="B142">
        <v>17</v>
      </c>
      <c r="C142">
        <v>30</v>
      </c>
      <c r="D142">
        <v>10</v>
      </c>
      <c r="E142" t="s">
        <v>18</v>
      </c>
    </row>
    <row r="143" spans="1:5" x14ac:dyDescent="0.3">
      <c r="A143" s="7">
        <v>1807</v>
      </c>
      <c r="B143">
        <v>19</v>
      </c>
      <c r="C143">
        <v>50</v>
      </c>
      <c r="D143">
        <v>3</v>
      </c>
      <c r="E143" t="s">
        <v>19</v>
      </c>
    </row>
    <row r="144" spans="1:5" x14ac:dyDescent="0.3">
      <c r="A144" s="7">
        <v>1160</v>
      </c>
      <c r="B144">
        <v>5</v>
      </c>
      <c r="C144">
        <v>10</v>
      </c>
      <c r="D144">
        <v>3</v>
      </c>
      <c r="E144" t="s">
        <v>21</v>
      </c>
    </row>
    <row r="145" spans="1:5" x14ac:dyDescent="0.3">
      <c r="A145" s="7">
        <v>597</v>
      </c>
      <c r="B145">
        <v>2</v>
      </c>
      <c r="C145">
        <v>20</v>
      </c>
      <c r="D145">
        <v>7</v>
      </c>
      <c r="E145" t="s">
        <v>18</v>
      </c>
    </row>
    <row r="146" spans="1:5" x14ac:dyDescent="0.3">
      <c r="A146" s="7">
        <v>1270</v>
      </c>
      <c r="B146">
        <v>12</v>
      </c>
      <c r="C146">
        <v>35</v>
      </c>
      <c r="D146">
        <v>5</v>
      </c>
      <c r="E146" t="s">
        <v>21</v>
      </c>
    </row>
    <row r="147" spans="1:5" x14ac:dyDescent="0.3">
      <c r="A147" s="7">
        <v>6590</v>
      </c>
      <c r="B147">
        <v>20</v>
      </c>
      <c r="C147">
        <v>45</v>
      </c>
      <c r="D147">
        <v>1</v>
      </c>
      <c r="E147" t="s">
        <v>19</v>
      </c>
    </row>
    <row r="148" spans="1:5" x14ac:dyDescent="0.3">
      <c r="A148" s="7">
        <v>1056</v>
      </c>
      <c r="B148">
        <v>17</v>
      </c>
      <c r="C148">
        <v>50</v>
      </c>
      <c r="D148">
        <v>5</v>
      </c>
      <c r="E148" t="s">
        <v>15</v>
      </c>
    </row>
    <row r="149" spans="1:5" x14ac:dyDescent="0.3">
      <c r="A149" s="7">
        <v>6560</v>
      </c>
      <c r="B149">
        <v>7</v>
      </c>
      <c r="C149">
        <v>50</v>
      </c>
      <c r="D149">
        <v>1</v>
      </c>
      <c r="E149" t="s">
        <v>20</v>
      </c>
    </row>
    <row r="150" spans="1:5" x14ac:dyDescent="0.3">
      <c r="A150" s="7">
        <v>492</v>
      </c>
      <c r="B150">
        <v>16</v>
      </c>
      <c r="C150">
        <v>0</v>
      </c>
      <c r="D150">
        <v>10</v>
      </c>
      <c r="E150" t="s">
        <v>17</v>
      </c>
    </row>
    <row r="151" spans="1:5" x14ac:dyDescent="0.3">
      <c r="A151" s="7">
        <v>3075</v>
      </c>
      <c r="B151">
        <v>16</v>
      </c>
      <c r="C151">
        <v>15</v>
      </c>
      <c r="D151">
        <v>2</v>
      </c>
      <c r="E151" t="s">
        <v>21</v>
      </c>
    </row>
    <row r="152" spans="1:5" x14ac:dyDescent="0.3">
      <c r="A152" s="7">
        <v>920</v>
      </c>
      <c r="B152">
        <v>7</v>
      </c>
      <c r="C152">
        <v>0</v>
      </c>
      <c r="D152">
        <v>4</v>
      </c>
      <c r="E152" t="s">
        <v>21</v>
      </c>
    </row>
    <row r="153" spans="1:5" x14ac:dyDescent="0.3">
      <c r="A153" s="7">
        <v>637</v>
      </c>
      <c r="B153">
        <v>17</v>
      </c>
      <c r="C153">
        <v>35</v>
      </c>
      <c r="D153">
        <v>10</v>
      </c>
      <c r="E153" t="s">
        <v>16</v>
      </c>
    </row>
    <row r="154" spans="1:5" x14ac:dyDescent="0.3">
      <c r="A154" s="7">
        <v>5260</v>
      </c>
      <c r="B154">
        <v>16</v>
      </c>
      <c r="C154">
        <v>5</v>
      </c>
      <c r="D154">
        <v>1</v>
      </c>
      <c r="E154" t="s">
        <v>20</v>
      </c>
    </row>
    <row r="155" spans="1:5" x14ac:dyDescent="0.3">
      <c r="A155" s="7">
        <v>6400</v>
      </c>
      <c r="B155">
        <v>6</v>
      </c>
      <c r="C155">
        <v>10</v>
      </c>
      <c r="D155">
        <v>1</v>
      </c>
      <c r="E155" t="s">
        <v>20</v>
      </c>
    </row>
    <row r="156" spans="1:5" x14ac:dyDescent="0.3">
      <c r="A156" s="7">
        <v>1274</v>
      </c>
      <c r="B156">
        <v>4</v>
      </c>
      <c r="C156">
        <v>5</v>
      </c>
      <c r="D156">
        <v>5</v>
      </c>
      <c r="E156" t="s">
        <v>19</v>
      </c>
    </row>
    <row r="157" spans="1:5" x14ac:dyDescent="0.3">
      <c r="A157" s="7">
        <v>358</v>
      </c>
      <c r="B157">
        <v>7</v>
      </c>
      <c r="C157">
        <v>20</v>
      </c>
      <c r="D157">
        <v>10</v>
      </c>
      <c r="E157" t="s">
        <v>21</v>
      </c>
    </row>
    <row r="158" spans="1:5" x14ac:dyDescent="0.3">
      <c r="A158" s="7">
        <v>6790</v>
      </c>
      <c r="B158">
        <v>13</v>
      </c>
      <c r="C158">
        <v>45</v>
      </c>
      <c r="D158">
        <v>1</v>
      </c>
      <c r="E158" t="s">
        <v>19</v>
      </c>
    </row>
    <row r="159" spans="1:5" x14ac:dyDescent="0.3">
      <c r="A159" s="7">
        <v>1010</v>
      </c>
      <c r="B159">
        <v>6</v>
      </c>
      <c r="C159">
        <v>25</v>
      </c>
      <c r="D159">
        <v>3</v>
      </c>
      <c r="E159" t="s">
        <v>15</v>
      </c>
    </row>
    <row r="160" spans="1:5" x14ac:dyDescent="0.3">
      <c r="A160" s="7">
        <v>5100</v>
      </c>
      <c r="B160">
        <v>13</v>
      </c>
      <c r="C160">
        <v>45</v>
      </c>
      <c r="D160">
        <v>1</v>
      </c>
      <c r="E160" t="s">
        <v>20</v>
      </c>
    </row>
    <row r="161" spans="1:5" x14ac:dyDescent="0.3">
      <c r="A161" s="7">
        <v>447</v>
      </c>
      <c r="B161">
        <v>12</v>
      </c>
      <c r="C161">
        <v>25</v>
      </c>
      <c r="D161">
        <v>9</v>
      </c>
      <c r="E161" t="s">
        <v>19</v>
      </c>
    </row>
    <row r="162" spans="1:5" x14ac:dyDescent="0.3">
      <c r="A162" s="7">
        <v>3790</v>
      </c>
      <c r="B162">
        <v>2</v>
      </c>
      <c r="C162">
        <v>40</v>
      </c>
      <c r="D162">
        <v>1</v>
      </c>
      <c r="E162" t="s">
        <v>17</v>
      </c>
    </row>
    <row r="163" spans="1:5" x14ac:dyDescent="0.3">
      <c r="A163" s="7">
        <v>1320</v>
      </c>
      <c r="B163">
        <v>18</v>
      </c>
      <c r="C163">
        <v>25</v>
      </c>
      <c r="D163">
        <v>5</v>
      </c>
      <c r="E163" t="s">
        <v>20</v>
      </c>
    </row>
    <row r="164" spans="1:5" x14ac:dyDescent="0.3">
      <c r="A164" s="7">
        <v>808</v>
      </c>
      <c r="B164">
        <v>7</v>
      </c>
      <c r="C164">
        <v>45</v>
      </c>
      <c r="D164">
        <v>6</v>
      </c>
      <c r="E164" t="s">
        <v>20</v>
      </c>
    </row>
    <row r="165" spans="1:5" x14ac:dyDescent="0.3">
      <c r="A165" s="7">
        <v>1318</v>
      </c>
      <c r="B165">
        <v>16</v>
      </c>
      <c r="C165">
        <v>30</v>
      </c>
      <c r="D165">
        <v>5</v>
      </c>
      <c r="E165" t="s">
        <v>19</v>
      </c>
    </row>
    <row r="166" spans="1:5" x14ac:dyDescent="0.3">
      <c r="A166" s="7">
        <v>4690</v>
      </c>
      <c r="B166">
        <v>7</v>
      </c>
      <c r="C166">
        <v>0</v>
      </c>
      <c r="D166">
        <v>1</v>
      </c>
      <c r="E166" t="s">
        <v>21</v>
      </c>
    </row>
    <row r="167" spans="1:5" x14ac:dyDescent="0.3">
      <c r="A167" s="7">
        <v>401</v>
      </c>
      <c r="B167">
        <v>4</v>
      </c>
      <c r="C167">
        <v>50</v>
      </c>
      <c r="D167">
        <v>7</v>
      </c>
      <c r="E167" t="s">
        <v>21</v>
      </c>
    </row>
    <row r="168" spans="1:5" x14ac:dyDescent="0.3">
      <c r="A168" s="7">
        <v>420</v>
      </c>
      <c r="B168">
        <v>15</v>
      </c>
      <c r="C168">
        <v>10</v>
      </c>
      <c r="D168">
        <v>8</v>
      </c>
      <c r="E168" t="s">
        <v>19</v>
      </c>
    </row>
    <row r="169" spans="1:5" x14ac:dyDescent="0.3">
      <c r="A169" s="7">
        <v>5490</v>
      </c>
      <c r="B169">
        <v>10</v>
      </c>
      <c r="C169">
        <v>45</v>
      </c>
      <c r="D169">
        <v>1</v>
      </c>
      <c r="E169" t="s">
        <v>17</v>
      </c>
    </row>
    <row r="170" spans="1:5" x14ac:dyDescent="0.3">
      <c r="A170" s="7">
        <v>647</v>
      </c>
      <c r="B170">
        <v>17</v>
      </c>
      <c r="C170">
        <v>10</v>
      </c>
      <c r="D170">
        <v>9</v>
      </c>
      <c r="E170" t="s">
        <v>16</v>
      </c>
    </row>
    <row r="171" spans="1:5" x14ac:dyDescent="0.3">
      <c r="A171" s="7">
        <v>6240</v>
      </c>
      <c r="B171">
        <v>5</v>
      </c>
      <c r="C171">
        <v>50</v>
      </c>
      <c r="D171">
        <v>1</v>
      </c>
      <c r="E171" t="s">
        <v>17</v>
      </c>
    </row>
    <row r="172" spans="1:5" x14ac:dyDescent="0.3">
      <c r="A172" s="7">
        <v>677.1</v>
      </c>
      <c r="B172">
        <v>6</v>
      </c>
      <c r="C172">
        <v>45</v>
      </c>
      <c r="D172">
        <v>6</v>
      </c>
      <c r="E172" t="s">
        <v>17</v>
      </c>
    </row>
    <row r="173" spans="1:5" x14ac:dyDescent="0.3">
      <c r="A173" s="7">
        <v>1324</v>
      </c>
      <c r="B173">
        <v>1</v>
      </c>
      <c r="C173">
        <v>10</v>
      </c>
      <c r="D173">
        <v>5</v>
      </c>
      <c r="E173" t="s">
        <v>20</v>
      </c>
    </row>
    <row r="174" spans="1:5" x14ac:dyDescent="0.3">
      <c r="A174" s="7">
        <v>1525</v>
      </c>
      <c r="B174">
        <v>17</v>
      </c>
      <c r="C174">
        <v>20</v>
      </c>
      <c r="D174">
        <v>2</v>
      </c>
      <c r="E174" t="s">
        <v>21</v>
      </c>
    </row>
    <row r="175" spans="1:5" x14ac:dyDescent="0.3">
      <c r="A175" s="7">
        <v>4090</v>
      </c>
      <c r="B175">
        <v>9</v>
      </c>
      <c r="C175">
        <v>5</v>
      </c>
      <c r="D175">
        <v>1</v>
      </c>
      <c r="E175" t="s">
        <v>16</v>
      </c>
    </row>
    <row r="176" spans="1:5" x14ac:dyDescent="0.3">
      <c r="A176" s="7">
        <v>4050</v>
      </c>
      <c r="B176">
        <v>14</v>
      </c>
      <c r="C176">
        <v>50</v>
      </c>
      <c r="D176">
        <v>1</v>
      </c>
      <c r="E176" t="s">
        <v>17</v>
      </c>
    </row>
    <row r="177" spans="1:5" x14ac:dyDescent="0.3">
      <c r="A177" s="7">
        <v>371</v>
      </c>
      <c r="B177">
        <v>12</v>
      </c>
      <c r="C177">
        <v>50</v>
      </c>
      <c r="D177">
        <v>10</v>
      </c>
      <c r="E177" t="s">
        <v>15</v>
      </c>
    </row>
    <row r="178" spans="1:5" x14ac:dyDescent="0.3">
      <c r="A178" s="7">
        <v>1014</v>
      </c>
      <c r="B178">
        <v>3</v>
      </c>
      <c r="C178">
        <v>0</v>
      </c>
      <c r="D178">
        <v>5</v>
      </c>
      <c r="E178" t="s">
        <v>16</v>
      </c>
    </row>
    <row r="179" spans="1:5" x14ac:dyDescent="0.3">
      <c r="A179" s="7">
        <v>517</v>
      </c>
      <c r="B179">
        <v>12</v>
      </c>
      <c r="C179">
        <v>15</v>
      </c>
      <c r="D179">
        <v>10</v>
      </c>
      <c r="E179" t="s">
        <v>16</v>
      </c>
    </row>
    <row r="180" spans="1:5" x14ac:dyDescent="0.3">
      <c r="A180" s="7">
        <v>5340</v>
      </c>
      <c r="B180">
        <v>4</v>
      </c>
      <c r="C180">
        <v>30</v>
      </c>
      <c r="D180">
        <v>1</v>
      </c>
      <c r="E180" t="s">
        <v>16</v>
      </c>
    </row>
    <row r="181" spans="1:5" x14ac:dyDescent="0.3">
      <c r="A181" s="7">
        <v>589</v>
      </c>
      <c r="B181">
        <v>3</v>
      </c>
      <c r="C181">
        <v>15</v>
      </c>
      <c r="D181">
        <v>7</v>
      </c>
      <c r="E181" t="s">
        <v>16</v>
      </c>
    </row>
    <row r="182" spans="1:5" x14ac:dyDescent="0.3">
      <c r="A182" s="7">
        <v>6900</v>
      </c>
      <c r="B182">
        <v>2</v>
      </c>
      <c r="C182">
        <v>10</v>
      </c>
      <c r="D182">
        <v>1</v>
      </c>
      <c r="E182" t="s">
        <v>19</v>
      </c>
    </row>
    <row r="183" spans="1:5" x14ac:dyDescent="0.3">
      <c r="A183" s="7">
        <v>1963</v>
      </c>
      <c r="B183">
        <v>20</v>
      </c>
      <c r="C183">
        <v>45</v>
      </c>
      <c r="D183">
        <v>3</v>
      </c>
      <c r="E183" t="s">
        <v>15</v>
      </c>
    </row>
    <row r="184" spans="1:5" x14ac:dyDescent="0.3">
      <c r="A184" s="7">
        <v>3490</v>
      </c>
      <c r="B184">
        <v>16</v>
      </c>
      <c r="C184">
        <v>35</v>
      </c>
      <c r="D184">
        <v>1</v>
      </c>
      <c r="E184" t="s">
        <v>17</v>
      </c>
    </row>
    <row r="185" spans="1:5" x14ac:dyDescent="0.3">
      <c r="A185" s="7">
        <v>6690</v>
      </c>
      <c r="B185">
        <v>7</v>
      </c>
      <c r="C185">
        <v>50</v>
      </c>
      <c r="D185">
        <v>1</v>
      </c>
      <c r="E185" t="s">
        <v>19</v>
      </c>
    </row>
    <row r="186" spans="1:5" x14ac:dyDescent="0.3">
      <c r="A186" s="7">
        <v>3830</v>
      </c>
      <c r="B186">
        <v>4</v>
      </c>
      <c r="C186">
        <v>5</v>
      </c>
      <c r="D186">
        <v>1</v>
      </c>
      <c r="E186" t="s">
        <v>16</v>
      </c>
    </row>
    <row r="187" spans="1:5" x14ac:dyDescent="0.3">
      <c r="A187" s="7">
        <v>2095</v>
      </c>
      <c r="B187">
        <v>4</v>
      </c>
      <c r="C187">
        <v>15</v>
      </c>
      <c r="D187">
        <v>2</v>
      </c>
      <c r="E187" t="s">
        <v>18</v>
      </c>
    </row>
    <row r="188" spans="1:5" x14ac:dyDescent="0.3">
      <c r="A188" s="7">
        <v>410</v>
      </c>
      <c r="B188">
        <v>12</v>
      </c>
      <c r="C188">
        <v>10</v>
      </c>
      <c r="D188">
        <v>8</v>
      </c>
      <c r="E188" t="s">
        <v>20</v>
      </c>
    </row>
    <row r="189" spans="1:5" x14ac:dyDescent="0.3">
      <c r="A189" s="7">
        <v>3160</v>
      </c>
      <c r="B189">
        <v>8</v>
      </c>
      <c r="C189">
        <v>50</v>
      </c>
      <c r="D189">
        <v>1</v>
      </c>
      <c r="E189" t="s">
        <v>20</v>
      </c>
    </row>
    <row r="190" spans="1:5" x14ac:dyDescent="0.3">
      <c r="A190" s="7">
        <v>1174</v>
      </c>
      <c r="B190">
        <v>9</v>
      </c>
      <c r="C190">
        <v>35</v>
      </c>
      <c r="D190">
        <v>5</v>
      </c>
      <c r="E190" t="s">
        <v>21</v>
      </c>
    </row>
    <row r="191" spans="1:5" x14ac:dyDescent="0.3">
      <c r="A191" s="7">
        <v>5570</v>
      </c>
      <c r="B191">
        <v>10</v>
      </c>
      <c r="C191">
        <v>40</v>
      </c>
      <c r="D191">
        <v>1</v>
      </c>
      <c r="E191" t="s">
        <v>19</v>
      </c>
    </row>
    <row r="192" spans="1:5" x14ac:dyDescent="0.3">
      <c r="A192" s="7">
        <v>794</v>
      </c>
      <c r="B192">
        <v>16</v>
      </c>
      <c r="C192">
        <v>50</v>
      </c>
      <c r="D192">
        <v>7</v>
      </c>
      <c r="E192" t="s">
        <v>16</v>
      </c>
    </row>
    <row r="193" spans="1:5" x14ac:dyDescent="0.3">
      <c r="A193" s="7">
        <v>339</v>
      </c>
      <c r="B193">
        <v>19</v>
      </c>
      <c r="C193">
        <v>45</v>
      </c>
      <c r="D193">
        <v>9</v>
      </c>
      <c r="E193" t="s">
        <v>20</v>
      </c>
    </row>
    <row r="194" spans="1:5" x14ac:dyDescent="0.3">
      <c r="A194" s="7">
        <v>500</v>
      </c>
      <c r="B194">
        <v>11</v>
      </c>
      <c r="C194">
        <v>20</v>
      </c>
      <c r="D194">
        <v>6</v>
      </c>
      <c r="E194" t="s">
        <v>20</v>
      </c>
    </row>
    <row r="195" spans="1:5" x14ac:dyDescent="0.3">
      <c r="A195" s="7">
        <v>1186</v>
      </c>
      <c r="B195">
        <v>11</v>
      </c>
      <c r="C195">
        <v>10</v>
      </c>
      <c r="D195">
        <v>5</v>
      </c>
      <c r="E195" t="s">
        <v>17</v>
      </c>
    </row>
    <row r="196" spans="1:5" x14ac:dyDescent="0.3">
      <c r="A196" s="7">
        <v>1815</v>
      </c>
      <c r="B196">
        <v>5</v>
      </c>
      <c r="C196">
        <v>35</v>
      </c>
      <c r="D196">
        <v>2</v>
      </c>
      <c r="E196" t="s">
        <v>17</v>
      </c>
    </row>
    <row r="197" spans="1:5" x14ac:dyDescent="0.3">
      <c r="A197" s="7">
        <v>1236</v>
      </c>
      <c r="B197">
        <v>8</v>
      </c>
      <c r="C197">
        <v>15</v>
      </c>
      <c r="D197">
        <v>5</v>
      </c>
      <c r="E197" t="s">
        <v>16</v>
      </c>
    </row>
    <row r="198" spans="1:5" x14ac:dyDescent="0.3">
      <c r="A198" s="7">
        <v>324</v>
      </c>
      <c r="B198">
        <v>18</v>
      </c>
      <c r="C198">
        <v>30</v>
      </c>
      <c r="D198">
        <v>9</v>
      </c>
      <c r="E198" t="s">
        <v>16</v>
      </c>
    </row>
    <row r="199" spans="1:5" x14ac:dyDescent="0.3">
      <c r="A199" s="7">
        <v>504</v>
      </c>
      <c r="B199">
        <v>9</v>
      </c>
      <c r="C199">
        <v>20</v>
      </c>
      <c r="D199">
        <v>9</v>
      </c>
      <c r="E199" t="s">
        <v>20</v>
      </c>
    </row>
    <row r="200" spans="1:5" x14ac:dyDescent="0.3">
      <c r="A200" s="7">
        <v>475</v>
      </c>
      <c r="B200">
        <v>11</v>
      </c>
      <c r="C200">
        <v>40</v>
      </c>
      <c r="D200">
        <v>10</v>
      </c>
      <c r="E200" t="s">
        <v>20</v>
      </c>
    </row>
    <row r="201" spans="1:5" x14ac:dyDescent="0.3">
      <c r="A201" s="7">
        <v>360</v>
      </c>
      <c r="B201">
        <v>4</v>
      </c>
      <c r="C201">
        <v>35</v>
      </c>
      <c r="D201">
        <v>8</v>
      </c>
      <c r="E201" t="s">
        <v>17</v>
      </c>
    </row>
    <row r="202" spans="1:5" x14ac:dyDescent="0.3">
      <c r="A202" s="7">
        <v>1340</v>
      </c>
      <c r="B202">
        <v>0</v>
      </c>
      <c r="C202">
        <v>5</v>
      </c>
      <c r="D202">
        <v>5</v>
      </c>
      <c r="E202" t="s">
        <v>19</v>
      </c>
    </row>
    <row r="203" spans="1:5" x14ac:dyDescent="0.3">
      <c r="A203" s="7">
        <v>1067</v>
      </c>
      <c r="B203">
        <v>2</v>
      </c>
      <c r="C203">
        <v>30</v>
      </c>
      <c r="D203">
        <v>3</v>
      </c>
      <c r="E203" t="s">
        <v>21</v>
      </c>
    </row>
    <row r="204" spans="1:5" x14ac:dyDescent="0.3">
      <c r="A204" s="7">
        <v>4330</v>
      </c>
      <c r="B204">
        <v>7</v>
      </c>
      <c r="C204">
        <v>50</v>
      </c>
      <c r="D204">
        <v>1</v>
      </c>
      <c r="E204" t="s">
        <v>15</v>
      </c>
    </row>
    <row r="205" spans="1:5" x14ac:dyDescent="0.3">
      <c r="A205" s="7">
        <v>4170</v>
      </c>
      <c r="B205">
        <v>12</v>
      </c>
      <c r="C205">
        <v>35</v>
      </c>
      <c r="D205">
        <v>1</v>
      </c>
      <c r="E205" t="s">
        <v>18</v>
      </c>
    </row>
    <row r="206" spans="1:5" x14ac:dyDescent="0.3">
      <c r="A206" s="7">
        <v>1860</v>
      </c>
      <c r="B206">
        <v>8</v>
      </c>
      <c r="C206">
        <v>30</v>
      </c>
      <c r="D206">
        <v>3</v>
      </c>
      <c r="E206" t="s">
        <v>17</v>
      </c>
    </row>
    <row r="207" spans="1:5" x14ac:dyDescent="0.3">
      <c r="A207" s="7">
        <v>6550</v>
      </c>
      <c r="B207">
        <v>8</v>
      </c>
      <c r="C207">
        <v>30</v>
      </c>
      <c r="D207">
        <v>1</v>
      </c>
      <c r="E207" t="s">
        <v>19</v>
      </c>
    </row>
    <row r="208" spans="1:5" x14ac:dyDescent="0.3">
      <c r="A208" s="7">
        <v>6790</v>
      </c>
      <c r="B208">
        <v>13</v>
      </c>
      <c r="C208">
        <v>40</v>
      </c>
      <c r="D208">
        <v>1</v>
      </c>
      <c r="E208" t="s">
        <v>19</v>
      </c>
    </row>
    <row r="209" spans="1:5" x14ac:dyDescent="0.3">
      <c r="A209" s="7">
        <v>4600</v>
      </c>
      <c r="B209">
        <v>11</v>
      </c>
      <c r="C209">
        <v>30</v>
      </c>
      <c r="D209">
        <v>1</v>
      </c>
      <c r="E209" t="s">
        <v>16</v>
      </c>
    </row>
    <row r="210" spans="1:5" x14ac:dyDescent="0.3">
      <c r="A210" s="7">
        <v>5720</v>
      </c>
      <c r="B210">
        <v>15</v>
      </c>
      <c r="C210">
        <v>0</v>
      </c>
      <c r="D210">
        <v>1</v>
      </c>
      <c r="E210" t="s">
        <v>19</v>
      </c>
    </row>
    <row r="211" spans="1:5" x14ac:dyDescent="0.3">
      <c r="A211" s="7">
        <v>1102</v>
      </c>
      <c r="B211">
        <v>12</v>
      </c>
      <c r="C211">
        <v>10</v>
      </c>
      <c r="D211">
        <v>5</v>
      </c>
      <c r="E211" t="s">
        <v>15</v>
      </c>
    </row>
    <row r="212" spans="1:5" x14ac:dyDescent="0.3">
      <c r="A212" s="7">
        <v>999</v>
      </c>
      <c r="B212">
        <v>20</v>
      </c>
      <c r="C212">
        <v>50</v>
      </c>
      <c r="D212">
        <v>7</v>
      </c>
      <c r="E212" t="s">
        <v>17</v>
      </c>
    </row>
    <row r="213" spans="1:5" x14ac:dyDescent="0.3">
      <c r="A213" s="7">
        <v>5130</v>
      </c>
      <c r="B213">
        <v>17</v>
      </c>
      <c r="C213">
        <v>45</v>
      </c>
      <c r="D213">
        <v>1</v>
      </c>
      <c r="E213" t="s">
        <v>21</v>
      </c>
    </row>
    <row r="214" spans="1:5" x14ac:dyDescent="0.3">
      <c r="A214" s="7">
        <v>2115</v>
      </c>
      <c r="B214">
        <v>10</v>
      </c>
      <c r="C214">
        <v>50</v>
      </c>
      <c r="D214">
        <v>2</v>
      </c>
      <c r="E214" t="s">
        <v>17</v>
      </c>
    </row>
    <row r="215" spans="1:5" x14ac:dyDescent="0.3">
      <c r="A215" s="7">
        <v>1455</v>
      </c>
      <c r="B215">
        <v>13</v>
      </c>
      <c r="C215">
        <v>40</v>
      </c>
      <c r="D215">
        <v>4</v>
      </c>
      <c r="E215" t="s">
        <v>15</v>
      </c>
    </row>
    <row r="216" spans="1:5" x14ac:dyDescent="0.3">
      <c r="A216" s="7">
        <v>1138</v>
      </c>
      <c r="B216">
        <v>13</v>
      </c>
      <c r="C216">
        <v>10</v>
      </c>
      <c r="D216">
        <v>5</v>
      </c>
      <c r="E216" t="s">
        <v>20</v>
      </c>
    </row>
    <row r="217" spans="1:5" x14ac:dyDescent="0.3">
      <c r="A217" s="7">
        <v>490</v>
      </c>
      <c r="B217">
        <v>10</v>
      </c>
      <c r="C217">
        <v>30</v>
      </c>
      <c r="D217">
        <v>7</v>
      </c>
      <c r="E217" t="s">
        <v>19</v>
      </c>
    </row>
    <row r="218" spans="1:5" x14ac:dyDescent="0.3">
      <c r="A218" s="7">
        <v>2800</v>
      </c>
      <c r="B218">
        <v>7</v>
      </c>
      <c r="C218">
        <v>30</v>
      </c>
      <c r="D218">
        <v>2</v>
      </c>
      <c r="E218" t="s">
        <v>21</v>
      </c>
    </row>
    <row r="219" spans="1:5" x14ac:dyDescent="0.3">
      <c r="A219" s="7">
        <v>3770</v>
      </c>
      <c r="B219">
        <v>13</v>
      </c>
      <c r="C219">
        <v>5</v>
      </c>
      <c r="D219">
        <v>1</v>
      </c>
      <c r="E219" t="s">
        <v>20</v>
      </c>
    </row>
    <row r="220" spans="1:5" x14ac:dyDescent="0.3">
      <c r="A220" s="7">
        <v>917</v>
      </c>
      <c r="B220">
        <v>8</v>
      </c>
      <c r="C220">
        <v>5</v>
      </c>
      <c r="D220">
        <v>7</v>
      </c>
      <c r="E220" t="s">
        <v>20</v>
      </c>
    </row>
    <row r="221" spans="1:5" x14ac:dyDescent="0.3">
      <c r="A221" s="7">
        <v>776</v>
      </c>
      <c r="B221">
        <v>12</v>
      </c>
      <c r="C221">
        <v>20</v>
      </c>
      <c r="D221">
        <v>7</v>
      </c>
      <c r="E221" t="s">
        <v>16</v>
      </c>
    </row>
    <row r="222" spans="1:5" x14ac:dyDescent="0.3">
      <c r="A222" s="7">
        <v>5030</v>
      </c>
      <c r="B222">
        <v>9</v>
      </c>
      <c r="C222">
        <v>0</v>
      </c>
      <c r="D222">
        <v>1</v>
      </c>
      <c r="E222" t="s">
        <v>18</v>
      </c>
    </row>
    <row r="223" spans="1:5" x14ac:dyDescent="0.3">
      <c r="A223" s="7">
        <v>773</v>
      </c>
      <c r="B223">
        <v>9</v>
      </c>
      <c r="C223">
        <v>5</v>
      </c>
      <c r="D223">
        <v>8</v>
      </c>
      <c r="E223" t="s">
        <v>19</v>
      </c>
    </row>
    <row r="224" spans="1:5" x14ac:dyDescent="0.3">
      <c r="A224" s="7">
        <v>1727</v>
      </c>
      <c r="B224">
        <v>19</v>
      </c>
      <c r="C224">
        <v>25</v>
      </c>
      <c r="D224">
        <v>3</v>
      </c>
      <c r="E224" t="s">
        <v>18</v>
      </c>
    </row>
    <row r="225" spans="1:5" x14ac:dyDescent="0.3">
      <c r="A225" s="7">
        <v>1588</v>
      </c>
      <c r="B225">
        <v>6</v>
      </c>
      <c r="C225">
        <v>15</v>
      </c>
      <c r="D225">
        <v>4</v>
      </c>
      <c r="E225" t="s">
        <v>21</v>
      </c>
    </row>
    <row r="226" spans="1:5" x14ac:dyDescent="0.3">
      <c r="A226" s="7">
        <v>5340</v>
      </c>
      <c r="B226">
        <v>16</v>
      </c>
      <c r="C226">
        <v>30</v>
      </c>
      <c r="D226">
        <v>1</v>
      </c>
      <c r="E226" t="s">
        <v>20</v>
      </c>
    </row>
    <row r="227" spans="1:5" x14ac:dyDescent="0.3">
      <c r="A227" s="7">
        <v>424</v>
      </c>
      <c r="B227">
        <v>2</v>
      </c>
      <c r="C227">
        <v>15</v>
      </c>
      <c r="D227">
        <v>8</v>
      </c>
      <c r="E227" t="s">
        <v>18</v>
      </c>
    </row>
    <row r="228" spans="1:5" x14ac:dyDescent="0.3">
      <c r="A228" s="7">
        <v>2255</v>
      </c>
      <c r="B228">
        <v>9</v>
      </c>
      <c r="C228">
        <v>30</v>
      </c>
      <c r="D228">
        <v>2</v>
      </c>
      <c r="E228" t="s">
        <v>19</v>
      </c>
    </row>
    <row r="229" spans="1:5" x14ac:dyDescent="0.3">
      <c r="A229" s="7">
        <v>3280</v>
      </c>
      <c r="B229">
        <v>10</v>
      </c>
      <c r="C229">
        <v>20</v>
      </c>
      <c r="D229">
        <v>1</v>
      </c>
      <c r="E229" t="s">
        <v>20</v>
      </c>
    </row>
    <row r="230" spans="1:5" x14ac:dyDescent="0.3">
      <c r="A230" s="7">
        <v>1197</v>
      </c>
      <c r="B230">
        <v>14</v>
      </c>
      <c r="C230">
        <v>5</v>
      </c>
      <c r="D230">
        <v>3</v>
      </c>
      <c r="E230" t="s">
        <v>21</v>
      </c>
    </row>
    <row r="231" spans="1:5" x14ac:dyDescent="0.3">
      <c r="A231" s="7">
        <v>710.1</v>
      </c>
      <c r="B231">
        <v>2</v>
      </c>
      <c r="C231">
        <v>10</v>
      </c>
      <c r="D231">
        <v>5</v>
      </c>
      <c r="E231" t="s">
        <v>21</v>
      </c>
    </row>
    <row r="232" spans="1:5" x14ac:dyDescent="0.3">
      <c r="A232" s="7">
        <v>6320</v>
      </c>
      <c r="B232">
        <v>2</v>
      </c>
      <c r="C232">
        <v>50</v>
      </c>
      <c r="D232">
        <v>1</v>
      </c>
      <c r="E232" t="s">
        <v>21</v>
      </c>
    </row>
    <row r="233" spans="1:5" x14ac:dyDescent="0.3">
      <c r="A233" s="7">
        <v>5250</v>
      </c>
      <c r="B233">
        <v>2</v>
      </c>
      <c r="C233">
        <v>50</v>
      </c>
      <c r="D233">
        <v>1</v>
      </c>
      <c r="E233" t="s">
        <v>16</v>
      </c>
    </row>
    <row r="234" spans="1:5" x14ac:dyDescent="0.3">
      <c r="A234" s="7">
        <v>2005</v>
      </c>
      <c r="B234">
        <v>18</v>
      </c>
      <c r="C234">
        <v>45</v>
      </c>
      <c r="D234">
        <v>2</v>
      </c>
      <c r="E234" t="s">
        <v>20</v>
      </c>
    </row>
    <row r="235" spans="1:5" x14ac:dyDescent="0.3">
      <c r="A235" s="7">
        <v>973.3</v>
      </c>
      <c r="B235">
        <v>16</v>
      </c>
      <c r="C235">
        <v>35</v>
      </c>
      <c r="D235">
        <v>7</v>
      </c>
      <c r="E235" t="s">
        <v>20</v>
      </c>
    </row>
    <row r="236" spans="1:5" x14ac:dyDescent="0.3">
      <c r="A236" s="7">
        <v>1890</v>
      </c>
      <c r="B236">
        <v>0</v>
      </c>
      <c r="C236">
        <v>45</v>
      </c>
      <c r="D236">
        <v>3</v>
      </c>
      <c r="E236" t="s">
        <v>17</v>
      </c>
    </row>
    <row r="237" spans="1:5" x14ac:dyDescent="0.3">
      <c r="A237" s="7">
        <v>815</v>
      </c>
      <c r="B237">
        <v>8</v>
      </c>
      <c r="C237">
        <v>20</v>
      </c>
      <c r="D237">
        <v>8</v>
      </c>
      <c r="E237" t="s">
        <v>16</v>
      </c>
    </row>
    <row r="238" spans="1:5" x14ac:dyDescent="0.3">
      <c r="A238" s="7">
        <v>2960</v>
      </c>
      <c r="B238">
        <v>15</v>
      </c>
      <c r="C238">
        <v>20</v>
      </c>
      <c r="D238">
        <v>1</v>
      </c>
      <c r="E238" t="s">
        <v>20</v>
      </c>
    </row>
    <row r="239" spans="1:5" x14ac:dyDescent="0.3">
      <c r="A239" s="7">
        <v>5430</v>
      </c>
      <c r="B239">
        <v>19</v>
      </c>
      <c r="C239">
        <v>15</v>
      </c>
      <c r="D239">
        <v>1</v>
      </c>
      <c r="E239" t="s">
        <v>18</v>
      </c>
    </row>
    <row r="240" spans="1:5" x14ac:dyDescent="0.3">
      <c r="A240" s="7">
        <v>2115</v>
      </c>
      <c r="B240">
        <v>6</v>
      </c>
      <c r="C240">
        <v>45</v>
      </c>
      <c r="D240">
        <v>2</v>
      </c>
      <c r="E240" t="s">
        <v>17</v>
      </c>
    </row>
    <row r="241" spans="1:5" x14ac:dyDescent="0.3">
      <c r="A241" s="7">
        <v>1643</v>
      </c>
      <c r="B241">
        <v>1</v>
      </c>
      <c r="C241">
        <v>35</v>
      </c>
      <c r="D241">
        <v>3</v>
      </c>
      <c r="E241" t="s">
        <v>17</v>
      </c>
    </row>
    <row r="242" spans="1:5" x14ac:dyDescent="0.3">
      <c r="A242" s="7">
        <v>2320</v>
      </c>
      <c r="B242">
        <v>10</v>
      </c>
      <c r="C242">
        <v>25</v>
      </c>
      <c r="D242">
        <v>3</v>
      </c>
      <c r="E242" t="s">
        <v>16</v>
      </c>
    </row>
    <row r="243" spans="1:5" x14ac:dyDescent="0.3">
      <c r="A243" s="7">
        <v>1183</v>
      </c>
      <c r="B243">
        <v>19</v>
      </c>
      <c r="C243">
        <v>20</v>
      </c>
      <c r="D243">
        <v>4</v>
      </c>
      <c r="E243" t="s">
        <v>18</v>
      </c>
    </row>
    <row r="244" spans="1:5" x14ac:dyDescent="0.3">
      <c r="A244" s="7">
        <v>676</v>
      </c>
      <c r="B244">
        <v>11</v>
      </c>
      <c r="C244">
        <v>50</v>
      </c>
      <c r="D244">
        <v>7</v>
      </c>
      <c r="E244" t="s">
        <v>20</v>
      </c>
    </row>
    <row r="245" spans="1:5" x14ac:dyDescent="0.3">
      <c r="A245" s="7">
        <v>375</v>
      </c>
      <c r="B245">
        <v>0</v>
      </c>
      <c r="C245">
        <v>10</v>
      </c>
      <c r="D245">
        <v>10</v>
      </c>
      <c r="E245" t="s">
        <v>20</v>
      </c>
    </row>
    <row r="246" spans="1:5" x14ac:dyDescent="0.3">
      <c r="A246" s="7">
        <v>666</v>
      </c>
      <c r="B246">
        <v>18</v>
      </c>
      <c r="C246">
        <v>35</v>
      </c>
      <c r="D246">
        <v>9</v>
      </c>
      <c r="E246" t="s">
        <v>17</v>
      </c>
    </row>
    <row r="247" spans="1:5" x14ac:dyDescent="0.3">
      <c r="A247" s="7">
        <v>1020</v>
      </c>
      <c r="B247">
        <v>4</v>
      </c>
      <c r="C247">
        <v>50</v>
      </c>
      <c r="D247">
        <v>6</v>
      </c>
      <c r="E247" t="s">
        <v>15</v>
      </c>
    </row>
    <row r="248" spans="1:5" x14ac:dyDescent="0.3">
      <c r="A248" s="7">
        <v>705</v>
      </c>
      <c r="B248">
        <v>16</v>
      </c>
      <c r="C248">
        <v>30</v>
      </c>
      <c r="D248">
        <v>8</v>
      </c>
      <c r="E248" t="s">
        <v>16</v>
      </c>
    </row>
    <row r="249" spans="1:5" x14ac:dyDescent="0.3">
      <c r="A249" s="7">
        <v>676</v>
      </c>
      <c r="B249">
        <v>9</v>
      </c>
      <c r="C249">
        <v>0</v>
      </c>
      <c r="D249">
        <v>7</v>
      </c>
      <c r="E249" t="s">
        <v>19</v>
      </c>
    </row>
    <row r="250" spans="1:5" x14ac:dyDescent="0.3">
      <c r="A250" s="7">
        <v>560</v>
      </c>
      <c r="B250">
        <v>8</v>
      </c>
      <c r="C250">
        <v>30</v>
      </c>
      <c r="D250">
        <v>8</v>
      </c>
      <c r="E250" t="s">
        <v>15</v>
      </c>
    </row>
    <row r="251" spans="1:5" x14ac:dyDescent="0.3">
      <c r="A251" s="7">
        <v>1455</v>
      </c>
      <c r="B251">
        <v>17</v>
      </c>
      <c r="C251">
        <v>0</v>
      </c>
      <c r="D251">
        <v>4</v>
      </c>
      <c r="E251" t="s">
        <v>18</v>
      </c>
    </row>
    <row r="252" spans="1:5" x14ac:dyDescent="0.3">
      <c r="A252" s="7">
        <v>727</v>
      </c>
      <c r="B252">
        <v>14</v>
      </c>
      <c r="C252">
        <v>50</v>
      </c>
      <c r="D252">
        <v>6</v>
      </c>
      <c r="E252" t="s">
        <v>18</v>
      </c>
    </row>
    <row r="253" spans="1:5" x14ac:dyDescent="0.3">
      <c r="A253" s="7">
        <v>497</v>
      </c>
      <c r="B253">
        <v>13</v>
      </c>
      <c r="C253">
        <v>40</v>
      </c>
      <c r="D253">
        <v>9</v>
      </c>
      <c r="E253" t="s">
        <v>19</v>
      </c>
    </row>
    <row r="254" spans="1:5" x14ac:dyDescent="0.3">
      <c r="A254" s="7">
        <v>1113</v>
      </c>
      <c r="B254">
        <v>18</v>
      </c>
      <c r="C254">
        <v>20</v>
      </c>
      <c r="D254">
        <v>4</v>
      </c>
      <c r="E254" t="s">
        <v>21</v>
      </c>
    </row>
    <row r="255" spans="1:5" x14ac:dyDescent="0.3">
      <c r="A255" s="7">
        <v>6370</v>
      </c>
      <c r="B255">
        <v>0</v>
      </c>
      <c r="C255">
        <v>15</v>
      </c>
      <c r="D255">
        <v>1</v>
      </c>
      <c r="E255" t="s">
        <v>17</v>
      </c>
    </row>
    <row r="256" spans="1:5" x14ac:dyDescent="0.3">
      <c r="A256" s="7">
        <v>1268</v>
      </c>
      <c r="B256">
        <v>5</v>
      </c>
      <c r="C256">
        <v>0</v>
      </c>
      <c r="D256">
        <v>5</v>
      </c>
      <c r="E256" t="s">
        <v>15</v>
      </c>
    </row>
    <row r="257" spans="1:5" x14ac:dyDescent="0.3">
      <c r="A257" s="7">
        <v>5390</v>
      </c>
      <c r="B257">
        <v>9</v>
      </c>
      <c r="C257">
        <v>35</v>
      </c>
      <c r="D257">
        <v>1</v>
      </c>
      <c r="E257" t="s">
        <v>16</v>
      </c>
    </row>
    <row r="258" spans="1:5" x14ac:dyDescent="0.3">
      <c r="A258" s="7">
        <v>306</v>
      </c>
      <c r="B258">
        <v>13</v>
      </c>
      <c r="C258">
        <v>45</v>
      </c>
      <c r="D258">
        <v>9</v>
      </c>
      <c r="E258" t="s">
        <v>18</v>
      </c>
    </row>
    <row r="259" spans="1:5" x14ac:dyDescent="0.3">
      <c r="A259" s="7">
        <v>3530</v>
      </c>
      <c r="B259">
        <v>14</v>
      </c>
      <c r="C259">
        <v>25</v>
      </c>
      <c r="D259">
        <v>1</v>
      </c>
      <c r="E259" t="s">
        <v>16</v>
      </c>
    </row>
    <row r="260" spans="1:5" x14ac:dyDescent="0.3">
      <c r="A260" s="7">
        <v>5130</v>
      </c>
      <c r="B260">
        <v>19</v>
      </c>
      <c r="C260">
        <v>20</v>
      </c>
      <c r="D260">
        <v>1</v>
      </c>
      <c r="E260" t="s">
        <v>17</v>
      </c>
    </row>
    <row r="261" spans="1:5" x14ac:dyDescent="0.3">
      <c r="A261" s="7">
        <v>521</v>
      </c>
      <c r="B261">
        <v>7</v>
      </c>
      <c r="C261">
        <v>50</v>
      </c>
      <c r="D261">
        <v>7</v>
      </c>
      <c r="E261" t="s">
        <v>16</v>
      </c>
    </row>
    <row r="262" spans="1:5" x14ac:dyDescent="0.3">
      <c r="A262" s="7">
        <v>845</v>
      </c>
      <c r="B262">
        <v>13</v>
      </c>
      <c r="C262">
        <v>50</v>
      </c>
      <c r="D262">
        <v>8</v>
      </c>
      <c r="E262" t="s">
        <v>18</v>
      </c>
    </row>
    <row r="263" spans="1:5" x14ac:dyDescent="0.3">
      <c r="A263" s="7">
        <v>713</v>
      </c>
      <c r="B263">
        <v>16</v>
      </c>
      <c r="C263">
        <v>5</v>
      </c>
      <c r="D263">
        <v>9</v>
      </c>
      <c r="E263" t="s">
        <v>20</v>
      </c>
    </row>
    <row r="264" spans="1:5" x14ac:dyDescent="0.3">
      <c r="A264" s="7">
        <v>560</v>
      </c>
      <c r="B264">
        <v>16</v>
      </c>
      <c r="C264">
        <v>25</v>
      </c>
      <c r="D264">
        <v>9</v>
      </c>
      <c r="E264" t="s">
        <v>19</v>
      </c>
    </row>
    <row r="265" spans="1:5" x14ac:dyDescent="0.3">
      <c r="A265" s="7">
        <v>3000</v>
      </c>
      <c r="B265">
        <v>10</v>
      </c>
      <c r="C265">
        <v>30</v>
      </c>
      <c r="D265">
        <v>1</v>
      </c>
      <c r="E265" t="s">
        <v>20</v>
      </c>
    </row>
    <row r="266" spans="1:5" x14ac:dyDescent="0.3">
      <c r="A266" s="7">
        <v>651</v>
      </c>
      <c r="B266">
        <v>10</v>
      </c>
      <c r="C266">
        <v>25</v>
      </c>
      <c r="D266">
        <v>10</v>
      </c>
      <c r="E266" t="s">
        <v>19</v>
      </c>
    </row>
    <row r="267" spans="1:5" x14ac:dyDescent="0.3">
      <c r="A267" s="7">
        <v>5970</v>
      </c>
      <c r="B267">
        <v>7</v>
      </c>
      <c r="C267">
        <v>25</v>
      </c>
      <c r="D267">
        <v>1</v>
      </c>
      <c r="E267" t="s">
        <v>15</v>
      </c>
    </row>
    <row r="268" spans="1:5" x14ac:dyDescent="0.3">
      <c r="A268" s="7">
        <v>1423</v>
      </c>
      <c r="B268">
        <v>0</v>
      </c>
      <c r="C268">
        <v>15</v>
      </c>
      <c r="D268">
        <v>3</v>
      </c>
      <c r="E268" t="s">
        <v>18</v>
      </c>
    </row>
    <row r="269" spans="1:5" x14ac:dyDescent="0.3">
      <c r="A269" s="7">
        <v>5330</v>
      </c>
      <c r="B269">
        <v>10</v>
      </c>
      <c r="C269">
        <v>5</v>
      </c>
      <c r="D269">
        <v>1</v>
      </c>
      <c r="E269" t="s">
        <v>16</v>
      </c>
    </row>
    <row r="270" spans="1:5" x14ac:dyDescent="0.3">
      <c r="A270" s="7">
        <v>4730</v>
      </c>
      <c r="B270">
        <v>13</v>
      </c>
      <c r="C270">
        <v>15</v>
      </c>
      <c r="D270">
        <v>1</v>
      </c>
      <c r="E270" t="s">
        <v>20</v>
      </c>
    </row>
    <row r="271" spans="1:5" x14ac:dyDescent="0.3">
      <c r="A271" s="7">
        <v>789</v>
      </c>
      <c r="B271">
        <v>10</v>
      </c>
      <c r="C271">
        <v>40</v>
      </c>
      <c r="D271">
        <v>8</v>
      </c>
      <c r="E271" t="s">
        <v>15</v>
      </c>
    </row>
    <row r="272" spans="1:5" x14ac:dyDescent="0.3">
      <c r="A272" s="7">
        <v>773</v>
      </c>
      <c r="B272">
        <v>6</v>
      </c>
      <c r="C272">
        <v>45</v>
      </c>
      <c r="D272">
        <v>8</v>
      </c>
      <c r="E272" t="s">
        <v>18</v>
      </c>
    </row>
    <row r="273" spans="1:5" x14ac:dyDescent="0.3">
      <c r="A273" s="7">
        <v>6380</v>
      </c>
      <c r="B273">
        <v>14</v>
      </c>
      <c r="C273">
        <v>5</v>
      </c>
      <c r="D273">
        <v>1</v>
      </c>
      <c r="E273" t="s">
        <v>15</v>
      </c>
    </row>
    <row r="274" spans="1:5" x14ac:dyDescent="0.3">
      <c r="A274" s="7">
        <v>459</v>
      </c>
      <c r="B274">
        <v>13</v>
      </c>
      <c r="C274">
        <v>30</v>
      </c>
      <c r="D274">
        <v>10</v>
      </c>
      <c r="E274" t="s">
        <v>17</v>
      </c>
    </row>
    <row r="275" spans="1:5" x14ac:dyDescent="0.3">
      <c r="A275" s="7">
        <v>6360</v>
      </c>
      <c r="B275">
        <v>1</v>
      </c>
      <c r="C275">
        <v>20</v>
      </c>
      <c r="D275">
        <v>1</v>
      </c>
      <c r="E275" t="s">
        <v>16</v>
      </c>
    </row>
    <row r="276" spans="1:5" x14ac:dyDescent="0.3">
      <c r="A276" s="7">
        <v>3355</v>
      </c>
      <c r="B276">
        <v>14</v>
      </c>
      <c r="C276">
        <v>25</v>
      </c>
      <c r="D276">
        <v>2</v>
      </c>
      <c r="E276" t="s">
        <v>21</v>
      </c>
    </row>
    <row r="277" spans="1:5" x14ac:dyDescent="0.3">
      <c r="A277" s="7">
        <v>1200</v>
      </c>
      <c r="B277">
        <v>9</v>
      </c>
      <c r="C277">
        <v>10</v>
      </c>
      <c r="D277">
        <v>3</v>
      </c>
      <c r="E277" t="s">
        <v>21</v>
      </c>
    </row>
    <row r="278" spans="1:5" x14ac:dyDescent="0.3">
      <c r="A278" s="7">
        <v>763</v>
      </c>
      <c r="B278">
        <v>10</v>
      </c>
      <c r="C278">
        <v>25</v>
      </c>
      <c r="D278">
        <v>4</v>
      </c>
      <c r="E278" t="s">
        <v>19</v>
      </c>
    </row>
    <row r="279" spans="1:5" x14ac:dyDescent="0.3">
      <c r="A279" s="7">
        <v>3180</v>
      </c>
      <c r="B279">
        <v>8</v>
      </c>
      <c r="C279">
        <v>35</v>
      </c>
      <c r="D279">
        <v>1</v>
      </c>
      <c r="E279" t="s">
        <v>17</v>
      </c>
    </row>
    <row r="280" spans="1:5" x14ac:dyDescent="0.3">
      <c r="A280" s="7">
        <v>1013.3</v>
      </c>
      <c r="B280">
        <v>0</v>
      </c>
      <c r="C280">
        <v>35</v>
      </c>
      <c r="D280">
        <v>3</v>
      </c>
      <c r="E280" t="s">
        <v>21</v>
      </c>
    </row>
    <row r="281" spans="1:5" x14ac:dyDescent="0.3">
      <c r="A281" s="7">
        <v>5100</v>
      </c>
      <c r="B281">
        <v>9</v>
      </c>
      <c r="C281">
        <v>45</v>
      </c>
      <c r="D281">
        <v>1</v>
      </c>
      <c r="E281" t="s">
        <v>17</v>
      </c>
    </row>
    <row r="282" spans="1:5" x14ac:dyDescent="0.3">
      <c r="A282" s="7">
        <v>1657</v>
      </c>
      <c r="B282">
        <v>3</v>
      </c>
      <c r="C282">
        <v>20</v>
      </c>
      <c r="D282">
        <v>3</v>
      </c>
      <c r="E282" t="s">
        <v>18</v>
      </c>
    </row>
    <row r="283" spans="1:5" x14ac:dyDescent="0.3">
      <c r="A283" s="7">
        <v>5470</v>
      </c>
      <c r="B283">
        <v>15</v>
      </c>
      <c r="C283">
        <v>5</v>
      </c>
      <c r="D283">
        <v>1</v>
      </c>
      <c r="E283" t="s">
        <v>16</v>
      </c>
    </row>
    <row r="284" spans="1:5" x14ac:dyDescent="0.3">
      <c r="A284" s="7">
        <v>296</v>
      </c>
      <c r="B284">
        <v>20</v>
      </c>
      <c r="C284">
        <v>15</v>
      </c>
      <c r="D284">
        <v>10</v>
      </c>
      <c r="E284" t="s">
        <v>17</v>
      </c>
    </row>
    <row r="285" spans="1:5" x14ac:dyDescent="0.3">
      <c r="A285" s="7">
        <v>2313</v>
      </c>
      <c r="B285">
        <v>5</v>
      </c>
      <c r="C285">
        <v>25</v>
      </c>
      <c r="D285">
        <v>3</v>
      </c>
      <c r="E285" t="s">
        <v>18</v>
      </c>
    </row>
    <row r="286" spans="1:5" x14ac:dyDescent="0.3">
      <c r="A286" s="7">
        <v>4100</v>
      </c>
      <c r="B286">
        <v>14</v>
      </c>
      <c r="C286">
        <v>30</v>
      </c>
      <c r="D286">
        <v>1</v>
      </c>
      <c r="E286" t="s">
        <v>21</v>
      </c>
    </row>
    <row r="287" spans="1:5" x14ac:dyDescent="0.3">
      <c r="A287" s="7">
        <v>914</v>
      </c>
      <c r="B287">
        <v>8</v>
      </c>
      <c r="C287">
        <v>30</v>
      </c>
      <c r="D287">
        <v>7</v>
      </c>
      <c r="E287" t="s">
        <v>15</v>
      </c>
    </row>
    <row r="288" spans="1:5" x14ac:dyDescent="0.3">
      <c r="A288" s="7">
        <v>4920</v>
      </c>
      <c r="B288">
        <v>6</v>
      </c>
      <c r="C288">
        <v>25</v>
      </c>
      <c r="D288">
        <v>1</v>
      </c>
      <c r="E288" t="s">
        <v>19</v>
      </c>
    </row>
    <row r="289" spans="1:5" x14ac:dyDescent="0.3">
      <c r="A289" s="7">
        <v>574</v>
      </c>
      <c r="B289">
        <v>5</v>
      </c>
      <c r="C289">
        <v>40</v>
      </c>
      <c r="D289">
        <v>7</v>
      </c>
      <c r="E289" t="s">
        <v>15</v>
      </c>
    </row>
    <row r="290" spans="1:5" x14ac:dyDescent="0.3">
      <c r="A290" s="7">
        <v>1880</v>
      </c>
      <c r="B290">
        <v>8</v>
      </c>
      <c r="C290">
        <v>50</v>
      </c>
      <c r="D290">
        <v>3</v>
      </c>
      <c r="E290" t="s">
        <v>15</v>
      </c>
    </row>
    <row r="291" spans="1:5" x14ac:dyDescent="0.3">
      <c r="A291" s="7">
        <v>5090</v>
      </c>
      <c r="B291">
        <v>11</v>
      </c>
      <c r="C291">
        <v>0</v>
      </c>
      <c r="D291">
        <v>1</v>
      </c>
      <c r="E291" t="s">
        <v>20</v>
      </c>
    </row>
    <row r="292" spans="1:5" x14ac:dyDescent="0.3">
      <c r="A292" s="7">
        <v>2950</v>
      </c>
      <c r="B292">
        <v>10</v>
      </c>
      <c r="C292">
        <v>25</v>
      </c>
      <c r="D292">
        <v>1</v>
      </c>
      <c r="E292" t="s">
        <v>21</v>
      </c>
    </row>
    <row r="293" spans="1:5" x14ac:dyDescent="0.3">
      <c r="A293" s="7">
        <v>409</v>
      </c>
      <c r="B293">
        <v>12</v>
      </c>
      <c r="C293">
        <v>40</v>
      </c>
      <c r="D293">
        <v>10</v>
      </c>
      <c r="E293" t="s">
        <v>21</v>
      </c>
    </row>
    <row r="294" spans="1:5" x14ac:dyDescent="0.3">
      <c r="A294" s="7">
        <v>997</v>
      </c>
      <c r="B294">
        <v>2</v>
      </c>
      <c r="C294">
        <v>35</v>
      </c>
      <c r="D294">
        <v>3</v>
      </c>
      <c r="E294" t="s">
        <v>19</v>
      </c>
    </row>
    <row r="295" spans="1:5" x14ac:dyDescent="0.3">
      <c r="A295" s="7">
        <v>993</v>
      </c>
      <c r="B295">
        <v>19</v>
      </c>
      <c r="C295">
        <v>10</v>
      </c>
      <c r="D295">
        <v>6</v>
      </c>
      <c r="E295" t="s">
        <v>19</v>
      </c>
    </row>
    <row r="296" spans="1:5" x14ac:dyDescent="0.3">
      <c r="A296" s="7">
        <v>1017</v>
      </c>
      <c r="B296">
        <v>4</v>
      </c>
      <c r="C296">
        <v>5</v>
      </c>
      <c r="D296">
        <v>6</v>
      </c>
      <c r="E296" t="s">
        <v>20</v>
      </c>
    </row>
    <row r="297" spans="1:5" x14ac:dyDescent="0.3">
      <c r="A297" s="7">
        <v>683</v>
      </c>
      <c r="B297">
        <v>8</v>
      </c>
      <c r="C297">
        <v>5</v>
      </c>
      <c r="D297">
        <v>10</v>
      </c>
      <c r="E297" t="s">
        <v>20</v>
      </c>
    </row>
    <row r="298" spans="1:5" x14ac:dyDescent="0.3">
      <c r="A298" s="7">
        <v>880</v>
      </c>
      <c r="B298">
        <v>17</v>
      </c>
      <c r="C298">
        <v>10</v>
      </c>
      <c r="D298">
        <v>7</v>
      </c>
      <c r="E298" t="s">
        <v>20</v>
      </c>
    </row>
    <row r="299" spans="1:5" x14ac:dyDescent="0.3">
      <c r="A299" s="7">
        <v>576</v>
      </c>
      <c r="B299">
        <v>3</v>
      </c>
      <c r="C299">
        <v>20</v>
      </c>
      <c r="D299">
        <v>8</v>
      </c>
      <c r="E299" t="s">
        <v>19</v>
      </c>
    </row>
    <row r="300" spans="1:5" x14ac:dyDescent="0.3">
      <c r="A300" s="7">
        <v>281</v>
      </c>
      <c r="B300">
        <v>0</v>
      </c>
      <c r="C300">
        <v>50</v>
      </c>
      <c r="D300">
        <v>10</v>
      </c>
      <c r="E300" t="s">
        <v>19</v>
      </c>
    </row>
    <row r="301" spans="1:5" x14ac:dyDescent="0.3">
      <c r="A301" s="7">
        <v>434</v>
      </c>
      <c r="B301">
        <v>19</v>
      </c>
      <c r="C301">
        <v>15</v>
      </c>
      <c r="D301">
        <v>9</v>
      </c>
      <c r="E301" t="s">
        <v>15</v>
      </c>
    </row>
    <row r="302" spans="1:5" x14ac:dyDescent="0.3">
      <c r="A302" s="7">
        <v>1473</v>
      </c>
      <c r="B302">
        <v>1</v>
      </c>
      <c r="C302">
        <v>5</v>
      </c>
      <c r="D302">
        <v>4</v>
      </c>
      <c r="E302" t="s">
        <v>21</v>
      </c>
    </row>
    <row r="303" spans="1:5" x14ac:dyDescent="0.3">
      <c r="A303" s="7">
        <v>618</v>
      </c>
      <c r="B303">
        <v>4</v>
      </c>
      <c r="C303">
        <v>15</v>
      </c>
      <c r="D303">
        <v>9</v>
      </c>
      <c r="E303" t="s">
        <v>18</v>
      </c>
    </row>
    <row r="304" spans="1:5" x14ac:dyDescent="0.3">
      <c r="A304" s="7">
        <v>401.9</v>
      </c>
      <c r="B304">
        <v>13</v>
      </c>
      <c r="C304">
        <v>5</v>
      </c>
      <c r="D304">
        <v>10</v>
      </c>
      <c r="E304" t="s">
        <v>20</v>
      </c>
    </row>
    <row r="305" spans="1:5" x14ac:dyDescent="0.3">
      <c r="A305" s="7">
        <v>905</v>
      </c>
      <c r="B305">
        <v>2</v>
      </c>
      <c r="C305">
        <v>15</v>
      </c>
      <c r="D305">
        <v>4</v>
      </c>
      <c r="E305" t="s">
        <v>21</v>
      </c>
    </row>
    <row r="306" spans="1:5" x14ac:dyDescent="0.3">
      <c r="A306" s="7">
        <v>1900</v>
      </c>
      <c r="B306">
        <v>15</v>
      </c>
      <c r="C306">
        <v>0</v>
      </c>
      <c r="D306">
        <v>2</v>
      </c>
      <c r="E306" t="s">
        <v>15</v>
      </c>
    </row>
    <row r="307" spans="1:5" x14ac:dyDescent="0.3">
      <c r="A307" s="7">
        <v>2100</v>
      </c>
      <c r="B307">
        <v>17</v>
      </c>
      <c r="C307">
        <v>5</v>
      </c>
      <c r="D307">
        <v>2</v>
      </c>
      <c r="E307" t="s">
        <v>15</v>
      </c>
    </row>
    <row r="308" spans="1:5" x14ac:dyDescent="0.3">
      <c r="A308" s="7">
        <v>1847</v>
      </c>
      <c r="B308">
        <v>16</v>
      </c>
      <c r="C308">
        <v>15</v>
      </c>
      <c r="D308">
        <v>3</v>
      </c>
      <c r="E308" t="s">
        <v>17</v>
      </c>
    </row>
    <row r="309" spans="1:5" x14ac:dyDescent="0.3">
      <c r="A309" s="7">
        <v>3600</v>
      </c>
      <c r="B309">
        <v>12</v>
      </c>
      <c r="C309">
        <v>5</v>
      </c>
      <c r="D309">
        <v>1</v>
      </c>
      <c r="E309" t="s">
        <v>17</v>
      </c>
    </row>
    <row r="310" spans="1:5" x14ac:dyDescent="0.3">
      <c r="A310" s="7">
        <v>5880</v>
      </c>
      <c r="B310">
        <v>13</v>
      </c>
      <c r="C310">
        <v>25</v>
      </c>
      <c r="D310">
        <v>1</v>
      </c>
      <c r="E310" t="s">
        <v>18</v>
      </c>
    </row>
    <row r="311" spans="1:5" x14ac:dyDescent="0.3">
      <c r="A311" s="7">
        <v>5140</v>
      </c>
      <c r="B311">
        <v>13</v>
      </c>
      <c r="C311">
        <v>45</v>
      </c>
      <c r="D311">
        <v>1</v>
      </c>
      <c r="E311" t="s">
        <v>16</v>
      </c>
    </row>
    <row r="312" spans="1:5" x14ac:dyDescent="0.3">
      <c r="A312" s="7">
        <v>320</v>
      </c>
      <c r="B312">
        <v>19</v>
      </c>
      <c r="C312">
        <v>25</v>
      </c>
      <c r="D312">
        <v>9</v>
      </c>
      <c r="E312" t="s">
        <v>21</v>
      </c>
    </row>
    <row r="313" spans="1:5" x14ac:dyDescent="0.3">
      <c r="A313" s="7">
        <v>819</v>
      </c>
      <c r="B313">
        <v>12</v>
      </c>
      <c r="C313">
        <v>20</v>
      </c>
      <c r="D313">
        <v>7</v>
      </c>
      <c r="E313" t="s">
        <v>16</v>
      </c>
    </row>
    <row r="314" spans="1:5" x14ac:dyDescent="0.3">
      <c r="A314" s="7">
        <v>6370</v>
      </c>
      <c r="B314">
        <v>13</v>
      </c>
      <c r="C314">
        <v>45</v>
      </c>
      <c r="D314">
        <v>1</v>
      </c>
      <c r="E314" t="s">
        <v>20</v>
      </c>
    </row>
    <row r="315" spans="1:5" x14ac:dyDescent="0.3">
      <c r="A315" s="7">
        <v>4770</v>
      </c>
      <c r="B315">
        <v>3</v>
      </c>
      <c r="C315">
        <v>35</v>
      </c>
      <c r="D315">
        <v>1</v>
      </c>
      <c r="E315" t="s">
        <v>17</v>
      </c>
    </row>
    <row r="316" spans="1:5" x14ac:dyDescent="0.3">
      <c r="A316" s="7">
        <v>377</v>
      </c>
      <c r="B316">
        <v>20</v>
      </c>
      <c r="C316">
        <v>25</v>
      </c>
      <c r="D316">
        <v>9</v>
      </c>
      <c r="E316" t="s">
        <v>18</v>
      </c>
    </row>
    <row r="317" spans="1:5" x14ac:dyDescent="0.3">
      <c r="A317" s="7">
        <v>6690</v>
      </c>
      <c r="B317">
        <v>2</v>
      </c>
      <c r="C317">
        <v>20</v>
      </c>
      <c r="D317">
        <v>1</v>
      </c>
      <c r="E317" t="s">
        <v>16</v>
      </c>
    </row>
    <row r="318" spans="1:5" x14ac:dyDescent="0.3">
      <c r="A318" s="7">
        <v>2790</v>
      </c>
      <c r="B318">
        <v>16</v>
      </c>
      <c r="C318">
        <v>40</v>
      </c>
      <c r="D318">
        <v>1</v>
      </c>
      <c r="E318" t="s">
        <v>20</v>
      </c>
    </row>
    <row r="319" spans="1:5" x14ac:dyDescent="0.3">
      <c r="A319" s="7">
        <v>6090</v>
      </c>
      <c r="B319">
        <v>17</v>
      </c>
      <c r="C319">
        <v>50</v>
      </c>
      <c r="D319">
        <v>1</v>
      </c>
      <c r="E319" t="s">
        <v>19</v>
      </c>
    </row>
    <row r="320" spans="1:5" x14ac:dyDescent="0.3">
      <c r="A320" s="7">
        <v>1158</v>
      </c>
      <c r="B320">
        <v>14</v>
      </c>
      <c r="C320">
        <v>40</v>
      </c>
      <c r="D320">
        <v>4</v>
      </c>
      <c r="E320" t="s">
        <v>18</v>
      </c>
    </row>
    <row r="321" spans="1:5" x14ac:dyDescent="0.3">
      <c r="A321" s="7">
        <v>5440</v>
      </c>
      <c r="B321">
        <v>6</v>
      </c>
      <c r="C321">
        <v>30</v>
      </c>
      <c r="D321">
        <v>1</v>
      </c>
      <c r="E321" t="s">
        <v>17</v>
      </c>
    </row>
    <row r="322" spans="1:5" x14ac:dyDescent="0.3">
      <c r="A322" s="7">
        <v>471</v>
      </c>
      <c r="B322">
        <v>5</v>
      </c>
      <c r="C322">
        <v>35</v>
      </c>
      <c r="D322">
        <v>10</v>
      </c>
      <c r="E322" t="s">
        <v>20</v>
      </c>
    </row>
    <row r="323" spans="1:5" x14ac:dyDescent="0.3">
      <c r="A323" s="7">
        <v>340</v>
      </c>
      <c r="B323">
        <v>5</v>
      </c>
      <c r="C323">
        <v>10</v>
      </c>
      <c r="D323">
        <v>10</v>
      </c>
      <c r="E323" t="s">
        <v>15</v>
      </c>
    </row>
    <row r="324" spans="1:5" x14ac:dyDescent="0.3">
      <c r="A324" s="7">
        <v>1825</v>
      </c>
      <c r="B324">
        <v>19</v>
      </c>
      <c r="C324">
        <v>15</v>
      </c>
      <c r="D324">
        <v>2</v>
      </c>
      <c r="E324" t="s">
        <v>16</v>
      </c>
    </row>
    <row r="325" spans="1:5" x14ac:dyDescent="0.3">
      <c r="A325" s="7">
        <v>1510</v>
      </c>
      <c r="B325">
        <v>10</v>
      </c>
      <c r="C325">
        <v>20</v>
      </c>
      <c r="D325">
        <v>2</v>
      </c>
      <c r="E325" t="s">
        <v>15</v>
      </c>
    </row>
    <row r="326" spans="1:5" x14ac:dyDescent="0.3">
      <c r="A326" s="7">
        <v>1175</v>
      </c>
      <c r="B326">
        <v>14</v>
      </c>
      <c r="C326">
        <v>30</v>
      </c>
      <c r="D326">
        <v>4</v>
      </c>
      <c r="E326" t="s">
        <v>17</v>
      </c>
    </row>
    <row r="327" spans="1:5" x14ac:dyDescent="0.3">
      <c r="A327" s="7">
        <v>3780</v>
      </c>
      <c r="B327">
        <v>19</v>
      </c>
      <c r="C327">
        <v>15</v>
      </c>
      <c r="D327">
        <v>1</v>
      </c>
      <c r="E327" t="s">
        <v>18</v>
      </c>
    </row>
    <row r="328" spans="1:5" x14ac:dyDescent="0.3">
      <c r="A328" s="7">
        <v>2915</v>
      </c>
      <c r="B328">
        <v>15</v>
      </c>
      <c r="C328">
        <v>45</v>
      </c>
      <c r="D328">
        <v>2</v>
      </c>
      <c r="E328" t="s">
        <v>20</v>
      </c>
    </row>
    <row r="329" spans="1:5" x14ac:dyDescent="0.3">
      <c r="A329" s="7">
        <v>4220</v>
      </c>
      <c r="B329">
        <v>6</v>
      </c>
      <c r="C329">
        <v>50</v>
      </c>
      <c r="D329">
        <v>1</v>
      </c>
      <c r="E329" t="s">
        <v>17</v>
      </c>
    </row>
    <row r="330" spans="1:5" x14ac:dyDescent="0.3">
      <c r="A330" s="7">
        <v>552</v>
      </c>
      <c r="B330">
        <v>18</v>
      </c>
      <c r="C330">
        <v>25</v>
      </c>
      <c r="D330">
        <v>5</v>
      </c>
      <c r="E330" t="s">
        <v>19</v>
      </c>
    </row>
    <row r="331" spans="1:5" x14ac:dyDescent="0.3">
      <c r="A331" s="7">
        <v>6160</v>
      </c>
      <c r="B331">
        <v>5</v>
      </c>
      <c r="C331">
        <v>20</v>
      </c>
      <c r="D331">
        <v>1</v>
      </c>
      <c r="E331" t="s">
        <v>20</v>
      </c>
    </row>
    <row r="332" spans="1:5" x14ac:dyDescent="0.3">
      <c r="A332" s="7">
        <v>1437</v>
      </c>
      <c r="B332">
        <v>9</v>
      </c>
      <c r="C332">
        <v>40</v>
      </c>
      <c r="D332">
        <v>3</v>
      </c>
      <c r="E332" t="s">
        <v>20</v>
      </c>
    </row>
    <row r="333" spans="1:5" x14ac:dyDescent="0.3">
      <c r="A333" s="7">
        <v>952</v>
      </c>
      <c r="B333">
        <v>5</v>
      </c>
      <c r="C333">
        <v>45</v>
      </c>
      <c r="D333">
        <v>6</v>
      </c>
      <c r="E333" t="s">
        <v>19</v>
      </c>
    </row>
    <row r="334" spans="1:5" x14ac:dyDescent="0.3">
      <c r="A334" s="7">
        <v>404</v>
      </c>
      <c r="B334">
        <v>14</v>
      </c>
      <c r="C334">
        <v>20</v>
      </c>
      <c r="D334">
        <v>8</v>
      </c>
      <c r="E334" t="s">
        <v>18</v>
      </c>
    </row>
    <row r="335" spans="1:5" x14ac:dyDescent="0.3">
      <c r="A335" s="7">
        <v>828</v>
      </c>
      <c r="B335">
        <v>11</v>
      </c>
      <c r="C335">
        <v>40</v>
      </c>
      <c r="D335">
        <v>5</v>
      </c>
      <c r="E335" t="s">
        <v>15</v>
      </c>
    </row>
    <row r="336" spans="1:5" x14ac:dyDescent="0.3">
      <c r="A336" s="7">
        <v>906</v>
      </c>
      <c r="B336">
        <v>17</v>
      </c>
      <c r="C336">
        <v>35</v>
      </c>
      <c r="D336">
        <v>7</v>
      </c>
      <c r="E336" t="s">
        <v>20</v>
      </c>
    </row>
    <row r="337" spans="1:5" x14ac:dyDescent="0.3">
      <c r="A337" s="7">
        <v>981</v>
      </c>
      <c r="B337">
        <v>11</v>
      </c>
      <c r="C337">
        <v>0</v>
      </c>
      <c r="D337">
        <v>7</v>
      </c>
      <c r="E337" t="s">
        <v>18</v>
      </c>
    </row>
    <row r="338" spans="1:5" x14ac:dyDescent="0.3">
      <c r="A338" s="7">
        <v>1510</v>
      </c>
      <c r="B338">
        <v>20</v>
      </c>
      <c r="C338">
        <v>10</v>
      </c>
      <c r="D338">
        <v>3</v>
      </c>
      <c r="E338" t="s">
        <v>20</v>
      </c>
    </row>
    <row r="339" spans="1:5" x14ac:dyDescent="0.3">
      <c r="A339" s="7">
        <v>1563</v>
      </c>
      <c r="B339">
        <v>13</v>
      </c>
      <c r="C339">
        <v>35</v>
      </c>
      <c r="D339">
        <v>4</v>
      </c>
      <c r="E339" t="s">
        <v>19</v>
      </c>
    </row>
    <row r="340" spans="1:5" x14ac:dyDescent="0.3">
      <c r="A340" s="7">
        <v>531</v>
      </c>
      <c r="B340">
        <v>19</v>
      </c>
      <c r="C340">
        <v>10</v>
      </c>
      <c r="D340">
        <v>7</v>
      </c>
      <c r="E340" t="s">
        <v>17</v>
      </c>
    </row>
    <row r="341" spans="1:5" x14ac:dyDescent="0.3">
      <c r="A341" s="7">
        <v>839</v>
      </c>
      <c r="B341">
        <v>11</v>
      </c>
      <c r="C341">
        <v>20</v>
      </c>
      <c r="D341">
        <v>8</v>
      </c>
      <c r="E341" t="s">
        <v>16</v>
      </c>
    </row>
    <row r="342" spans="1:5" x14ac:dyDescent="0.3">
      <c r="A342" s="7">
        <v>3650</v>
      </c>
      <c r="B342">
        <v>6</v>
      </c>
      <c r="C342">
        <v>5</v>
      </c>
      <c r="D342">
        <v>1</v>
      </c>
      <c r="E342" t="s">
        <v>17</v>
      </c>
    </row>
    <row r="343" spans="1:5" x14ac:dyDescent="0.3">
      <c r="A343" s="7">
        <v>1100</v>
      </c>
      <c r="B343">
        <v>4</v>
      </c>
      <c r="C343">
        <v>5</v>
      </c>
      <c r="D343">
        <v>4</v>
      </c>
      <c r="E343" t="s">
        <v>15</v>
      </c>
    </row>
    <row r="344" spans="1:5" x14ac:dyDescent="0.3">
      <c r="A344" s="7">
        <v>584</v>
      </c>
      <c r="B344">
        <v>6</v>
      </c>
      <c r="C344">
        <v>10</v>
      </c>
      <c r="D344">
        <v>8</v>
      </c>
      <c r="E344" t="s">
        <v>16</v>
      </c>
    </row>
    <row r="345" spans="1:5" x14ac:dyDescent="0.3">
      <c r="A345" s="7">
        <v>5250</v>
      </c>
      <c r="B345">
        <v>16</v>
      </c>
      <c r="C345">
        <v>20</v>
      </c>
      <c r="D345">
        <v>1</v>
      </c>
      <c r="E345" t="s">
        <v>21</v>
      </c>
    </row>
    <row r="346" spans="1:5" x14ac:dyDescent="0.3">
      <c r="A346" s="7">
        <v>905</v>
      </c>
      <c r="B346">
        <v>11</v>
      </c>
      <c r="C346">
        <v>15</v>
      </c>
      <c r="D346">
        <v>4</v>
      </c>
      <c r="E346" t="s">
        <v>21</v>
      </c>
    </row>
    <row r="347" spans="1:5" x14ac:dyDescent="0.3">
      <c r="A347" s="7">
        <v>3800</v>
      </c>
      <c r="B347">
        <v>9</v>
      </c>
      <c r="C347">
        <v>35</v>
      </c>
      <c r="D347">
        <v>1</v>
      </c>
      <c r="E347" t="s">
        <v>19</v>
      </c>
    </row>
    <row r="348" spans="1:5" x14ac:dyDescent="0.3">
      <c r="A348" s="7">
        <v>2095</v>
      </c>
      <c r="B348">
        <v>9</v>
      </c>
      <c r="C348">
        <v>35</v>
      </c>
      <c r="D348">
        <v>2</v>
      </c>
      <c r="E348" t="s">
        <v>21</v>
      </c>
    </row>
    <row r="349" spans="1:5" x14ac:dyDescent="0.3">
      <c r="A349" s="7">
        <v>6890</v>
      </c>
      <c r="B349">
        <v>19</v>
      </c>
      <c r="C349">
        <v>0</v>
      </c>
      <c r="D349">
        <v>1</v>
      </c>
      <c r="E349" t="s">
        <v>15</v>
      </c>
    </row>
    <row r="350" spans="1:5" x14ac:dyDescent="0.3">
      <c r="A350" s="7">
        <v>1117</v>
      </c>
      <c r="B350">
        <v>10</v>
      </c>
      <c r="C350">
        <v>45</v>
      </c>
      <c r="D350">
        <v>3</v>
      </c>
      <c r="E350" t="s">
        <v>19</v>
      </c>
    </row>
    <row r="351" spans="1:5" x14ac:dyDescent="0.3">
      <c r="A351" s="7">
        <v>5900</v>
      </c>
      <c r="B351">
        <v>11</v>
      </c>
      <c r="C351">
        <v>15</v>
      </c>
      <c r="D351">
        <v>1</v>
      </c>
      <c r="E351" t="s">
        <v>17</v>
      </c>
    </row>
    <row r="352" spans="1:5" x14ac:dyDescent="0.3">
      <c r="A352" s="7">
        <v>3240</v>
      </c>
      <c r="B352">
        <v>18</v>
      </c>
      <c r="C352">
        <v>15</v>
      </c>
      <c r="D352">
        <v>2</v>
      </c>
      <c r="E352" t="s">
        <v>19</v>
      </c>
    </row>
    <row r="353" spans="1:5" x14ac:dyDescent="0.3">
      <c r="A353" s="7">
        <v>1530</v>
      </c>
      <c r="B353">
        <v>6</v>
      </c>
      <c r="C353">
        <v>0</v>
      </c>
      <c r="D353">
        <v>3</v>
      </c>
      <c r="E353" t="s">
        <v>15</v>
      </c>
    </row>
    <row r="354" spans="1:5" x14ac:dyDescent="0.3">
      <c r="A354" s="7">
        <v>388</v>
      </c>
      <c r="B354">
        <v>18</v>
      </c>
      <c r="C354">
        <v>30</v>
      </c>
      <c r="D354">
        <v>8</v>
      </c>
      <c r="E354" t="s">
        <v>16</v>
      </c>
    </row>
    <row r="355" spans="1:5" x14ac:dyDescent="0.3">
      <c r="A355" s="7">
        <v>3360</v>
      </c>
      <c r="B355">
        <v>3</v>
      </c>
      <c r="C355">
        <v>30</v>
      </c>
      <c r="D355">
        <v>1</v>
      </c>
      <c r="E355" t="s">
        <v>19</v>
      </c>
    </row>
    <row r="356" spans="1:5" x14ac:dyDescent="0.3">
      <c r="A356" s="7">
        <v>608</v>
      </c>
      <c r="B356">
        <v>19</v>
      </c>
      <c r="C356">
        <v>10</v>
      </c>
      <c r="D356">
        <v>9</v>
      </c>
      <c r="E356" t="s">
        <v>20</v>
      </c>
    </row>
    <row r="357" spans="1:5" x14ac:dyDescent="0.3">
      <c r="A357" s="7">
        <v>904</v>
      </c>
      <c r="B357">
        <v>9</v>
      </c>
      <c r="C357">
        <v>25</v>
      </c>
      <c r="D357">
        <v>7</v>
      </c>
      <c r="E357" t="s">
        <v>16</v>
      </c>
    </row>
    <row r="358" spans="1:5" x14ac:dyDescent="0.3">
      <c r="A358" s="7">
        <v>1028</v>
      </c>
      <c r="B358">
        <v>11</v>
      </c>
      <c r="C358">
        <v>5</v>
      </c>
      <c r="D358">
        <v>6</v>
      </c>
      <c r="E358" t="s">
        <v>17</v>
      </c>
    </row>
    <row r="359" spans="1:5" x14ac:dyDescent="0.3">
      <c r="A359" s="7">
        <v>6790</v>
      </c>
      <c r="B359">
        <v>5</v>
      </c>
      <c r="C359">
        <v>10</v>
      </c>
      <c r="D359">
        <v>1</v>
      </c>
      <c r="E359" t="s">
        <v>15</v>
      </c>
    </row>
    <row r="360" spans="1:5" x14ac:dyDescent="0.3">
      <c r="A360" s="7">
        <v>852</v>
      </c>
      <c r="B360">
        <v>18</v>
      </c>
      <c r="C360">
        <v>45</v>
      </c>
      <c r="D360">
        <v>5</v>
      </c>
      <c r="E360" t="s">
        <v>19</v>
      </c>
    </row>
    <row r="361" spans="1:5" x14ac:dyDescent="0.3">
      <c r="A361" s="7">
        <v>918</v>
      </c>
      <c r="B361">
        <v>5</v>
      </c>
      <c r="C361">
        <v>10</v>
      </c>
      <c r="D361">
        <v>6</v>
      </c>
      <c r="E361" t="s">
        <v>21</v>
      </c>
    </row>
    <row r="362" spans="1:5" x14ac:dyDescent="0.3">
      <c r="A362" s="7">
        <v>1527</v>
      </c>
      <c r="B362">
        <v>10</v>
      </c>
      <c r="C362">
        <v>45</v>
      </c>
      <c r="D362">
        <v>3</v>
      </c>
      <c r="E362" t="s">
        <v>16</v>
      </c>
    </row>
    <row r="363" spans="1:5" x14ac:dyDescent="0.3">
      <c r="A363" s="7">
        <v>6640</v>
      </c>
      <c r="B363">
        <v>18</v>
      </c>
      <c r="C363">
        <v>35</v>
      </c>
      <c r="D363">
        <v>1</v>
      </c>
      <c r="E363" t="s">
        <v>20</v>
      </c>
    </row>
    <row r="364" spans="1:5" x14ac:dyDescent="0.3">
      <c r="A364" s="7">
        <v>3200</v>
      </c>
      <c r="B364">
        <v>1</v>
      </c>
      <c r="C364">
        <v>25</v>
      </c>
      <c r="D364">
        <v>1</v>
      </c>
      <c r="E364" t="s">
        <v>21</v>
      </c>
    </row>
    <row r="365" spans="1:5" x14ac:dyDescent="0.3">
      <c r="A365" s="7">
        <v>6310</v>
      </c>
      <c r="B365">
        <v>6</v>
      </c>
      <c r="C365">
        <v>30</v>
      </c>
      <c r="D365">
        <v>1</v>
      </c>
      <c r="E365" t="s">
        <v>20</v>
      </c>
    </row>
    <row r="366" spans="1:5" x14ac:dyDescent="0.3">
      <c r="A366" s="7">
        <v>403</v>
      </c>
      <c r="B366">
        <v>20</v>
      </c>
      <c r="C366">
        <v>20</v>
      </c>
      <c r="D366">
        <v>8</v>
      </c>
      <c r="E366" t="s">
        <v>21</v>
      </c>
    </row>
    <row r="367" spans="1:5" x14ac:dyDescent="0.3">
      <c r="A367" s="7">
        <v>648</v>
      </c>
      <c r="B367">
        <v>18</v>
      </c>
      <c r="C367">
        <v>30</v>
      </c>
      <c r="D367">
        <v>9</v>
      </c>
      <c r="E367" t="s">
        <v>17</v>
      </c>
    </row>
    <row r="368" spans="1:5" x14ac:dyDescent="0.3">
      <c r="A368" s="7">
        <v>4930</v>
      </c>
      <c r="B368">
        <v>10</v>
      </c>
      <c r="C368">
        <v>10</v>
      </c>
      <c r="D368">
        <v>1</v>
      </c>
      <c r="E368" t="s">
        <v>18</v>
      </c>
    </row>
    <row r="369" spans="1:5" x14ac:dyDescent="0.3">
      <c r="A369" s="7">
        <v>496</v>
      </c>
      <c r="B369">
        <v>17</v>
      </c>
      <c r="C369">
        <v>35</v>
      </c>
      <c r="D369">
        <v>10</v>
      </c>
      <c r="E369" t="s">
        <v>15</v>
      </c>
    </row>
    <row r="370" spans="1:5" x14ac:dyDescent="0.3">
      <c r="A370" s="7">
        <v>1338</v>
      </c>
      <c r="B370">
        <v>20</v>
      </c>
      <c r="C370">
        <v>30</v>
      </c>
      <c r="D370">
        <v>4</v>
      </c>
      <c r="E370" t="s">
        <v>18</v>
      </c>
    </row>
    <row r="371" spans="1:5" x14ac:dyDescent="0.3">
      <c r="A371" s="7">
        <v>4190</v>
      </c>
      <c r="B371">
        <v>13</v>
      </c>
      <c r="C371">
        <v>0</v>
      </c>
      <c r="D371">
        <v>1</v>
      </c>
      <c r="E371" t="s">
        <v>19</v>
      </c>
    </row>
    <row r="372" spans="1:5" x14ac:dyDescent="0.3">
      <c r="A372" s="7">
        <v>610</v>
      </c>
      <c r="B372">
        <v>17</v>
      </c>
      <c r="C372">
        <v>0</v>
      </c>
      <c r="D372">
        <v>10</v>
      </c>
      <c r="E372" t="s">
        <v>15</v>
      </c>
    </row>
    <row r="373" spans="1:5" x14ac:dyDescent="0.3">
      <c r="A373" s="7">
        <v>5220</v>
      </c>
      <c r="B373">
        <v>0</v>
      </c>
      <c r="C373">
        <v>15</v>
      </c>
      <c r="D373">
        <v>1</v>
      </c>
      <c r="E373" t="s">
        <v>21</v>
      </c>
    </row>
    <row r="374" spans="1:5" x14ac:dyDescent="0.3">
      <c r="A374" s="7">
        <v>457</v>
      </c>
      <c r="B374">
        <v>7</v>
      </c>
      <c r="C374">
        <v>20</v>
      </c>
      <c r="D374">
        <v>9</v>
      </c>
      <c r="E374" t="s">
        <v>17</v>
      </c>
    </row>
    <row r="375" spans="1:5" x14ac:dyDescent="0.3">
      <c r="A375" s="7">
        <v>991</v>
      </c>
      <c r="B375">
        <v>18</v>
      </c>
      <c r="C375">
        <v>5</v>
      </c>
      <c r="D375">
        <v>7</v>
      </c>
      <c r="E375" t="s">
        <v>21</v>
      </c>
    </row>
    <row r="376" spans="1:5" x14ac:dyDescent="0.3">
      <c r="A376" s="7">
        <v>1083</v>
      </c>
      <c r="B376">
        <v>2</v>
      </c>
      <c r="C376">
        <v>35</v>
      </c>
      <c r="D376">
        <v>3</v>
      </c>
      <c r="E376" t="s">
        <v>21</v>
      </c>
    </row>
    <row r="377" spans="1:5" x14ac:dyDescent="0.3">
      <c r="A377" s="7">
        <v>380</v>
      </c>
      <c r="B377">
        <v>20</v>
      </c>
      <c r="C377">
        <v>10</v>
      </c>
      <c r="D377">
        <v>8</v>
      </c>
      <c r="E377" t="s">
        <v>16</v>
      </c>
    </row>
    <row r="378" spans="1:5" x14ac:dyDescent="0.3">
      <c r="A378" s="7">
        <v>849</v>
      </c>
      <c r="B378">
        <v>13</v>
      </c>
      <c r="C378">
        <v>50</v>
      </c>
      <c r="D378">
        <v>8</v>
      </c>
      <c r="E378" t="s">
        <v>15</v>
      </c>
    </row>
    <row r="379" spans="1:5" x14ac:dyDescent="0.3">
      <c r="A379" s="7">
        <v>1453</v>
      </c>
      <c r="B379">
        <v>5</v>
      </c>
      <c r="C379">
        <v>50</v>
      </c>
      <c r="D379">
        <v>3</v>
      </c>
      <c r="E379" t="s">
        <v>15</v>
      </c>
    </row>
    <row r="380" spans="1:5" x14ac:dyDescent="0.3">
      <c r="A380" s="7">
        <v>4060</v>
      </c>
      <c r="B380">
        <v>5</v>
      </c>
      <c r="C380">
        <v>30</v>
      </c>
      <c r="D380">
        <v>1</v>
      </c>
      <c r="E380" t="s">
        <v>18</v>
      </c>
    </row>
    <row r="381" spans="1:5" x14ac:dyDescent="0.3">
      <c r="A381" s="7">
        <v>997</v>
      </c>
      <c r="B381">
        <v>11</v>
      </c>
      <c r="C381">
        <v>10</v>
      </c>
      <c r="D381">
        <v>6</v>
      </c>
      <c r="E381" t="s">
        <v>16</v>
      </c>
    </row>
    <row r="382" spans="1:5" x14ac:dyDescent="0.3">
      <c r="A382" s="7">
        <v>3445</v>
      </c>
      <c r="B382">
        <v>10</v>
      </c>
      <c r="C382">
        <v>50</v>
      </c>
      <c r="D382">
        <v>2</v>
      </c>
      <c r="E382" t="s">
        <v>21</v>
      </c>
    </row>
    <row r="383" spans="1:5" x14ac:dyDescent="0.3">
      <c r="A383" s="7">
        <v>1158</v>
      </c>
      <c r="B383">
        <v>12</v>
      </c>
      <c r="C383">
        <v>25</v>
      </c>
      <c r="D383">
        <v>5</v>
      </c>
      <c r="E383" t="s">
        <v>20</v>
      </c>
    </row>
    <row r="384" spans="1:5" x14ac:dyDescent="0.3">
      <c r="A384" s="7">
        <v>3250</v>
      </c>
      <c r="B384">
        <v>10</v>
      </c>
      <c r="C384">
        <v>15</v>
      </c>
      <c r="D384">
        <v>1</v>
      </c>
      <c r="E384" t="s">
        <v>18</v>
      </c>
    </row>
    <row r="385" spans="1:5" x14ac:dyDescent="0.3">
      <c r="A385" s="7">
        <v>6940</v>
      </c>
      <c r="B385">
        <v>18</v>
      </c>
      <c r="C385">
        <v>35</v>
      </c>
      <c r="D385">
        <v>1</v>
      </c>
      <c r="E385" t="s">
        <v>21</v>
      </c>
    </row>
    <row r="386" spans="1:5" x14ac:dyDescent="0.3">
      <c r="A386" s="7">
        <v>2725</v>
      </c>
      <c r="B386">
        <v>11</v>
      </c>
      <c r="C386">
        <v>45</v>
      </c>
      <c r="D386">
        <v>2</v>
      </c>
      <c r="E386" t="s">
        <v>18</v>
      </c>
    </row>
    <row r="387" spans="1:5" x14ac:dyDescent="0.3">
      <c r="A387" s="7">
        <v>6000</v>
      </c>
      <c r="B387">
        <v>19</v>
      </c>
      <c r="C387">
        <v>15</v>
      </c>
      <c r="D387">
        <v>1</v>
      </c>
      <c r="E387" t="s">
        <v>20</v>
      </c>
    </row>
    <row r="388" spans="1:5" x14ac:dyDescent="0.3">
      <c r="A388" s="7">
        <v>628</v>
      </c>
      <c r="B388">
        <v>12</v>
      </c>
      <c r="C388">
        <v>15</v>
      </c>
      <c r="D388">
        <v>8</v>
      </c>
      <c r="E388" t="s">
        <v>21</v>
      </c>
    </row>
    <row r="389" spans="1:5" x14ac:dyDescent="0.3">
      <c r="A389" s="7">
        <v>3250</v>
      </c>
      <c r="B389">
        <v>17</v>
      </c>
      <c r="C389">
        <v>10</v>
      </c>
      <c r="D389">
        <v>2</v>
      </c>
      <c r="E389" t="s">
        <v>16</v>
      </c>
    </row>
    <row r="390" spans="1:5" x14ac:dyDescent="0.3">
      <c r="A390" s="7">
        <v>469</v>
      </c>
      <c r="B390">
        <v>15</v>
      </c>
      <c r="C390">
        <v>15</v>
      </c>
      <c r="D390">
        <v>7</v>
      </c>
      <c r="E390" t="s">
        <v>15</v>
      </c>
    </row>
    <row r="391" spans="1:5" x14ac:dyDescent="0.3">
      <c r="A391" s="7">
        <v>5590</v>
      </c>
      <c r="B391">
        <v>13</v>
      </c>
      <c r="C391">
        <v>0</v>
      </c>
      <c r="D391">
        <v>1</v>
      </c>
      <c r="E391" t="s">
        <v>16</v>
      </c>
    </row>
    <row r="392" spans="1:5" x14ac:dyDescent="0.3">
      <c r="A392" s="7">
        <v>1680</v>
      </c>
      <c r="B392">
        <v>10</v>
      </c>
      <c r="C392">
        <v>35</v>
      </c>
      <c r="D392">
        <v>4</v>
      </c>
      <c r="E392" t="s">
        <v>20</v>
      </c>
    </row>
    <row r="393" spans="1:5" x14ac:dyDescent="0.3">
      <c r="A393" s="7">
        <v>526</v>
      </c>
      <c r="B393">
        <v>16</v>
      </c>
      <c r="C393">
        <v>45</v>
      </c>
      <c r="D393">
        <v>7</v>
      </c>
      <c r="E393" t="s">
        <v>15</v>
      </c>
    </row>
    <row r="394" spans="1:5" x14ac:dyDescent="0.3">
      <c r="A394" s="7">
        <v>4240</v>
      </c>
      <c r="B394">
        <v>1</v>
      </c>
      <c r="C394">
        <v>40</v>
      </c>
      <c r="D394">
        <v>1</v>
      </c>
      <c r="E394" t="s">
        <v>21</v>
      </c>
    </row>
    <row r="395" spans="1:5" x14ac:dyDescent="0.3">
      <c r="A395" s="7">
        <v>622</v>
      </c>
      <c r="B395">
        <v>10</v>
      </c>
      <c r="C395">
        <v>10</v>
      </c>
      <c r="D395">
        <v>10</v>
      </c>
      <c r="E395" t="s">
        <v>16</v>
      </c>
    </row>
    <row r="396" spans="1:5" x14ac:dyDescent="0.3">
      <c r="A396" s="7">
        <v>372</v>
      </c>
      <c r="B396">
        <v>15</v>
      </c>
      <c r="C396">
        <v>40</v>
      </c>
      <c r="D396">
        <v>9</v>
      </c>
      <c r="E396" t="s">
        <v>16</v>
      </c>
    </row>
    <row r="397" spans="1:5" x14ac:dyDescent="0.3">
      <c r="A397" s="7">
        <v>509</v>
      </c>
      <c r="B397">
        <v>4</v>
      </c>
      <c r="C397">
        <v>10</v>
      </c>
      <c r="D397">
        <v>10</v>
      </c>
      <c r="E397" t="s">
        <v>20</v>
      </c>
    </row>
    <row r="398" spans="1:5" x14ac:dyDescent="0.3">
      <c r="A398" s="7">
        <v>1228</v>
      </c>
      <c r="B398">
        <v>0</v>
      </c>
      <c r="C398">
        <v>5</v>
      </c>
      <c r="D398">
        <v>4</v>
      </c>
      <c r="E398" t="s">
        <v>16</v>
      </c>
    </row>
    <row r="399" spans="1:5" x14ac:dyDescent="0.3">
      <c r="A399" s="7">
        <v>1360</v>
      </c>
      <c r="B399">
        <v>12</v>
      </c>
      <c r="C399">
        <v>25</v>
      </c>
      <c r="D399">
        <v>3</v>
      </c>
      <c r="E399" t="s">
        <v>17</v>
      </c>
    </row>
    <row r="400" spans="1:5" x14ac:dyDescent="0.3">
      <c r="A400" s="7">
        <v>4650</v>
      </c>
      <c r="B400">
        <v>2</v>
      </c>
      <c r="C400">
        <v>50</v>
      </c>
      <c r="D400">
        <v>1</v>
      </c>
      <c r="E400" t="s">
        <v>17</v>
      </c>
    </row>
    <row r="401" spans="1:5" x14ac:dyDescent="0.3">
      <c r="A401" s="7">
        <v>2860</v>
      </c>
      <c r="B401">
        <v>14</v>
      </c>
      <c r="C401">
        <v>35</v>
      </c>
      <c r="D401">
        <v>1</v>
      </c>
      <c r="E401" t="s">
        <v>15</v>
      </c>
    </row>
    <row r="402" spans="1:5" x14ac:dyDescent="0.3">
      <c r="A402" s="7">
        <v>1615</v>
      </c>
      <c r="B402">
        <v>2</v>
      </c>
      <c r="C402">
        <v>5</v>
      </c>
      <c r="D402">
        <v>4</v>
      </c>
      <c r="E402" t="s">
        <v>19</v>
      </c>
    </row>
    <row r="403" spans="1:5" x14ac:dyDescent="0.3">
      <c r="A403" s="7">
        <v>1650</v>
      </c>
      <c r="B403">
        <v>10</v>
      </c>
      <c r="C403">
        <v>15</v>
      </c>
      <c r="D403">
        <v>2</v>
      </c>
      <c r="E403" t="s">
        <v>15</v>
      </c>
    </row>
    <row r="404" spans="1:5" x14ac:dyDescent="0.3">
      <c r="A404" s="7">
        <v>5870</v>
      </c>
      <c r="B404">
        <v>19</v>
      </c>
      <c r="C404">
        <v>45</v>
      </c>
      <c r="D404">
        <v>1</v>
      </c>
      <c r="E404" t="s">
        <v>20</v>
      </c>
    </row>
    <row r="405" spans="1:5" x14ac:dyDescent="0.3">
      <c r="A405" s="7">
        <v>4450</v>
      </c>
      <c r="B405">
        <v>10</v>
      </c>
      <c r="C405">
        <v>25</v>
      </c>
      <c r="D405">
        <v>1</v>
      </c>
      <c r="E405" t="s">
        <v>17</v>
      </c>
    </row>
    <row r="406" spans="1:5" x14ac:dyDescent="0.3">
      <c r="A406" s="7">
        <v>6830</v>
      </c>
      <c r="B406">
        <v>3</v>
      </c>
      <c r="C406">
        <v>25</v>
      </c>
      <c r="D406">
        <v>1</v>
      </c>
      <c r="E406" t="s">
        <v>18</v>
      </c>
    </row>
    <row r="407" spans="1:5" x14ac:dyDescent="0.3">
      <c r="A407" s="7">
        <v>3940</v>
      </c>
      <c r="B407">
        <v>9</v>
      </c>
      <c r="C407">
        <v>30</v>
      </c>
      <c r="D407">
        <v>1</v>
      </c>
      <c r="E407" t="s">
        <v>19</v>
      </c>
    </row>
    <row r="408" spans="1:5" x14ac:dyDescent="0.3">
      <c r="A408" s="7">
        <v>2480</v>
      </c>
      <c r="B408">
        <v>15</v>
      </c>
      <c r="C408">
        <v>35</v>
      </c>
      <c r="D408">
        <v>2</v>
      </c>
      <c r="E408" t="s">
        <v>17</v>
      </c>
    </row>
    <row r="409" spans="1:5" x14ac:dyDescent="0.3">
      <c r="A409" s="7">
        <v>1285</v>
      </c>
      <c r="B409">
        <v>8</v>
      </c>
      <c r="C409">
        <v>40</v>
      </c>
      <c r="D409">
        <v>4</v>
      </c>
      <c r="E409" t="s">
        <v>16</v>
      </c>
    </row>
    <row r="410" spans="1:5" x14ac:dyDescent="0.3">
      <c r="A410" s="7">
        <v>2870</v>
      </c>
      <c r="B410">
        <v>17</v>
      </c>
      <c r="C410">
        <v>50</v>
      </c>
      <c r="D410">
        <v>1</v>
      </c>
      <c r="E410" t="s">
        <v>15</v>
      </c>
    </row>
    <row r="411" spans="1:5" x14ac:dyDescent="0.3">
      <c r="A411" s="7">
        <v>1483.5</v>
      </c>
      <c r="B411">
        <v>1</v>
      </c>
      <c r="C411">
        <v>45</v>
      </c>
      <c r="D411">
        <v>3</v>
      </c>
      <c r="E411" t="s">
        <v>19</v>
      </c>
    </row>
    <row r="412" spans="1:5" x14ac:dyDescent="0.3">
      <c r="A412" s="7">
        <v>4590</v>
      </c>
      <c r="B412">
        <v>1</v>
      </c>
      <c r="C412">
        <v>40</v>
      </c>
      <c r="D412">
        <v>1</v>
      </c>
      <c r="E412" t="s">
        <v>16</v>
      </c>
    </row>
    <row r="413" spans="1:5" x14ac:dyDescent="0.3">
      <c r="A413" s="7">
        <v>3350</v>
      </c>
      <c r="B413">
        <v>9</v>
      </c>
      <c r="C413">
        <v>45</v>
      </c>
      <c r="D413">
        <v>1</v>
      </c>
      <c r="E413" t="s">
        <v>15</v>
      </c>
    </row>
    <row r="414" spans="1:5" x14ac:dyDescent="0.3">
      <c r="A414" s="7">
        <v>5940</v>
      </c>
      <c r="B414">
        <v>8</v>
      </c>
      <c r="C414">
        <v>35</v>
      </c>
      <c r="D414">
        <v>1</v>
      </c>
      <c r="E414" t="s">
        <v>19</v>
      </c>
    </row>
    <row r="415" spans="1:5" x14ac:dyDescent="0.3">
      <c r="A415" s="7">
        <v>1137</v>
      </c>
      <c r="B415">
        <v>20</v>
      </c>
      <c r="C415">
        <v>30</v>
      </c>
      <c r="D415">
        <v>6</v>
      </c>
      <c r="E415" t="s">
        <v>18</v>
      </c>
    </row>
    <row r="416" spans="1:5" x14ac:dyDescent="0.3">
      <c r="A416" s="7">
        <v>1396</v>
      </c>
      <c r="B416">
        <v>2</v>
      </c>
      <c r="C416">
        <v>45</v>
      </c>
      <c r="D416">
        <v>5</v>
      </c>
      <c r="E416" t="s">
        <v>17</v>
      </c>
    </row>
    <row r="417" spans="1:5" x14ac:dyDescent="0.3">
      <c r="A417" s="7">
        <v>6490</v>
      </c>
      <c r="B417">
        <v>1</v>
      </c>
      <c r="C417">
        <v>50</v>
      </c>
      <c r="D417">
        <v>1</v>
      </c>
      <c r="E417" t="s">
        <v>19</v>
      </c>
    </row>
    <row r="418" spans="1:5" x14ac:dyDescent="0.3">
      <c r="A418" s="7">
        <v>326</v>
      </c>
      <c r="B418">
        <v>17</v>
      </c>
      <c r="C418">
        <v>40</v>
      </c>
      <c r="D418">
        <v>9</v>
      </c>
      <c r="E418" t="s">
        <v>15</v>
      </c>
    </row>
    <row r="419" spans="1:5" x14ac:dyDescent="0.3">
      <c r="A419" s="7">
        <v>5900</v>
      </c>
      <c r="B419">
        <v>6</v>
      </c>
      <c r="C419">
        <v>5</v>
      </c>
      <c r="D419">
        <v>1</v>
      </c>
      <c r="E419" t="s">
        <v>17</v>
      </c>
    </row>
    <row r="420" spans="1:5" x14ac:dyDescent="0.3">
      <c r="A420" s="7">
        <v>1897</v>
      </c>
      <c r="B420">
        <v>16</v>
      </c>
      <c r="C420">
        <v>5</v>
      </c>
      <c r="D420">
        <v>3</v>
      </c>
      <c r="E420" t="s">
        <v>15</v>
      </c>
    </row>
    <row r="421" spans="1:5" x14ac:dyDescent="0.3">
      <c r="A421" s="7">
        <v>835</v>
      </c>
      <c r="B421">
        <v>15</v>
      </c>
      <c r="C421">
        <v>5</v>
      </c>
      <c r="D421">
        <v>4</v>
      </c>
      <c r="E421" t="s">
        <v>19</v>
      </c>
    </row>
    <row r="422" spans="1:5" x14ac:dyDescent="0.3">
      <c r="A422" s="7">
        <v>1022</v>
      </c>
      <c r="B422">
        <v>4</v>
      </c>
      <c r="C422">
        <v>5</v>
      </c>
      <c r="D422">
        <v>6</v>
      </c>
      <c r="E422" t="s">
        <v>18</v>
      </c>
    </row>
    <row r="423" spans="1:5" x14ac:dyDescent="0.3">
      <c r="A423" s="7">
        <v>1680</v>
      </c>
      <c r="B423">
        <v>6</v>
      </c>
      <c r="C423">
        <v>15</v>
      </c>
      <c r="D423">
        <v>3</v>
      </c>
      <c r="E423" t="s">
        <v>15</v>
      </c>
    </row>
    <row r="424" spans="1:5" x14ac:dyDescent="0.3">
      <c r="A424" s="7">
        <v>510</v>
      </c>
      <c r="B424">
        <v>5</v>
      </c>
      <c r="C424">
        <v>0</v>
      </c>
      <c r="D424">
        <v>8</v>
      </c>
      <c r="E424" t="s">
        <v>17</v>
      </c>
    </row>
    <row r="425" spans="1:5" x14ac:dyDescent="0.3">
      <c r="A425" s="7">
        <v>1893</v>
      </c>
      <c r="B425">
        <v>5</v>
      </c>
      <c r="C425">
        <v>40</v>
      </c>
      <c r="D425">
        <v>3</v>
      </c>
      <c r="E425" t="s">
        <v>20</v>
      </c>
    </row>
    <row r="426" spans="1:5" x14ac:dyDescent="0.3">
      <c r="A426" s="7">
        <v>4620</v>
      </c>
      <c r="B426">
        <v>20</v>
      </c>
      <c r="C426">
        <v>20</v>
      </c>
      <c r="D426">
        <v>1</v>
      </c>
      <c r="E426" t="s">
        <v>18</v>
      </c>
    </row>
    <row r="427" spans="1:5" x14ac:dyDescent="0.3">
      <c r="A427" s="7">
        <v>3500</v>
      </c>
      <c r="B427">
        <v>7</v>
      </c>
      <c r="C427">
        <v>20</v>
      </c>
      <c r="D427">
        <v>1</v>
      </c>
      <c r="E427" t="s">
        <v>15</v>
      </c>
    </row>
    <row r="428" spans="1:5" x14ac:dyDescent="0.3">
      <c r="A428" s="7">
        <v>5890</v>
      </c>
      <c r="B428">
        <v>6</v>
      </c>
      <c r="C428">
        <v>45</v>
      </c>
      <c r="D428">
        <v>1</v>
      </c>
      <c r="E428" t="s">
        <v>21</v>
      </c>
    </row>
    <row r="429" spans="1:5" x14ac:dyDescent="0.3">
      <c r="A429" s="7">
        <v>636</v>
      </c>
      <c r="B429">
        <v>20</v>
      </c>
      <c r="C429">
        <v>40</v>
      </c>
      <c r="D429">
        <v>8</v>
      </c>
      <c r="E429" t="s">
        <v>20</v>
      </c>
    </row>
    <row r="430" spans="1:5" x14ac:dyDescent="0.3">
      <c r="A430" s="7">
        <v>1543</v>
      </c>
      <c r="B430">
        <v>9</v>
      </c>
      <c r="C430">
        <v>45</v>
      </c>
      <c r="D430">
        <v>4</v>
      </c>
      <c r="E430" t="s">
        <v>19</v>
      </c>
    </row>
    <row r="431" spans="1:5" x14ac:dyDescent="0.3">
      <c r="A431" s="7">
        <v>306</v>
      </c>
      <c r="B431">
        <v>3</v>
      </c>
      <c r="C431">
        <v>45</v>
      </c>
      <c r="D431">
        <v>9</v>
      </c>
      <c r="E431" t="s">
        <v>15</v>
      </c>
    </row>
    <row r="432" spans="1:5" x14ac:dyDescent="0.3">
      <c r="A432" s="7">
        <v>1690</v>
      </c>
      <c r="B432">
        <v>11</v>
      </c>
      <c r="C432">
        <v>40</v>
      </c>
      <c r="D432">
        <v>3</v>
      </c>
      <c r="E432" t="s">
        <v>16</v>
      </c>
    </row>
    <row r="433" spans="1:5" x14ac:dyDescent="0.3">
      <c r="A433" s="7">
        <v>606</v>
      </c>
      <c r="B433">
        <v>16</v>
      </c>
      <c r="C433">
        <v>30</v>
      </c>
      <c r="D433">
        <v>7</v>
      </c>
      <c r="E433" t="s">
        <v>21</v>
      </c>
    </row>
    <row r="434" spans="1:5" x14ac:dyDescent="0.3">
      <c r="A434" s="7">
        <v>5910</v>
      </c>
      <c r="B434">
        <v>17</v>
      </c>
      <c r="C434">
        <v>5</v>
      </c>
      <c r="D434">
        <v>1</v>
      </c>
      <c r="E434" t="s">
        <v>19</v>
      </c>
    </row>
    <row r="435" spans="1:5" x14ac:dyDescent="0.3">
      <c r="A435" s="7">
        <v>339</v>
      </c>
      <c r="B435">
        <v>18</v>
      </c>
      <c r="C435">
        <v>25</v>
      </c>
      <c r="D435">
        <v>10</v>
      </c>
      <c r="E435" t="s">
        <v>21</v>
      </c>
    </row>
    <row r="436" spans="1:5" x14ac:dyDescent="0.3">
      <c r="A436" s="7">
        <v>4060</v>
      </c>
      <c r="B436">
        <v>4</v>
      </c>
      <c r="C436">
        <v>25</v>
      </c>
      <c r="D436">
        <v>1</v>
      </c>
      <c r="E436" t="s">
        <v>19</v>
      </c>
    </row>
    <row r="437" spans="1:5" x14ac:dyDescent="0.3">
      <c r="A437" s="7">
        <v>1160</v>
      </c>
      <c r="B437">
        <v>0</v>
      </c>
      <c r="C437">
        <v>25</v>
      </c>
      <c r="D437">
        <v>6</v>
      </c>
      <c r="E437" t="s">
        <v>15</v>
      </c>
    </row>
    <row r="438" spans="1:5" x14ac:dyDescent="0.3">
      <c r="A438" s="7">
        <v>394</v>
      </c>
      <c r="B438">
        <v>12</v>
      </c>
      <c r="C438">
        <v>30</v>
      </c>
      <c r="D438">
        <v>9</v>
      </c>
      <c r="E438" t="s">
        <v>17</v>
      </c>
    </row>
    <row r="439" spans="1:5" x14ac:dyDescent="0.3">
      <c r="A439" s="7">
        <v>930</v>
      </c>
      <c r="B439">
        <v>7</v>
      </c>
      <c r="C439">
        <v>35</v>
      </c>
      <c r="D439">
        <v>7</v>
      </c>
      <c r="E439" t="s">
        <v>19</v>
      </c>
    </row>
    <row r="440" spans="1:5" x14ac:dyDescent="0.3">
      <c r="A440" s="7">
        <v>366</v>
      </c>
      <c r="B440">
        <v>7</v>
      </c>
      <c r="C440">
        <v>35</v>
      </c>
      <c r="D440">
        <v>10</v>
      </c>
      <c r="E440" t="s">
        <v>17</v>
      </c>
    </row>
    <row r="441" spans="1:5" x14ac:dyDescent="0.3">
      <c r="A441" s="7">
        <v>413</v>
      </c>
      <c r="B441">
        <v>11</v>
      </c>
      <c r="C441">
        <v>10</v>
      </c>
      <c r="D441">
        <v>9</v>
      </c>
      <c r="E441" t="s">
        <v>18</v>
      </c>
    </row>
    <row r="442" spans="1:5" x14ac:dyDescent="0.3">
      <c r="A442" s="7">
        <v>357.5</v>
      </c>
      <c r="B442">
        <v>10</v>
      </c>
      <c r="C442">
        <v>25</v>
      </c>
      <c r="D442">
        <v>9</v>
      </c>
      <c r="E442" t="s">
        <v>15</v>
      </c>
    </row>
    <row r="443" spans="1:5" x14ac:dyDescent="0.3">
      <c r="A443" s="7">
        <v>2825</v>
      </c>
      <c r="B443">
        <v>2</v>
      </c>
      <c r="C443">
        <v>10</v>
      </c>
      <c r="D443">
        <v>2</v>
      </c>
      <c r="E443" t="s">
        <v>21</v>
      </c>
    </row>
    <row r="444" spans="1:5" x14ac:dyDescent="0.3">
      <c r="A444" s="7">
        <v>608</v>
      </c>
      <c r="B444">
        <v>1</v>
      </c>
      <c r="C444">
        <v>15</v>
      </c>
      <c r="D444">
        <v>6</v>
      </c>
      <c r="E444" t="s">
        <v>16</v>
      </c>
    </row>
    <row r="445" spans="1:5" x14ac:dyDescent="0.3">
      <c r="A445" s="7">
        <v>4130</v>
      </c>
      <c r="B445">
        <v>18</v>
      </c>
      <c r="C445">
        <v>0</v>
      </c>
      <c r="D445">
        <v>1</v>
      </c>
      <c r="E445" t="s">
        <v>19</v>
      </c>
    </row>
    <row r="446" spans="1:5" x14ac:dyDescent="0.3">
      <c r="A446" s="7">
        <v>851</v>
      </c>
      <c r="B446">
        <v>15</v>
      </c>
      <c r="C446">
        <v>30</v>
      </c>
      <c r="D446">
        <v>8</v>
      </c>
      <c r="E446" t="s">
        <v>17</v>
      </c>
    </row>
    <row r="447" spans="1:5" x14ac:dyDescent="0.3">
      <c r="A447" s="7">
        <v>422</v>
      </c>
      <c r="B447">
        <v>20</v>
      </c>
      <c r="C447">
        <v>10</v>
      </c>
      <c r="D447">
        <v>9</v>
      </c>
      <c r="E447" t="s">
        <v>17</v>
      </c>
    </row>
    <row r="448" spans="1:5" x14ac:dyDescent="0.3">
      <c r="A448" s="7">
        <v>698</v>
      </c>
      <c r="B448">
        <v>15</v>
      </c>
      <c r="C448">
        <v>0</v>
      </c>
      <c r="D448">
        <v>9</v>
      </c>
      <c r="E448" t="s">
        <v>20</v>
      </c>
    </row>
    <row r="449" spans="1:5" x14ac:dyDescent="0.3">
      <c r="A449" s="7">
        <v>657</v>
      </c>
      <c r="B449">
        <v>2</v>
      </c>
      <c r="C449">
        <v>45</v>
      </c>
      <c r="D449">
        <v>7</v>
      </c>
      <c r="E449" t="s">
        <v>18</v>
      </c>
    </row>
    <row r="450" spans="1:5" x14ac:dyDescent="0.3">
      <c r="A450" s="7">
        <v>957</v>
      </c>
      <c r="B450">
        <v>5</v>
      </c>
      <c r="C450">
        <v>35</v>
      </c>
      <c r="D450">
        <v>3</v>
      </c>
      <c r="E450" t="s">
        <v>18</v>
      </c>
    </row>
    <row r="451" spans="1:5" x14ac:dyDescent="0.3">
      <c r="A451" s="7">
        <v>2790</v>
      </c>
      <c r="B451">
        <v>18</v>
      </c>
      <c r="C451">
        <v>30</v>
      </c>
      <c r="D451">
        <v>1</v>
      </c>
      <c r="E451" t="s">
        <v>18</v>
      </c>
    </row>
    <row r="452" spans="1:5" x14ac:dyDescent="0.3">
      <c r="A452" s="7">
        <v>585</v>
      </c>
      <c r="B452">
        <v>6</v>
      </c>
      <c r="C452">
        <v>5</v>
      </c>
      <c r="D452">
        <v>10</v>
      </c>
      <c r="E452" t="s">
        <v>17</v>
      </c>
    </row>
    <row r="453" spans="1:5" x14ac:dyDescent="0.3">
      <c r="A453" s="7">
        <v>1323</v>
      </c>
      <c r="B453">
        <v>2</v>
      </c>
      <c r="C453">
        <v>50</v>
      </c>
      <c r="D453">
        <v>4</v>
      </c>
      <c r="E453" t="s">
        <v>19</v>
      </c>
    </row>
    <row r="454" spans="1:5" x14ac:dyDescent="0.3">
      <c r="A454" s="7">
        <v>5490</v>
      </c>
      <c r="B454">
        <v>17</v>
      </c>
      <c r="C454">
        <v>0</v>
      </c>
      <c r="D454">
        <v>1</v>
      </c>
      <c r="E454" t="s">
        <v>18</v>
      </c>
    </row>
    <row r="455" spans="1:5" x14ac:dyDescent="0.3">
      <c r="A455" s="7">
        <v>484</v>
      </c>
      <c r="B455">
        <v>8</v>
      </c>
      <c r="C455">
        <v>0</v>
      </c>
      <c r="D455">
        <v>9</v>
      </c>
      <c r="E455" t="s">
        <v>21</v>
      </c>
    </row>
    <row r="456" spans="1:5" x14ac:dyDescent="0.3">
      <c r="A456" s="7">
        <v>950</v>
      </c>
      <c r="B456">
        <v>8</v>
      </c>
      <c r="C456">
        <v>30</v>
      </c>
      <c r="D456">
        <v>3</v>
      </c>
      <c r="E456" t="s">
        <v>18</v>
      </c>
    </row>
    <row r="457" spans="1:5" x14ac:dyDescent="0.3">
      <c r="A457" s="7">
        <v>672</v>
      </c>
      <c r="B457">
        <v>14</v>
      </c>
      <c r="C457">
        <v>20</v>
      </c>
      <c r="D457">
        <v>5</v>
      </c>
      <c r="E457" t="s">
        <v>18</v>
      </c>
    </row>
    <row r="458" spans="1:5" x14ac:dyDescent="0.3">
      <c r="A458" s="7">
        <v>315</v>
      </c>
      <c r="B458">
        <v>13</v>
      </c>
      <c r="C458">
        <v>15</v>
      </c>
      <c r="D458">
        <v>10</v>
      </c>
      <c r="E458" t="s">
        <v>16</v>
      </c>
    </row>
    <row r="459" spans="1:5" x14ac:dyDescent="0.3">
      <c r="A459" s="7">
        <v>513</v>
      </c>
      <c r="B459">
        <v>2</v>
      </c>
      <c r="C459">
        <v>50</v>
      </c>
      <c r="D459">
        <v>10</v>
      </c>
      <c r="E459" t="s">
        <v>16</v>
      </c>
    </row>
    <row r="460" spans="1:5" x14ac:dyDescent="0.3">
      <c r="A460" s="7">
        <v>417</v>
      </c>
      <c r="B460">
        <v>12</v>
      </c>
      <c r="C460">
        <v>0</v>
      </c>
      <c r="D460">
        <v>9</v>
      </c>
      <c r="E460" t="s">
        <v>16</v>
      </c>
    </row>
    <row r="461" spans="1:5" x14ac:dyDescent="0.3">
      <c r="A461" s="7">
        <v>3485</v>
      </c>
      <c r="B461">
        <v>20</v>
      </c>
      <c r="C461">
        <v>25</v>
      </c>
      <c r="D461">
        <v>2</v>
      </c>
      <c r="E461" t="s">
        <v>16</v>
      </c>
    </row>
    <row r="462" spans="1:5" x14ac:dyDescent="0.3">
      <c r="A462" s="7">
        <v>2165</v>
      </c>
      <c r="B462">
        <v>16</v>
      </c>
      <c r="C462">
        <v>0</v>
      </c>
      <c r="D462">
        <v>2</v>
      </c>
      <c r="E462" t="s">
        <v>20</v>
      </c>
    </row>
    <row r="463" spans="1:5" x14ac:dyDescent="0.3">
      <c r="A463" s="7">
        <v>4870</v>
      </c>
      <c r="B463">
        <v>11</v>
      </c>
      <c r="C463">
        <v>0</v>
      </c>
      <c r="D463">
        <v>1</v>
      </c>
      <c r="E463" t="s">
        <v>17</v>
      </c>
    </row>
    <row r="464" spans="1:5" x14ac:dyDescent="0.3">
      <c r="A464" s="7">
        <v>3820</v>
      </c>
      <c r="B464">
        <v>14</v>
      </c>
      <c r="C464">
        <v>25</v>
      </c>
      <c r="D464">
        <v>1</v>
      </c>
      <c r="E464" t="s">
        <v>15</v>
      </c>
    </row>
    <row r="465" spans="1:5" x14ac:dyDescent="0.3">
      <c r="A465" s="7">
        <v>822</v>
      </c>
      <c r="B465">
        <v>7</v>
      </c>
      <c r="C465">
        <v>35</v>
      </c>
      <c r="D465">
        <v>6</v>
      </c>
      <c r="E465" t="s">
        <v>15</v>
      </c>
    </row>
    <row r="466" spans="1:5" x14ac:dyDescent="0.3">
      <c r="A466" s="7">
        <v>714</v>
      </c>
      <c r="B466">
        <v>2</v>
      </c>
      <c r="C466">
        <v>30</v>
      </c>
      <c r="D466">
        <v>7</v>
      </c>
      <c r="E466" t="s">
        <v>17</v>
      </c>
    </row>
    <row r="467" spans="1:5" x14ac:dyDescent="0.3">
      <c r="A467" s="7">
        <v>3710</v>
      </c>
      <c r="B467">
        <v>2</v>
      </c>
      <c r="C467">
        <v>40</v>
      </c>
      <c r="D467">
        <v>1</v>
      </c>
      <c r="E467" t="s">
        <v>15</v>
      </c>
    </row>
    <row r="468" spans="1:5" x14ac:dyDescent="0.3">
      <c r="A468" s="7">
        <v>474</v>
      </c>
      <c r="B468">
        <v>13</v>
      </c>
      <c r="C468">
        <v>40</v>
      </c>
      <c r="D468">
        <v>7</v>
      </c>
      <c r="E468" t="s">
        <v>20</v>
      </c>
    </row>
    <row r="469" spans="1:5" x14ac:dyDescent="0.3">
      <c r="A469" s="7">
        <v>3220</v>
      </c>
      <c r="B469">
        <v>12</v>
      </c>
      <c r="C469">
        <v>40</v>
      </c>
      <c r="D469">
        <v>1</v>
      </c>
      <c r="E469" t="s">
        <v>15</v>
      </c>
    </row>
    <row r="470" spans="1:5" x14ac:dyDescent="0.3">
      <c r="A470" s="7">
        <v>6270</v>
      </c>
      <c r="B470">
        <v>14</v>
      </c>
      <c r="C470">
        <v>5</v>
      </c>
      <c r="D470">
        <v>1</v>
      </c>
      <c r="E470" t="s">
        <v>21</v>
      </c>
    </row>
    <row r="471" spans="1:5" x14ac:dyDescent="0.3">
      <c r="A471" s="7">
        <v>773</v>
      </c>
      <c r="B471">
        <v>12</v>
      </c>
      <c r="C471">
        <v>30</v>
      </c>
      <c r="D471">
        <v>8</v>
      </c>
      <c r="E471" t="s">
        <v>15</v>
      </c>
    </row>
    <row r="472" spans="1:5" x14ac:dyDescent="0.3">
      <c r="A472" s="7">
        <v>590</v>
      </c>
      <c r="B472">
        <v>0</v>
      </c>
      <c r="C472">
        <v>45</v>
      </c>
      <c r="D472">
        <v>10</v>
      </c>
      <c r="E472" t="s">
        <v>21</v>
      </c>
    </row>
    <row r="473" spans="1:5" x14ac:dyDescent="0.3">
      <c r="A473" s="7">
        <v>569</v>
      </c>
      <c r="B473">
        <v>2</v>
      </c>
      <c r="C473">
        <v>20</v>
      </c>
      <c r="D473">
        <v>10</v>
      </c>
      <c r="E473" t="s">
        <v>17</v>
      </c>
    </row>
    <row r="474" spans="1:5" x14ac:dyDescent="0.3">
      <c r="A474" s="7">
        <v>3730</v>
      </c>
      <c r="B474">
        <v>17</v>
      </c>
      <c r="C474">
        <v>40</v>
      </c>
      <c r="D474">
        <v>1</v>
      </c>
      <c r="E474" t="s">
        <v>17</v>
      </c>
    </row>
    <row r="475" spans="1:5" x14ac:dyDescent="0.3">
      <c r="A475" s="7">
        <v>3160</v>
      </c>
      <c r="B475">
        <v>11</v>
      </c>
      <c r="C475">
        <v>20</v>
      </c>
      <c r="D475">
        <v>1</v>
      </c>
      <c r="E475" t="s">
        <v>16</v>
      </c>
    </row>
    <row r="476" spans="1:5" x14ac:dyDescent="0.3">
      <c r="A476" s="7">
        <v>596</v>
      </c>
      <c r="B476">
        <v>6</v>
      </c>
      <c r="C476">
        <v>25</v>
      </c>
      <c r="D476">
        <v>7</v>
      </c>
      <c r="E476" t="s">
        <v>19</v>
      </c>
    </row>
    <row r="477" spans="1:5" x14ac:dyDescent="0.3">
      <c r="A477" s="7">
        <v>6170</v>
      </c>
      <c r="B477">
        <v>14</v>
      </c>
      <c r="C477">
        <v>20</v>
      </c>
      <c r="D477">
        <v>1</v>
      </c>
      <c r="E477" t="s">
        <v>18</v>
      </c>
    </row>
    <row r="478" spans="1:5" x14ac:dyDescent="0.3">
      <c r="A478" s="7">
        <v>1300</v>
      </c>
      <c r="B478">
        <v>14</v>
      </c>
      <c r="C478">
        <v>40</v>
      </c>
      <c r="D478">
        <v>4</v>
      </c>
      <c r="E478" t="s">
        <v>20</v>
      </c>
    </row>
    <row r="479" spans="1:5" x14ac:dyDescent="0.3">
      <c r="A479" s="7">
        <v>345</v>
      </c>
      <c r="B479">
        <v>7</v>
      </c>
      <c r="C479">
        <v>10</v>
      </c>
      <c r="D479">
        <v>10</v>
      </c>
      <c r="E479" t="s">
        <v>20</v>
      </c>
    </row>
    <row r="480" spans="1:5" x14ac:dyDescent="0.3">
      <c r="A480" s="7">
        <v>1623</v>
      </c>
      <c r="B480">
        <v>6</v>
      </c>
      <c r="C480">
        <v>35</v>
      </c>
      <c r="D480">
        <v>4</v>
      </c>
      <c r="E480" t="s">
        <v>17</v>
      </c>
    </row>
    <row r="481" spans="1:5" x14ac:dyDescent="0.3">
      <c r="A481" s="7">
        <v>6450</v>
      </c>
      <c r="B481">
        <v>3</v>
      </c>
      <c r="C481">
        <v>25</v>
      </c>
      <c r="D481">
        <v>1</v>
      </c>
      <c r="E481" t="s">
        <v>21</v>
      </c>
    </row>
    <row r="482" spans="1:5" x14ac:dyDescent="0.3">
      <c r="A482" s="7">
        <v>6140</v>
      </c>
      <c r="B482">
        <v>19</v>
      </c>
      <c r="C482">
        <v>45</v>
      </c>
      <c r="D482">
        <v>1</v>
      </c>
      <c r="E482" t="s">
        <v>20</v>
      </c>
    </row>
    <row r="483" spans="1:5" x14ac:dyDescent="0.3">
      <c r="A483" s="7">
        <v>1640</v>
      </c>
      <c r="B483">
        <v>5</v>
      </c>
      <c r="C483">
        <v>15</v>
      </c>
      <c r="D483">
        <v>4</v>
      </c>
      <c r="E483" t="s">
        <v>21</v>
      </c>
    </row>
    <row r="484" spans="1:5" x14ac:dyDescent="0.3">
      <c r="A484" s="7">
        <v>610</v>
      </c>
      <c r="B484">
        <v>11</v>
      </c>
      <c r="C484">
        <v>35</v>
      </c>
      <c r="D484">
        <v>10</v>
      </c>
      <c r="E484" t="s">
        <v>19</v>
      </c>
    </row>
    <row r="485" spans="1:5" x14ac:dyDescent="0.3">
      <c r="A485" s="7">
        <v>531</v>
      </c>
      <c r="B485">
        <v>18</v>
      </c>
      <c r="C485">
        <v>30</v>
      </c>
      <c r="D485">
        <v>10</v>
      </c>
      <c r="E485" t="s">
        <v>17</v>
      </c>
    </row>
    <row r="486" spans="1:5" x14ac:dyDescent="0.3">
      <c r="A486" s="7">
        <v>588</v>
      </c>
      <c r="B486">
        <v>14</v>
      </c>
      <c r="C486">
        <v>20</v>
      </c>
      <c r="D486">
        <v>5</v>
      </c>
      <c r="E486" t="s">
        <v>16</v>
      </c>
    </row>
    <row r="487" spans="1:5" x14ac:dyDescent="0.3">
      <c r="A487" s="7">
        <v>4630</v>
      </c>
      <c r="B487">
        <v>18</v>
      </c>
      <c r="C487">
        <v>25</v>
      </c>
      <c r="D487">
        <v>1</v>
      </c>
      <c r="E487" t="s">
        <v>16</v>
      </c>
    </row>
    <row r="488" spans="1:5" x14ac:dyDescent="0.3">
      <c r="A488" s="7">
        <v>669.9</v>
      </c>
      <c r="B488">
        <v>6</v>
      </c>
      <c r="C488">
        <v>0</v>
      </c>
      <c r="D488">
        <v>9</v>
      </c>
      <c r="E488" t="s">
        <v>16</v>
      </c>
    </row>
    <row r="489" spans="1:5" x14ac:dyDescent="0.3">
      <c r="A489" s="7">
        <v>4250</v>
      </c>
      <c r="B489">
        <v>19</v>
      </c>
      <c r="C489">
        <v>35</v>
      </c>
      <c r="D489">
        <v>1</v>
      </c>
      <c r="E489" t="s">
        <v>21</v>
      </c>
    </row>
    <row r="490" spans="1:5" x14ac:dyDescent="0.3">
      <c r="A490" s="7">
        <v>5970</v>
      </c>
      <c r="B490">
        <v>5</v>
      </c>
      <c r="C490">
        <v>20</v>
      </c>
      <c r="D490">
        <v>1</v>
      </c>
      <c r="E490" t="s">
        <v>20</v>
      </c>
    </row>
    <row r="491" spans="1:5" x14ac:dyDescent="0.3">
      <c r="A491" s="7">
        <v>386</v>
      </c>
      <c r="B491">
        <v>14</v>
      </c>
      <c r="C491">
        <v>15</v>
      </c>
      <c r="D491">
        <v>10</v>
      </c>
      <c r="E491" t="s">
        <v>16</v>
      </c>
    </row>
    <row r="492" spans="1:5" x14ac:dyDescent="0.3">
      <c r="A492" s="7">
        <v>510</v>
      </c>
      <c r="B492">
        <v>8</v>
      </c>
      <c r="C492">
        <v>20</v>
      </c>
      <c r="D492">
        <v>10</v>
      </c>
      <c r="E492" t="s">
        <v>17</v>
      </c>
    </row>
    <row r="493" spans="1:5" x14ac:dyDescent="0.3">
      <c r="A493" s="7">
        <v>4490</v>
      </c>
      <c r="B493">
        <v>1</v>
      </c>
      <c r="C493">
        <v>5</v>
      </c>
      <c r="D493">
        <v>1</v>
      </c>
      <c r="E493" t="s">
        <v>18</v>
      </c>
    </row>
    <row r="494" spans="1:5" x14ac:dyDescent="0.3">
      <c r="A494" s="7">
        <v>6880</v>
      </c>
      <c r="B494">
        <v>0</v>
      </c>
      <c r="C494">
        <v>40</v>
      </c>
      <c r="D494">
        <v>1</v>
      </c>
      <c r="E494" t="s">
        <v>19</v>
      </c>
    </row>
    <row r="495" spans="1:5" x14ac:dyDescent="0.3">
      <c r="A495" s="7">
        <v>1208</v>
      </c>
      <c r="B495">
        <v>15</v>
      </c>
      <c r="C495">
        <v>0</v>
      </c>
      <c r="D495">
        <v>4</v>
      </c>
      <c r="E495" t="s">
        <v>20</v>
      </c>
    </row>
    <row r="496" spans="1:5" x14ac:dyDescent="0.3">
      <c r="A496" s="7">
        <v>5100</v>
      </c>
      <c r="B496">
        <v>13</v>
      </c>
      <c r="C496">
        <v>45</v>
      </c>
      <c r="D496">
        <v>1</v>
      </c>
      <c r="E496" t="s">
        <v>17</v>
      </c>
    </row>
    <row r="497" spans="1:5" x14ac:dyDescent="0.3">
      <c r="A497" s="7">
        <v>900</v>
      </c>
      <c r="B497">
        <v>0</v>
      </c>
      <c r="C497">
        <v>40</v>
      </c>
      <c r="D497">
        <v>7</v>
      </c>
      <c r="E497" t="s">
        <v>18</v>
      </c>
    </row>
    <row r="498" spans="1:5" x14ac:dyDescent="0.3">
      <c r="A498" s="7">
        <v>911</v>
      </c>
      <c r="B498">
        <v>5</v>
      </c>
      <c r="C498">
        <v>10</v>
      </c>
      <c r="D498">
        <v>7</v>
      </c>
      <c r="E498" t="s">
        <v>20</v>
      </c>
    </row>
    <row r="499" spans="1:5" x14ac:dyDescent="0.3">
      <c r="A499" s="7">
        <v>463</v>
      </c>
      <c r="B499">
        <v>8</v>
      </c>
      <c r="C499">
        <v>20</v>
      </c>
      <c r="D499">
        <v>7</v>
      </c>
      <c r="E499" t="s">
        <v>16</v>
      </c>
    </row>
    <row r="500" spans="1:5" x14ac:dyDescent="0.3">
      <c r="A500" s="7">
        <v>641.20000000000005</v>
      </c>
      <c r="B500">
        <v>12</v>
      </c>
      <c r="C500">
        <v>14</v>
      </c>
      <c r="D500">
        <v>6</v>
      </c>
      <c r="E500" t="s">
        <v>19</v>
      </c>
    </row>
    <row r="501" spans="1:5" x14ac:dyDescent="0.3">
      <c r="A501" s="7">
        <v>550</v>
      </c>
      <c r="B501">
        <v>14</v>
      </c>
      <c r="C501">
        <v>45</v>
      </c>
      <c r="D501">
        <v>7</v>
      </c>
      <c r="E501" t="s">
        <v>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7</vt:i4>
      </vt:variant>
      <vt:variant>
        <vt:lpstr>Zakresy nazwane</vt:lpstr>
      </vt:variant>
      <vt:variant>
        <vt:i4>9</vt:i4>
      </vt:variant>
    </vt:vector>
  </HeadingPairs>
  <TitlesOfParts>
    <vt:vector size="16" baseType="lpstr">
      <vt:lpstr>7.5</vt:lpstr>
      <vt:lpstr>7.4</vt:lpstr>
      <vt:lpstr>7.3</vt:lpstr>
      <vt:lpstr>7.2</vt:lpstr>
      <vt:lpstr>7.1</vt:lpstr>
      <vt:lpstr>Arkusz1</vt:lpstr>
      <vt:lpstr>Baza</vt:lpstr>
      <vt:lpstr>'7.1'!wynagrodzenie</vt:lpstr>
      <vt:lpstr>'7.2'!wynagrodzenie</vt:lpstr>
      <vt:lpstr>'7.3'!wynagrodzenie</vt:lpstr>
      <vt:lpstr>'7.4'!wynagrodzenie</vt:lpstr>
      <vt:lpstr>'7.5'!wynagrodzenie</vt:lpstr>
      <vt:lpstr>Baza!wynagrodzenie</vt:lpstr>
      <vt:lpstr>'7.3'!wynagrodzenie_1</vt:lpstr>
      <vt:lpstr>'7.4'!wynagrodzenie_1</vt:lpstr>
      <vt:lpstr>'7.5'!wynagrodzenie_1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Grzegorz Tereszkiewicz</dc:creator>
  <cp:lastModifiedBy>Grzegorz Tereszkiewicz</cp:lastModifiedBy>
  <dcterms:created xsi:type="dcterms:W3CDTF">2025-12-06T07:32:57Z</dcterms:created>
  <dcterms:modified xsi:type="dcterms:W3CDTF">2025-12-06T09:30:40Z</dcterms:modified>
</cp:coreProperties>
</file>